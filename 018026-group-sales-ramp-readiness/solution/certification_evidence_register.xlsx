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ager Readiness Dashboard" sheetId="1" state="visible" r:id="rId3"/>
    <sheet name="Definitions" sheetId="2" state="visible" r:id="rId4"/>
    <sheet name="Requirements" sheetId="3" state="visible" r:id="rId5"/>
    <sheet name="Evidence Register" sheetId="4" state="visible" r:id="rId6"/>
    <sheet name="Exception View" sheetId="5" state="visible" r:id="rId7"/>
    <sheet name="Rep Readiness Summary" sheetId="6" state="visible" r:id="rId8"/>
    <sheet name="Reconciliation Checks" sheetId="7" state="visible" r:id="rId9"/>
    <sheet name="Register Analysi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<sst xmlns="http://schemas.openxmlformats.org/spreadsheetml/2006/main" count="1103" uniqueCount="251">
  <si>
    <t xml:space="preserve">Manager Readiness Dashboard</t>
  </si>
  <si>
    <t xml:space="preserve">HB-RAMP-2026-07 | approval request pending</t>
  </si>
  <si>
    <t xml:space="preserve">Readiness_Status</t>
  </si>
  <si>
    <t xml:space="preserve">Representatives</t>
  </si>
  <si>
    <t xml:space="preserve">Ready - pending manager</t>
  </si>
  <si>
    <t xml:space="preserve">Limited exception - staged supervised</t>
  </si>
  <si>
    <t xml:space="preserve">Remediation required</t>
  </si>
  <si>
    <t xml:space="preserve">Pending evidence</t>
  </si>
  <si>
    <t xml:space="preserve">Blocked - unresolved exception</t>
  </si>
  <si>
    <t xml:space="preserve">Term</t>
  </si>
  <si>
    <t xml:space="preserve">Definition</t>
  </si>
  <si>
    <t xml:space="preserve">All seven competencies evidenced; desk manager approval still pending</t>
  </si>
  <si>
    <t xml:space="preserve">Approved limited exception exists; independent coverage still blocked</t>
  </si>
  <si>
    <t xml:space="preserve">Failed evidence requires planned remediation or retest</t>
  </si>
  <si>
    <t xml:space="preserve">Evidence scheduled or not yet due</t>
  </si>
  <si>
    <t xml:space="preserve">Licensing or compliance blocker unresolved</t>
  </si>
  <si>
    <t xml:space="preserve">Competency_ID</t>
  </si>
  <si>
    <t xml:space="preserve">Competency_Name</t>
  </si>
  <si>
    <t xml:space="preserve">Required_Evidence</t>
  </si>
  <si>
    <t xml:space="preserve">Minimum_Rule</t>
  </si>
  <si>
    <t xml:space="preserve">Prerequisite</t>
  </si>
  <si>
    <t xml:space="preserve">Approval_Role</t>
  </si>
  <si>
    <t xml:space="preserve">GS-C01</t>
  </si>
  <si>
    <t xml:space="preserve">Discovery and qualification</t>
  </si>
  <si>
    <t xml:space="preserve">Discovery simulation pass</t>
  </si>
  <si>
    <t xml:space="preserve">Score &gt;= 85</t>
  </si>
  <si>
    <t xml:space="preserve">Intake complete</t>
  </si>
  <si>
    <t xml:space="preserve">Trainer signoff</t>
  </si>
  <si>
    <t xml:space="preserve">GS-C02</t>
  </si>
  <si>
    <t xml:space="preserve">Group fare quote mechanics</t>
  </si>
  <si>
    <t xml:space="preserve">Quote assessment pass</t>
  </si>
  <si>
    <t xml:space="preserve">Score &gt;= 88</t>
  </si>
  <si>
    <t xml:space="preserve">Product trainer signoff</t>
  </si>
  <si>
    <t xml:space="preserve">GS-C03</t>
  </si>
  <si>
    <t xml:space="preserve">Contract and deposit terms</t>
  </si>
  <si>
    <t xml:space="preserve">Terms assessment pass</t>
  </si>
  <si>
    <t xml:space="preserve">Score &gt;= 90</t>
  </si>
  <si>
    <t xml:space="preserve">Contract trainer signoff</t>
  </si>
  <si>
    <t xml:space="preserve">GS-C04</t>
  </si>
  <si>
    <t xml:space="preserve">Compliance disclosures</t>
  </si>
  <si>
    <t xml:space="preserve">Compliance checklist pass</t>
  </si>
  <si>
    <t xml:space="preserve">Pass with no critical miss</t>
  </si>
  <si>
    <t xml:space="preserve">Compliance signoff</t>
  </si>
  <si>
    <t xml:space="preserve">GS-C05</t>
  </si>
  <si>
    <t xml:space="preserve">CRM opportunity hygiene</t>
  </si>
  <si>
    <t xml:space="preserve">CRM audit pass</t>
  </si>
  <si>
    <t xml:space="preserve">Score &gt;= 95</t>
  </si>
  <si>
    <t xml:space="preserve">QA signoff</t>
  </si>
  <si>
    <t xml:space="preserve">GS-C06</t>
  </si>
  <si>
    <t xml:space="preserve">Escalation judgment</t>
  </si>
  <si>
    <t xml:space="preserve">Escalation scenario pass</t>
  </si>
  <si>
    <t xml:space="preserve">GS-C03 and GS-C04</t>
  </si>
  <si>
    <t xml:space="preserve">Supervisor recommendation</t>
  </si>
  <si>
    <t xml:space="preserve">GS-C07</t>
  </si>
  <si>
    <t xml:space="preserve">Customer handoff readiness</t>
  </si>
  <si>
    <t xml:space="preserve">Live observation and handoff note</t>
  </si>
  <si>
    <t xml:space="preserve">QA score &gt;= 90 and supervisor signoff</t>
  </si>
  <si>
    <t xml:space="preserve">GS-C02 through GS-C06</t>
  </si>
  <si>
    <t xml:space="preserve">Desk manager approval</t>
  </si>
  <si>
    <t xml:space="preserve">Rep_ID</t>
  </si>
  <si>
    <t xml:space="preserve">Representative_Name</t>
  </si>
  <si>
    <t xml:space="preserve">Latest_Evidence</t>
  </si>
  <si>
    <t xml:space="preserve">Evidence_Date</t>
  </si>
  <si>
    <t xml:space="preserve">Score</t>
  </si>
  <si>
    <t xml:space="preserve">Evidence_Status</t>
  </si>
  <si>
    <t xml:space="preserve">Owner_ID</t>
  </si>
  <si>
    <t xml:space="preserve">Due_Date</t>
  </si>
  <si>
    <t xml:space="preserve">Exception_Code</t>
  </si>
  <si>
    <t xml:space="preserve">Approval_State</t>
  </si>
  <si>
    <t xml:space="preserve">Next_Action</t>
  </si>
  <si>
    <t xml:space="preserve">Source_Reference</t>
  </si>
  <si>
    <t xml:space="preserve">REP-2701</t>
  </si>
  <si>
    <t xml:space="preserve">Maya Chen</t>
  </si>
  <si>
    <t xml:space="preserve">Complete</t>
  </si>
  <si>
    <t xml:space="preserve">Trainer</t>
  </si>
  <si>
    <t xml:space="preserve">Evidence complete</t>
  </si>
  <si>
    <t xml:space="preserve">Evidence meets July ramp standard</t>
  </si>
  <si>
    <t xml:space="preserve">LMS-2701-GS-C01</t>
  </si>
  <si>
    <t xml:space="preserve">Product</t>
  </si>
  <si>
    <t xml:space="preserve">LMS-2701-GS-C02</t>
  </si>
  <si>
    <t xml:space="preserve">Contract</t>
  </si>
  <si>
    <t xml:space="preserve">LMS-2701-GS-C03</t>
  </si>
  <si>
    <t xml:space="preserve">Compliance</t>
  </si>
  <si>
    <t xml:space="preserve">LMS-2701-GS-C04</t>
  </si>
  <si>
    <t xml:space="preserve">QA</t>
  </si>
  <si>
    <t xml:space="preserve">LMS-2701-GS-C05</t>
  </si>
  <si>
    <t xml:space="preserve">Supervisor</t>
  </si>
  <si>
    <t xml:space="preserve">LMS-2701-GS-C06</t>
  </si>
  <si>
    <t xml:space="preserve">Desk</t>
  </si>
  <si>
    <t xml:space="preserve">LMS-2701-GS-C07</t>
  </si>
  <si>
    <t xml:space="preserve">REP-2702</t>
  </si>
  <si>
    <t xml:space="preserve">Jordan Patel</t>
  </si>
  <si>
    <t xml:space="preserve">LMS-2702-GS-C01</t>
  </si>
  <si>
    <t xml:space="preserve">LMS-2702-GS-C02</t>
  </si>
  <si>
    <t xml:space="preserve">LMS-2702-GS-C03</t>
  </si>
  <si>
    <t xml:space="preserve">LMS-2702-GS-C04</t>
  </si>
  <si>
    <t xml:space="preserve">LMS-2702-GS-C05</t>
  </si>
  <si>
    <t xml:space="preserve">LMS-2702-GS-C06</t>
  </si>
  <si>
    <t xml:space="preserve">Limited exception memorandum</t>
  </si>
  <si>
    <t xml:space="preserve">Approved Exception</t>
  </si>
  <si>
    <t xml:space="preserve">SUP-411</t>
  </si>
  <si>
    <t xml:space="preserve">EX-LIM-2702</t>
  </si>
  <si>
    <t xml:space="preserve">Approved limited exception</t>
  </si>
  <si>
    <t xml:space="preserve">Live observation moved to 2026-07-20; approved limited supervised low-risk coverage only</t>
  </si>
  <si>
    <t xml:space="preserve">LMS-2702-GS-C07</t>
  </si>
  <si>
    <t xml:space="preserve">REP-2703</t>
  </si>
  <si>
    <t xml:space="preserve">Sofia Ramirez</t>
  </si>
  <si>
    <t xml:space="preserve">LMS-2703-GS-C01</t>
  </si>
  <si>
    <t xml:space="preserve">LMS-2703-GS-C02</t>
  </si>
  <si>
    <t xml:space="preserve">Failed</t>
  </si>
  <si>
    <t xml:space="preserve">TRN-503</t>
  </si>
  <si>
    <t xml:space="preserve">EX-REM-2703</t>
  </si>
  <si>
    <t xml:space="preserve">Remediation scheduled</t>
  </si>
  <si>
    <t xml:space="preserve">Contract terms retest scheduled 2026-07-17</t>
  </si>
  <si>
    <t xml:space="preserve">LMS-2703-GS-C03</t>
  </si>
  <si>
    <t xml:space="preserve">LMS-2703-GS-C04</t>
  </si>
  <si>
    <t xml:space="preserve">LMS-2703-GS-C05</t>
  </si>
  <si>
    <t xml:space="preserve">LMS-2703-GS-C06</t>
  </si>
  <si>
    <t xml:space="preserve">Not yet complete</t>
  </si>
  <si>
    <t xml:space="preserve">Open</t>
  </si>
  <si>
    <t xml:space="preserve">Live observation blocked until contract retest passes</t>
  </si>
  <si>
    <t xml:space="preserve">LMS-2703-GS-C07</t>
  </si>
  <si>
    <t xml:space="preserve">REP-2704</t>
  </si>
  <si>
    <t xml:space="preserve">Ethan Brooks</t>
  </si>
  <si>
    <t xml:space="preserve">LMS-2704-GS-C01</t>
  </si>
  <si>
    <t xml:space="preserve">LMS-2704-GS-C02</t>
  </si>
  <si>
    <t xml:space="preserve">LMS-2704-GS-C03</t>
  </si>
  <si>
    <t xml:space="preserve">Blocked</t>
  </si>
  <si>
    <t xml:space="preserve">COM-201</t>
  </si>
  <si>
    <t xml:space="preserve">EX-LIC-2704</t>
  </si>
  <si>
    <t xml:space="preserve">Unresolved</t>
  </si>
  <si>
    <t xml:space="preserve">State seller-of-travel licensing hold blocks compliance signoff</t>
  </si>
  <si>
    <t xml:space="preserve">LMS-2704-GS-C04</t>
  </si>
  <si>
    <t xml:space="preserve">LMS-2704-GS-C05</t>
  </si>
  <si>
    <t xml:space="preserve">Escalation scenario held until licensing release</t>
  </si>
  <si>
    <t xml:space="preserve">LMS-2704-GS-C06</t>
  </si>
  <si>
    <t xml:space="preserve">No live observation until licensing release</t>
  </si>
  <si>
    <t xml:space="preserve">LMS-2704-GS-C07</t>
  </si>
  <si>
    <t xml:space="preserve">REP-2705</t>
  </si>
  <si>
    <t xml:space="preserve">Priya Nair</t>
  </si>
  <si>
    <t xml:space="preserve">LMS-2705-GS-C01</t>
  </si>
  <si>
    <t xml:space="preserve">LMS-2705-GS-C02</t>
  </si>
  <si>
    <t xml:space="preserve">LMS-2705-GS-C03</t>
  </si>
  <si>
    <t xml:space="preserve">LMS-2705-GS-C04</t>
  </si>
  <si>
    <t xml:space="preserve">EX-CRM-2705</t>
  </si>
  <si>
    <t xml:space="preserve">CRM audit missed deposit follow-up note; remediation scheduled</t>
  </si>
  <si>
    <t xml:space="preserve">LMS-2705-GS-C05</t>
  </si>
  <si>
    <t xml:space="preserve">LMS-2705-GS-C06</t>
  </si>
  <si>
    <t xml:space="preserve">LMS-2705-GS-C07</t>
  </si>
  <si>
    <t xml:space="preserve">REP-2706</t>
  </si>
  <si>
    <t xml:space="preserve">Liam O'Neill</t>
  </si>
  <si>
    <t xml:space="preserve">LMS-2706-GS-C01</t>
  </si>
  <si>
    <t xml:space="preserve">LMS-2706-GS-C02</t>
  </si>
  <si>
    <t xml:space="preserve">LMS-2706-GS-C03</t>
  </si>
  <si>
    <t xml:space="preserve">LMS-2706-GS-C04</t>
  </si>
  <si>
    <t xml:space="preserve">LMS-2706-GS-C05</t>
  </si>
  <si>
    <t xml:space="preserve">LMS-2706-GS-C06</t>
  </si>
  <si>
    <t xml:space="preserve">TRN-505</t>
  </si>
  <si>
    <t xml:space="preserve">EX-LIVE-2706</t>
  </si>
  <si>
    <t xml:space="preserve">Missed live observation due trainer calibration blackout</t>
  </si>
  <si>
    <t xml:space="preserve">LMS-2706-GS-C07</t>
  </si>
  <si>
    <t xml:space="preserve">REP-2707</t>
  </si>
  <si>
    <t xml:space="preserve">Ava Thompson</t>
  </si>
  <si>
    <t xml:space="preserve">LMS-2707-GS-C01</t>
  </si>
  <si>
    <t xml:space="preserve">LMS-2707-GS-C02</t>
  </si>
  <si>
    <t xml:space="preserve">LMS-2707-GS-C03</t>
  </si>
  <si>
    <t xml:space="preserve">LMS-2707-GS-C04</t>
  </si>
  <si>
    <t xml:space="preserve">LMS-2707-GS-C05</t>
  </si>
  <si>
    <t xml:space="preserve">LMS-2707-GS-C06</t>
  </si>
  <si>
    <t xml:space="preserve">LMS-2707-GS-C07</t>
  </si>
  <si>
    <t xml:space="preserve">REP-2708</t>
  </si>
  <si>
    <t xml:space="preserve">Noah Kim</t>
  </si>
  <si>
    <t xml:space="preserve">LMS-2708-GS-C01</t>
  </si>
  <si>
    <t xml:space="preserve">LMS-2708-GS-C02</t>
  </si>
  <si>
    <t xml:space="preserve">LMS-2708-GS-C03</t>
  </si>
  <si>
    <t xml:space="preserve">EX-COMP-2708</t>
  </si>
  <si>
    <t xml:space="preserve">Critical disclosure miss on privacy wording; compliance retest required</t>
  </si>
  <si>
    <t xml:space="preserve">LMS-2708-GS-C04</t>
  </si>
  <si>
    <t xml:space="preserve">LMS-2708-GS-C05</t>
  </si>
  <si>
    <t xml:space="preserve">LMS-2708-GS-C06</t>
  </si>
  <si>
    <t xml:space="preserve">Live observation held until compliance retest passes</t>
  </si>
  <si>
    <t xml:space="preserve">LMS-2708-GS-C07</t>
  </si>
  <si>
    <t xml:space="preserve">REP-2709</t>
  </si>
  <si>
    <t xml:space="preserve">Isabella Reed</t>
  </si>
  <si>
    <t xml:space="preserve">LMS-2709-GS-C01</t>
  </si>
  <si>
    <t xml:space="preserve">LMS-2709-GS-C02</t>
  </si>
  <si>
    <t xml:space="preserve">LMS-2709-GS-C03</t>
  </si>
  <si>
    <t xml:space="preserve">LMS-2709-GS-C04</t>
  </si>
  <si>
    <t xml:space="preserve">LMS-2709-GS-C05</t>
  </si>
  <si>
    <t xml:space="preserve">LMS-2709-GS-C06</t>
  </si>
  <si>
    <t xml:space="preserve">SUP-410</t>
  </si>
  <si>
    <t xml:space="preserve">EX-PANEL-2709</t>
  </si>
  <si>
    <t xml:space="preserve">Supervisor recommendation panel scheduled 2026-07-17</t>
  </si>
  <si>
    <t xml:space="preserve">LMS-2709-GS-C07</t>
  </si>
  <si>
    <t xml:space="preserve">REP-2710</t>
  </si>
  <si>
    <t xml:space="preserve">Marcus Lee</t>
  </si>
  <si>
    <t xml:space="preserve">LMS-2710-GS-C01</t>
  </si>
  <si>
    <t xml:space="preserve">LMS-2710-GS-C02</t>
  </si>
  <si>
    <t xml:space="preserve">LMS-2710-GS-C03</t>
  </si>
  <si>
    <t xml:space="preserve">LMS-2710-GS-C04</t>
  </si>
  <si>
    <t xml:space="preserve">LMS-2710-GS-C05</t>
  </si>
  <si>
    <t xml:space="preserve">LMS-2710-GS-C06</t>
  </si>
  <si>
    <t xml:space="preserve">LMS-2710-GS-C07</t>
  </si>
  <si>
    <t xml:space="preserve">Exception_Reason</t>
  </si>
  <si>
    <t xml:space="preserve">Exception_Opened_Date</t>
  </si>
  <si>
    <t xml:space="preserve">Exception_Owner</t>
  </si>
  <si>
    <t xml:space="preserve">Next_Action_Due_Date</t>
  </si>
  <si>
    <t xml:space="preserve">Days_Open</t>
  </si>
  <si>
    <t xml:space="preserve">Keep Jordan on low-risk affinity renewals with senior rep review until live observation closes</t>
  </si>
  <si>
    <t xml:space="preserve">Failed contract terms</t>
  </si>
  <si>
    <t xml:space="preserve">Complete M301 remediation and retest before live observation</t>
  </si>
  <si>
    <t xml:space="preserve">Licensing hold</t>
  </si>
  <si>
    <t xml:space="preserve">Compliance to confirm seller-of-travel license clearance</t>
  </si>
  <si>
    <t xml:space="preserve">CRM hygiene gap</t>
  </si>
  <si>
    <t xml:space="preserve">Rebuild CRM opportunity notes and pass audit</t>
  </si>
  <si>
    <t xml:space="preserve">Missed live observation</t>
  </si>
  <si>
    <t xml:space="preserve">Complete live call observation before manager approval</t>
  </si>
  <si>
    <t xml:space="preserve">Compliance disclosure miss</t>
  </si>
  <si>
    <t xml:space="preserve">Pass disclosure retest and compliance review</t>
  </si>
  <si>
    <t xml:space="preserve">Supervisor panel pending</t>
  </si>
  <si>
    <t xml:space="preserve">Complete supervisor recommendation panel</t>
  </si>
  <si>
    <t xml:space="preserve">Segment</t>
  </si>
  <si>
    <t xml:space="preserve">Supervisor_ID</t>
  </si>
  <si>
    <t xml:space="preserve">Complete_Count</t>
  </si>
  <si>
    <t xml:space="preserve">Required_Count</t>
  </si>
  <si>
    <t xml:space="preserve">Approved_Exception_Count</t>
  </si>
  <si>
    <t xml:space="preserve">Failed_Count</t>
  </si>
  <si>
    <t xml:space="preserve">Open_or_Blocked_Count</t>
  </si>
  <si>
    <t xml:space="preserve">Evidence_Complete_Pct</t>
  </si>
  <si>
    <t xml:space="preserve">Corporate</t>
  </si>
  <si>
    <t xml:space="preserve">HB-RAMP-2026-07 pending</t>
  </si>
  <si>
    <t xml:space="preserve">Affinity</t>
  </si>
  <si>
    <t xml:space="preserve">Education</t>
  </si>
  <si>
    <t xml:space="preserve">SUP-412</t>
  </si>
  <si>
    <t xml:space="preserve">Meetings</t>
  </si>
  <si>
    <t xml:space="preserve">SUP-413</t>
  </si>
  <si>
    <t xml:space="preserve">Check</t>
  </si>
  <si>
    <t xml:space="preserve">Formula_Result</t>
  </si>
  <si>
    <t xml:space="preserve">Expected</t>
  </si>
  <si>
    <t xml:space="preserve">Cohort reps</t>
  </si>
  <si>
    <t xml:space="preserve">Evidence rows</t>
  </si>
  <si>
    <t xml:space="preserve">Ready count</t>
  </si>
  <si>
    <t xml:space="preserve">Limited exception count</t>
  </si>
  <si>
    <t xml:space="preserve">Blocked count</t>
  </si>
  <si>
    <t xml:space="preserve">Competency</t>
  </si>
  <si>
    <t xml:space="preserve">Open/failed evidence</t>
  </si>
  <si>
    <t xml:space="preserve">Exception</t>
  </si>
  <si>
    <t xml:space="preserve">Owner</t>
  </si>
  <si>
    <t xml:space="preserve">Days open</t>
  </si>
  <si>
    <t xml:space="preserve">Rep</t>
  </si>
  <si>
    <t xml:space="preserve">Complete evidence 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</si>
</sst>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yyyy\-mm\-dd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596B7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B5C4A"/>
        <bgColor rgb="FF1F4E78"/>
      </patternFill>
    </fill>
    <fill>
      <patternFill patternType="solid">
        <fgColor rgb="FFF3EADB"/>
        <bgColor rgb="FFF3D9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0BD"/>
      </left>
      <right style="thin">
        <color rgb="FFD9D0BD"/>
      </right>
      <top style="thin">
        <color rgb="FFD9D0BD"/>
      </top>
      <bottom style="thin">
        <color rgb="FFD9D0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B5C4A"/>
          <bgColor rgb="FF000000"/>
        </patternFill>
      </fill>
    </dxf>
    <dxf>
      <fill>
        <patternFill patternType="solid">
          <fgColor rgb="FFF3EA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3D9D2"/>
          <bgColor rgb="FF000000"/>
        </patternFill>
      </fill>
    </dxf>
    <dxf>
      <fill>
        <patternFill>
          <bgColor rgb="FFF3D9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96B72"/>
      <rgbColor rgb="FF800080"/>
      <rgbColor rgb="FF008080"/>
      <rgbColor rgb="FFD9D0BD"/>
      <rgbColor rgb="FF878787"/>
      <rgbColor rgb="FF9999FF"/>
      <rgbColor rgb="FFC0504D"/>
      <rgbColor rgb="FFF3EAD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D9D2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B5C4A"/>
      <rgbColor rgb="FF2E7D5B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Readiness Disposition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'Manager Readiness Dashboard'!B5</c:f>
              <c:strCache>
                <c:ptCount val="1"/>
                <c:pt idx="0">
                  <c:v>Representatives</c:v>
                </c:pt>
              </c:strCache>
            </c:strRef>
          </c:tx>
          <c:spPr>
            <a:solidFill>
              <a:srgbClr val="1f4e78"/>
            </a:solidFill>
            <a:ln w="0">
              <a:solidFill>
                <a:srgbClr val="1f4e78"/>
              </a:solidFill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'Manager Readiness Dashboard'!$A$6:$A$10</c:f>
              <c:strCache>
                <c:ptCount val="5"/>
                <c:pt idx="0">
                  <c:v>Ready - pending manager</c:v>
                </c:pt>
                <c:pt idx="1">
                  <c:v>Limited exception - staged supervised</c:v>
                </c:pt>
                <c:pt idx="2">
                  <c:v>Remediation required</c:v>
                </c:pt>
                <c:pt idx="3">
                  <c:v>Pending evidence</c:v>
                </c:pt>
                <c:pt idx="4">
                  <c:v>Blocked - unresolved exception</c:v>
                </c:pt>
              </c:strCache>
            </c:strRef>
          </c:cat>
          <c:val>
            <c:numRef>
              <c:f>'Manager Readiness Dashboard'!$B$6:$B$10</c:f>
              <c:numCache>
                <c:formatCode>0</c:formatCode>
                <c:ptCount val="5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or Failed Evidence by Competency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"Open or failed evidence"</c:f>
              <c:strCache>
                <c:ptCount val="1"/>
                <c:pt idx="0">
                  <c:v>Open or failed evidence</c:v>
                </c:pt>
              </c:strCache>
            </c:strRef>
          </c:tx>
          <c:spPr>
            <a:solidFill>
              <a:srgbClr val="2e7d5b"/>
            </a:solidFill>
            <a:ln w="9360">
              <a:solidFill>
                <a:srgbClr val="2e7d5b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'Register Analysis'!$A$2:$A$8</c:f>
              <c:strCache>
                <c:ptCount val="7"/>
                <c:pt idx="0">
                  <c:v>GS-C01</c:v>
                </c:pt>
                <c:pt idx="1">
                  <c:v>GS-C02</c:v>
                </c:pt>
                <c:pt idx="2">
                  <c:v>GS-C03</c:v>
                </c:pt>
                <c:pt idx="3">
                  <c:v>GS-C04</c:v>
                </c:pt>
                <c:pt idx="4">
                  <c:v>GS-C05</c:v>
                </c:pt>
                <c:pt idx="5">
                  <c:v>GS-C06</c:v>
                </c:pt>
                <c:pt idx="6">
                  <c:v>GS-C07</c:v>
                </c:pt>
              </c:strCache>
            </c:strRef>
          </c:cat>
          <c:val>
            <c:numRef>
              <c:f>'Register Analysis'!$B$2:$B$8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</c:numCache>
            </c:numRef>
          </c:val>
        </c:ser>
        <c:gapWidth val="150"/>
        <c:overlap val="0"/>
        <c:axId val="31038201"/>
        <c:axId val="67225089"/>
      </c:barChart>
      <c:catAx>
        <c:axId val="31038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25089"/>
        <c:crosses val="autoZero"/>
        <c:auto val="1"/>
        <c:lblAlgn val="ctr"/>
        <c:lblOffset val="100"/>
        <c:noMultiLvlLbl val="0"/>
      </c:catAx>
      <c:valAx>
        <c:axId val="672250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Evidence rows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382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Unresolved Exception Aging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"Days open"</c:f>
              <c:strCache>
                <c:ptCount val="1"/>
                <c:pt idx="0">
                  <c:v>Days open</c:v>
                </c:pt>
              </c:strCache>
            </c:strRef>
          </c:tx>
          <c:spPr>
            <a:solidFill>
              <a:srgbClr val="1f4e78"/>
            </a:solidFill>
            <a:ln w="9360">
              <a:solidFill>
                <a:srgbClr val="1f4e78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'Register Analysis'!$A$12:$A$18</c:f>
              <c:strCache>
                <c:ptCount val="7"/>
                <c:pt idx="0">
                  <c:v>EX-LIM-2702</c:v>
                </c:pt>
                <c:pt idx="1">
                  <c:v>EX-REM-2703</c:v>
                </c:pt>
                <c:pt idx="2">
                  <c:v>EX-LIC-2704</c:v>
                </c:pt>
                <c:pt idx="3">
                  <c:v>EX-CRM-2705</c:v>
                </c:pt>
                <c:pt idx="4">
                  <c:v>EX-LIVE-2706</c:v>
                </c:pt>
                <c:pt idx="5">
                  <c:v>EX-COMP-2708</c:v>
                </c:pt>
                <c:pt idx="6">
                  <c:v>EX-PANEL-2709</c:v>
                </c:pt>
              </c:strCache>
            </c:strRef>
          </c:cat>
          <c:val>
            <c:numRef>
              <c:f>'Register Analysis'!$C$12:$C$18</c:f>
              <c:numCache>
                <c:formatCode>0</c:formatCode>
                <c:ptCount val="7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</c:ser>
        <c:gapWidth val="150"/>
        <c:overlap val="0"/>
        <c:axId val="42151931"/>
        <c:axId val="29727436"/>
      </c:barChart>
      <c:catAx>
        <c:axId val="421519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27436"/>
        <c:crosses val="autoZero"/>
        <c:auto val="1"/>
        <c:lblAlgn val="ctr"/>
        <c:lblOffset val="100"/>
        <c:noMultiLvlLbl val="0"/>
      </c:catAx>
      <c:valAx>
        <c:axId val="297274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 open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519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Evidence Completeness by Rep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"Evidence complete"</c:f>
              <c:strCache>
                <c:ptCount val="1"/>
                <c:pt idx="0">
                  <c:v>Evidence complete</c:v>
                </c:pt>
              </c:strCache>
            </c:strRef>
          </c:tx>
          <c:spPr>
            <a:solidFill>
              <a:srgbClr val="2e7d5b"/>
            </a:solidFill>
            <a:ln w="9360">
              <a:solidFill>
                <a:srgbClr val="2e7d5b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'Register Analysis'!$A$22:$A$31</c:f>
              <c:strCache>
                <c:ptCount val="10"/>
                <c:pt idx="0">
                  <c:v>REP-2701</c:v>
                </c:pt>
                <c:pt idx="1">
                  <c:v>REP-2702</c:v>
                </c:pt>
                <c:pt idx="2">
                  <c:v>REP-2703</c:v>
                </c:pt>
                <c:pt idx="3">
                  <c:v>REP-2704</c:v>
                </c:pt>
                <c:pt idx="4">
                  <c:v>REP-2705</c:v>
                </c:pt>
                <c:pt idx="5">
                  <c:v>REP-2706</c:v>
                </c:pt>
                <c:pt idx="6">
                  <c:v>REP-2707</c:v>
                </c:pt>
                <c:pt idx="7">
                  <c:v>REP-2708</c:v>
                </c:pt>
                <c:pt idx="8">
                  <c:v>REP-2709</c:v>
                </c:pt>
                <c:pt idx="9">
                  <c:v>REP-2710</c:v>
                </c:pt>
              </c:strCache>
            </c:strRef>
          </c:cat>
          <c:val>
            <c:numRef>
              <c:f>'Register Analysis'!$B$22:$B$31</c:f>
              <c:numCache>
                <c:formatCode>0%</c:formatCode>
                <c:ptCount val="10"/>
                <c:pt idx="0">
                  <c:v>1</c:v>
                </c:pt>
                <c:pt idx="1">
                  <c:v>0.857142857142857</c:v>
                </c:pt>
                <c:pt idx="2">
                  <c:v>0.714285714285714</c:v>
                </c:pt>
                <c:pt idx="3">
                  <c:v>0.571428571428571</c:v>
                </c:pt>
                <c:pt idx="4">
                  <c:v>0.857142857142857</c:v>
                </c:pt>
                <c:pt idx="5">
                  <c:v>0.857142857142857</c:v>
                </c:pt>
                <c:pt idx="6">
                  <c:v>1</c:v>
                </c:pt>
                <c:pt idx="7">
                  <c:v>0.714285714285714</c:v>
                </c:pt>
                <c:pt idx="8">
                  <c:v>0.857142857142857</c:v>
                </c:pt>
                <c:pt idx="9">
                  <c:v>1</c:v>
                </c:pt>
              </c:numCache>
            </c:numRef>
          </c:val>
        </c:ser>
        <c:gapWidth val="150"/>
        <c:overlap val="0"/>
        <c:axId val="90463513"/>
        <c:axId val="73534502"/>
      </c:barChart>
      <c:catAx>
        <c:axId val="904635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34502"/>
        <c:crosses val="autoZero"/>
        <c:auto val="1"/>
        <c:lblAlgn val="ctr"/>
        <c:lblOffset val="100"/>
        <c:noMultiLvlLbl val="0"/>
      </c:catAx>
      <c:valAx>
        <c:axId val="735345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 complete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635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131040</xdr:rowOff>
    </xdr:from>
    <xdr:to>
      <xdr:col>10</xdr:col>
      <xdr:colOff>290160</xdr:colOff>
      <xdr:row>16</xdr:row>
      <xdr:rowOff>173520</xdr:rowOff>
    </xdr:to>
    <xdr:graphicFrame>
      <xdr:nvGraphicFramePr>
        <xdr:cNvPr id="0" name="Chart 1"/>
        <xdr:cNvGraphicFramePr/>
      </xdr:nvGraphicFramePr>
      <xdr:xfrm>
        <a:off x="7921800" y="759600"/>
        <a:ext cx="395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131040</xdr:rowOff>
    </xdr:from>
    <xdr:to>
      <xdr:col>12</xdr:col>
      <xdr:colOff>146880</xdr:colOff>
      <xdr:row>33</xdr:row>
      <xdr:rowOff>173520</xdr:rowOff>
    </xdr:to>
    <xdr:graphicFrame>
      <xdr:nvGraphicFramePr>
        <xdr:cNvPr id="1" name="Chart 2"/>
        <xdr:cNvGraphicFramePr/>
      </xdr:nvGraphicFramePr>
      <xdr:xfrm>
        <a:off x="7921800" y="3998160"/>
        <a:ext cx="503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9</xdr:row>
      <xdr:rowOff>0</xdr:rowOff>
    </xdr:from>
    <xdr:to>
      <xdr:col>12</xdr:col>
      <xdr:colOff>146880</xdr:colOff>
      <xdr:row>22</xdr:row>
      <xdr:rowOff>42480</xdr:rowOff>
    </xdr:to>
    <xdr:graphicFrame>
      <xdr:nvGraphicFramePr>
        <xdr:cNvPr id="2" name="Chart 1"/>
        <xdr:cNvGraphicFramePr/>
      </xdr:nvGraphicFramePr>
      <xdr:xfrm>
        <a:off x="6791400" y="1714680"/>
        <a:ext cx="503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27</xdr:row>
      <xdr:rowOff>0</xdr:rowOff>
    </xdr:from>
    <xdr:to>
      <xdr:col>12</xdr:col>
      <xdr:colOff>146880</xdr:colOff>
      <xdr:row>40</xdr:row>
      <xdr:rowOff>42480</xdr:rowOff>
    </xdr:to>
    <xdr:graphicFrame>
      <xdr:nvGraphicFramePr>
        <xdr:cNvPr id="3" name="Chart 2"/>
        <xdr:cNvGraphicFramePr/>
      </xdr:nvGraphicFramePr>
      <xdr:xfrm>
        <a:off x="6791400" y="5143680"/>
        <a:ext cx="503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mpetency_Gaps" displayName="Competency_Gaps" ref="A1:B8" headerRowCount="1" totalsRowCount="0" totalsRowShown="0">
  <autoFilter ref="A1:B8"/>
  <tableColumns count="2">
    <tableColumn id="1" name="Competency"/>
    <tableColumn id="2" name="Open/failed evidence"/>
  </tableColumns>
</table>
</file>

<file path=xl/tables/table2.xml><?xml version="1.0" encoding="utf-8"?>
<table xmlns="http://schemas.openxmlformats.org/spreadsheetml/2006/main" id="2" name="Definitions" displayName="Definitions" ref="A1:B6" headerRowCount="1" totalsRowCount="0" totalsRowShown="0">
  <autoFilter ref="A1:B6"/>
  <tableColumns count="2">
    <tableColumn id="1" name="Term"/>
    <tableColumn id="2" name="Definition"/>
  </tableColumns>
</table>
</file>

<file path=xl/tables/table3.xml><?xml version="1.0" encoding="utf-8"?>
<table xmlns="http://schemas.openxmlformats.org/spreadsheetml/2006/main" id="3" name="Evidence_Completeness_Rank" displayName="Evidence_Completeness_Rank" ref="A21:B31" headerRowCount="1" totalsRowCount="0" totalsRowShown="0">
  <autoFilter ref="A21:B31"/>
  <tableColumns count="2">
    <tableColumn id="1" name="Rep"/>
    <tableColumn id="2" name="Complete evidence %"/>
  </tableColumns>
</table>
</file>

<file path=xl/tables/table4.xml><?xml version="1.0" encoding="utf-8"?>
<table xmlns="http://schemas.openxmlformats.org/spreadsheetml/2006/main" id="4" name="Evidence_Register" displayName="Evidence_Register" ref="A1:P71" headerRowCount="1" totalsRowCount="0" totalsRowShown="0">
  <autoFilter ref="A1:P71"/>
  <tableColumns count="16">
    <tableColumn id="1" name="Rep_ID"/>
    <tableColumn id="2" name="Representative_Name"/>
    <tableColumn id="3" name="Competency_ID"/>
    <tableColumn id="4" name="Competency_Name"/>
    <tableColumn id="5" name="Required_Evidence"/>
    <tableColumn id="6" name="Minimum_Rule"/>
    <tableColumn id="7" name="Latest_Evidence"/>
    <tableColumn id="8" name="Evidence_Date"/>
    <tableColumn id="9" name="Score"/>
    <tableColumn id="10" name="Evidence_Status"/>
    <tableColumn id="11" name="Owner_ID"/>
    <tableColumn id="12" name="Due_Date"/>
    <tableColumn id="13" name="Exception_Code"/>
    <tableColumn id="14" name="Approval_State"/>
    <tableColumn id="15" name="Next_Action"/>
    <tableColumn id="16" name="Source_Reference"/>
  </tableColumns>
</table>
</file>

<file path=xl/tables/table5.xml><?xml version="1.0" encoding="utf-8"?>
<table xmlns="http://schemas.openxmlformats.org/spreadsheetml/2006/main" id="5" name="Exception_Aging" displayName="Exception_Aging" ref="A11:C18" headerRowCount="1" totalsRowCount="0" totalsRowShown="0">
  <autoFilter ref="A11:C18"/>
  <tableColumns count="3">
    <tableColumn id="1" name="Exception"/>
    <tableColumn id="2" name="Owner"/>
    <tableColumn id="3" name="Days open"/>
  </tableColumns>
</table>
</file>

<file path=xl/tables/table6.xml><?xml version="1.0" encoding="utf-8"?>
<table xmlns="http://schemas.openxmlformats.org/spreadsheetml/2006/main" id="6" name="Exception_View" displayName="Exception_View" ref="A1:J8" headerRowCount="1" totalsRowCount="0" totalsRowShown="0">
  <autoFilter ref="A1:J8"/>
  <tableColumns count="10">
    <tableColumn id="1" name="Exception_Code"/>
    <tableColumn id="2" name="Rep_ID"/>
    <tableColumn id="3" name="Competency_ID"/>
    <tableColumn id="4" name="Exception_Reason"/>
    <tableColumn id="5" name="Approval_State"/>
    <tableColumn id="6" name="Exception_Opened_Date"/>
    <tableColumn id="7" name="Exception_Owner"/>
    <tableColumn id="8" name="Next_Action"/>
    <tableColumn id="9" name="Next_Action_Due_Date"/>
    <tableColumn id="10" name="Days_Open"/>
  </tableColumns>
</table>
</file>

<file path=xl/tables/table7.xml><?xml version="1.0" encoding="utf-8"?>
<table xmlns="http://schemas.openxmlformats.org/spreadsheetml/2006/main" id="7" name="Readiness_Mix" displayName="Readiness_Mix" ref="A5:B10" headerRowCount="1" totalsRowCount="0" totalsRowShown="0">
  <autoFilter ref="A5:B10"/>
  <tableColumns count="2">
    <tableColumn id="1" name="Readiness_Status"/>
    <tableColumn id="2" name="Representatives"/>
  </tableColumns>
</table>
</file>

<file path=xl/tables/table8.xml><?xml version="1.0" encoding="utf-8"?>
<table xmlns="http://schemas.openxmlformats.org/spreadsheetml/2006/main" id="8" name="Register_Checks" displayName="Register_Checks" ref="A1:C6" headerRowCount="1" totalsRowCount="0" totalsRowShown="0">
  <autoFilter ref="A1:C6"/>
  <tableColumns count="3">
    <tableColumn id="1" name="Check"/>
    <tableColumn id="2" name="Formula_Result"/>
    <tableColumn id="3" name="Expected"/>
  </tableColumns>
</table>
</file>

<file path=xl/tables/table9.xml><?xml version="1.0" encoding="utf-8"?>
<table xmlns="http://schemas.openxmlformats.org/spreadsheetml/2006/main" id="9" name="Rep_Readiness_Summary" displayName="Rep_Readiness_Summary" ref="A1:L11" headerRowCount="1" totalsRowCount="0" totalsRowShown="0">
  <autoFilter ref="A1:L11"/>
  <tableColumns count="12">
    <tableColumn id="1" name="Rep_ID"/>
    <tableColumn id="2" name="Representative_Name"/>
    <tableColumn id="3" name="Segment"/>
    <tableColumn id="4" name="Supervisor_ID"/>
    <tableColumn id="5" name="Complete_Count"/>
    <tableColumn id="6" name="Required_Count"/>
    <tableColumn id="7" name="Approved_Exception_Count"/>
    <tableColumn id="8" name="Failed_Count"/>
    <tableColumn id="9" name="Open_or_Blocked_Count"/>
    <tableColumn id="10" name="Evidence_Complete_Pct"/>
    <tableColumn id="11" name="Readiness_Status"/>
    <tableColumn id="12" name="Approval_State"/>
  </tableColumns>
</table>
</file>

<file path=xl/tables/table10.xml><?xml version="1.0" encoding="utf-8"?>
<table xmlns="http://schemas.openxmlformats.org/spreadsheetml/2006/main" id="10" name="Requirements" displayName="Requirements" ref="A1:F8" headerRowCount="1" totalsRowCount="0" totalsRowShown="0">
  <autoFilter ref="A1:F8"/>
  <tableColumns count="6">
    <tableColumn id="1" name="Competency_ID"/>
    <tableColumn id="2" name="Competency_Name"/>
    <tableColumn id="3" name="Required_Evidence"/>
    <tableColumn id="4" name="Minimum_Rule"/>
    <tableColumn id="5" name="Prerequisite"/>
    <tableColumn id="6" name="Approval_Rol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7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<Relationship Id="rId3" Type="http://schemas.openxmlformats.org/officeDocument/2006/relationships/table" Target="../tables/table3.xml"/><Relationship Id="rId4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9.04"/>
    <col collapsed="false" customWidth="true" hidden="false" outlineLevel="0" max="2" min="2" style="1" width="46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5" customFormat="false" ht="15" hidden="false" customHeight="true" outlineLevel="0" collapsed="false">
      <c r="A5" s="4" t="s">
        <v>2</v>
      </c>
      <c r="B5" s="4" t="s">
        <v>3</v>
      </c>
    </row>
    <row r="6" customFormat="false" ht="15" hidden="false" customHeight="true" outlineLevel="0" collapsed="false">
      <c r="A6" s="5" t="s">
        <v>4</v>
      </c>
      <c r="B6" s="6" t="n">
        <f aca="false">COUNTIF('Rep Readiness Summary'!K2:K11,A6)</f>
        <v>3</v>
      </c>
    </row>
    <row r="7" customFormat="false" ht="15" hidden="false" customHeight="true" outlineLevel="0" collapsed="false">
      <c r="A7" s="7" t="s">
        <v>5</v>
      </c>
      <c r="B7" s="8" t="n">
        <f aca="false">COUNTIF('Rep Readiness Summary'!K2:K11,A7)</f>
        <v>1</v>
      </c>
    </row>
    <row r="8" customFormat="false" ht="15" hidden="false" customHeight="true" outlineLevel="0" collapsed="false">
      <c r="A8" s="5" t="s">
        <v>6</v>
      </c>
      <c r="B8" s="6" t="n">
        <f aca="false">COUNTIF('Rep Readiness Summary'!K2:K11,A8)</f>
        <v>2</v>
      </c>
    </row>
    <row r="9" customFormat="false" ht="15" hidden="false" customHeight="true" outlineLevel="0" collapsed="false">
      <c r="A9" s="7" t="s">
        <v>7</v>
      </c>
      <c r="B9" s="8" t="n">
        <f aca="false">COUNTIF('Rep Readiness Summary'!K2:K11,A9)</f>
        <v>2</v>
      </c>
    </row>
    <row r="10" customFormat="false" ht="15" hidden="false" customHeight="true" outlineLevel="0" collapsed="false">
      <c r="A10" s="5" t="s">
        <v>8</v>
      </c>
      <c r="B10" s="6" t="n">
        <f aca="false">COUNTIF('Rep Readiness Summary'!K2:K11,A10)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3.44"/>
    <col collapsed="false" customWidth="true" hidden="false" outlineLevel="0" max="2" min="2" style="1" width="79.28"/>
  </cols>
  <sheetData>
    <row r="1" customFormat="false" ht="15" hidden="false" customHeight="true" outlineLevel="0" collapsed="false">
      <c r="A1" s="4" t="s">
        <v>9</v>
      </c>
      <c r="B1" s="4" t="s">
        <v>10</v>
      </c>
    </row>
    <row r="2" customFormat="false" ht="15" hidden="false" customHeight="true" outlineLevel="0" collapsed="false">
      <c r="A2" s="5" t="s">
        <v>4</v>
      </c>
      <c r="B2" s="5" t="s">
        <v>11</v>
      </c>
    </row>
    <row r="3" customFormat="false" ht="15" hidden="false" customHeight="true" outlineLevel="0" collapsed="false">
      <c r="A3" s="7" t="s">
        <v>5</v>
      </c>
      <c r="B3" s="7" t="s">
        <v>12</v>
      </c>
    </row>
    <row r="4" customFormat="false" ht="15" hidden="false" customHeight="true" outlineLevel="0" collapsed="false">
      <c r="A4" s="5" t="s">
        <v>6</v>
      </c>
      <c r="B4" s="5" t="s">
        <v>13</v>
      </c>
    </row>
    <row r="5" customFormat="false" ht="15" hidden="false" customHeight="true" outlineLevel="0" collapsed="false">
      <c r="A5" s="7" t="s">
        <v>7</v>
      </c>
      <c r="B5" s="7" t="s">
        <v>14</v>
      </c>
    </row>
    <row r="6" customFormat="false" ht="15" hidden="false" customHeight="true" outlineLevel="0" collapsed="false">
      <c r="A6" s="5" t="s">
        <v>8</v>
      </c>
      <c r="B6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.56"/>
    <col collapsed="false" customWidth="true" hidden="false" outlineLevel="0" max="2" min="2" style="1" width="32.24"/>
    <col collapsed="false" customWidth="true" hidden="false" outlineLevel="0" max="3" min="3" style="1" width="38.96"/>
    <col collapsed="false" customWidth="true" hidden="false" outlineLevel="0" max="4" min="4" style="1" width="43.44"/>
    <col collapsed="false" customWidth="true" hidden="false" outlineLevel="0" max="5" min="5" style="1" width="25.52"/>
    <col collapsed="false" customWidth="true" hidden="false" outlineLevel="0" max="6" min="6" style="1" width="30"/>
  </cols>
  <sheetData>
    <row r="1" customFormat="false" ht="15" hidden="false" customHeight="tru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</row>
    <row r="2" customFormat="false" ht="15" hidden="false" customHeight="true" outlineLevel="0" collapsed="false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</row>
    <row r="3" customFormat="false" ht="15" hidden="false" customHeight="true" outlineLevel="0" collapsed="false">
      <c r="A3" s="7" t="s">
        <v>28</v>
      </c>
      <c r="B3" s="7" t="s">
        <v>29</v>
      </c>
      <c r="C3" s="7" t="s">
        <v>30</v>
      </c>
      <c r="D3" s="7" t="s">
        <v>31</v>
      </c>
      <c r="E3" s="7" t="s">
        <v>22</v>
      </c>
      <c r="F3" s="7" t="s">
        <v>32</v>
      </c>
    </row>
    <row r="4" customFormat="false" ht="15" hidden="false" customHeight="true" outlineLevel="0" collapsed="false">
      <c r="A4" s="5" t="s">
        <v>33</v>
      </c>
      <c r="B4" s="5" t="s">
        <v>34</v>
      </c>
      <c r="C4" s="5" t="s">
        <v>35</v>
      </c>
      <c r="D4" s="5" t="s">
        <v>36</v>
      </c>
      <c r="E4" s="5" t="s">
        <v>28</v>
      </c>
      <c r="F4" s="5" t="s">
        <v>37</v>
      </c>
    </row>
    <row r="5" customFormat="false" ht="15" hidden="false" customHeight="true" outlineLevel="0" collapsed="false">
      <c r="A5" s="7" t="s">
        <v>38</v>
      </c>
      <c r="B5" s="7" t="s">
        <v>39</v>
      </c>
      <c r="C5" s="7" t="s">
        <v>40</v>
      </c>
      <c r="D5" s="7" t="s">
        <v>41</v>
      </c>
      <c r="E5" s="7" t="s">
        <v>22</v>
      </c>
      <c r="F5" s="7" t="s">
        <v>42</v>
      </c>
    </row>
    <row r="6" customFormat="false" ht="15" hidden="false" customHeight="true" outlineLevel="0" collapsed="false">
      <c r="A6" s="5" t="s">
        <v>43</v>
      </c>
      <c r="B6" s="5" t="s">
        <v>44</v>
      </c>
      <c r="C6" s="5" t="s">
        <v>45</v>
      </c>
      <c r="D6" s="5" t="s">
        <v>46</v>
      </c>
      <c r="E6" s="5" t="s">
        <v>22</v>
      </c>
      <c r="F6" s="5" t="s">
        <v>47</v>
      </c>
    </row>
    <row r="7" customFormat="false" ht="15" hidden="false" customHeight="true" outlineLevel="0" collapsed="false">
      <c r="A7" s="7" t="s">
        <v>48</v>
      </c>
      <c r="B7" s="7" t="s">
        <v>49</v>
      </c>
      <c r="C7" s="7" t="s">
        <v>50</v>
      </c>
      <c r="D7" s="7" t="s">
        <v>25</v>
      </c>
      <c r="E7" s="7" t="s">
        <v>51</v>
      </c>
      <c r="F7" s="7" t="s">
        <v>52</v>
      </c>
    </row>
    <row r="8" customFormat="false" ht="15" hidden="false" customHeight="true" outlineLevel="0" collapsed="false">
      <c r="A8" s="5" t="s">
        <v>53</v>
      </c>
      <c r="B8" s="5" t="s">
        <v>54</v>
      </c>
      <c r="C8" s="5" t="s">
        <v>55</v>
      </c>
      <c r="D8" s="5" t="s">
        <v>56</v>
      </c>
      <c r="E8" s="5" t="s">
        <v>57</v>
      </c>
      <c r="F8" s="5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97"/>
    <col collapsed="false" customWidth="true" hidden="false" outlineLevel="0" max="2" min="2" style="1" width="23.28"/>
    <col collapsed="false" customWidth="true" hidden="false" outlineLevel="0" max="3" min="3" style="1" width="16.56"/>
    <col collapsed="false" customWidth="true" hidden="false" outlineLevel="0" max="4" min="4" style="1" width="32.24"/>
    <col collapsed="false" customWidth="true" hidden="false" outlineLevel="0" max="5" min="5" style="1" width="38.96"/>
    <col collapsed="false" customWidth="true" hidden="false" outlineLevel="0" max="6" min="6" style="1" width="43.44"/>
    <col collapsed="false" customWidth="true" hidden="false" outlineLevel="0" max="7" min="7" style="1" width="38.96"/>
    <col collapsed="false" customWidth="true" hidden="false" outlineLevel="0" max="8" min="8" style="1" width="23.28"/>
    <col collapsed="false" customWidth="true" hidden="false" outlineLevel="0" max="9" min="9" style="1" width="10"/>
    <col collapsed="false" customWidth="true" hidden="false" outlineLevel="0" max="10" min="10" style="1" width="22.16"/>
    <col collapsed="false" customWidth="true" hidden="false" outlineLevel="0" max="12" min="11" style="1" width="13.2"/>
    <col collapsed="false" customWidth="true" hidden="false" outlineLevel="0" max="13" min="13" style="1" width="17.68"/>
    <col collapsed="false" customWidth="true" hidden="false" outlineLevel="0" max="14" min="14" style="1" width="31.11"/>
    <col collapsed="false" customWidth="true" hidden="false" outlineLevel="0" max="15" min="15" style="1" width="100.56"/>
    <col collapsed="false" customWidth="true" hidden="false" outlineLevel="0" max="16" min="16" style="1" width="19.92"/>
  </cols>
  <sheetData>
    <row r="1" customFormat="false" ht="15" hidden="false" customHeight="true" outlineLevel="0" collapsed="false">
      <c r="A1" s="4" t="s">
        <v>59</v>
      </c>
      <c r="B1" s="4" t="s">
        <v>60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61</v>
      </c>
      <c r="H1" s="4" t="s">
        <v>62</v>
      </c>
      <c r="I1" s="4" t="s">
        <v>63</v>
      </c>
      <c r="J1" s="4" t="s">
        <v>64</v>
      </c>
      <c r="K1" s="4" t="s">
        <v>65</v>
      </c>
      <c r="L1" s="4" t="s">
        <v>66</v>
      </c>
      <c r="M1" s="4" t="s">
        <v>67</v>
      </c>
      <c r="N1" s="4" t="s">
        <v>68</v>
      </c>
      <c r="O1" s="4" t="s">
        <v>69</v>
      </c>
      <c r="P1" s="4" t="s">
        <v>70</v>
      </c>
    </row>
    <row r="2" customFormat="false" ht="15" hidden="false" customHeight="true" outlineLevel="0" collapsed="false">
      <c r="A2" s="5" t="s">
        <v>71</v>
      </c>
      <c r="B2" s="5" t="s">
        <v>72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24</v>
      </c>
      <c r="H2" s="9" t="n">
        <v>46214</v>
      </c>
      <c r="I2" s="6" t="n">
        <v>92</v>
      </c>
      <c r="J2" s="5" t="s">
        <v>73</v>
      </c>
      <c r="K2" s="5" t="s">
        <v>74</v>
      </c>
      <c r="L2" s="9"/>
      <c r="M2" s="5"/>
      <c r="N2" s="5" t="s">
        <v>75</v>
      </c>
      <c r="O2" s="5" t="s">
        <v>76</v>
      </c>
      <c r="P2" s="5" t="s">
        <v>77</v>
      </c>
    </row>
    <row r="3" customFormat="false" ht="15" hidden="false" customHeight="true" outlineLevel="0" collapsed="false">
      <c r="A3" s="7" t="s">
        <v>71</v>
      </c>
      <c r="B3" s="7" t="s">
        <v>72</v>
      </c>
      <c r="C3" s="7" t="s">
        <v>28</v>
      </c>
      <c r="D3" s="7" t="s">
        <v>29</v>
      </c>
      <c r="E3" s="7" t="s">
        <v>30</v>
      </c>
      <c r="F3" s="7" t="s">
        <v>31</v>
      </c>
      <c r="G3" s="7" t="s">
        <v>30</v>
      </c>
      <c r="H3" s="10" t="n">
        <v>46215</v>
      </c>
      <c r="I3" s="8" t="n">
        <v>94</v>
      </c>
      <c r="J3" s="7" t="s">
        <v>73</v>
      </c>
      <c r="K3" s="7" t="s">
        <v>78</v>
      </c>
      <c r="L3" s="10"/>
      <c r="M3" s="7"/>
      <c r="N3" s="7" t="s">
        <v>75</v>
      </c>
      <c r="O3" s="7" t="s">
        <v>76</v>
      </c>
      <c r="P3" s="7" t="s">
        <v>79</v>
      </c>
    </row>
    <row r="4" customFormat="false" ht="15" hidden="false" customHeight="true" outlineLevel="0" collapsed="false">
      <c r="A4" s="5" t="s">
        <v>71</v>
      </c>
      <c r="B4" s="5" t="s">
        <v>72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35</v>
      </c>
      <c r="H4" s="9" t="n">
        <v>46216</v>
      </c>
      <c r="I4" s="6" t="n">
        <v>93</v>
      </c>
      <c r="J4" s="5" t="s">
        <v>73</v>
      </c>
      <c r="K4" s="5" t="s">
        <v>80</v>
      </c>
      <c r="L4" s="9"/>
      <c r="M4" s="5"/>
      <c r="N4" s="5" t="s">
        <v>75</v>
      </c>
      <c r="O4" s="5" t="s">
        <v>76</v>
      </c>
      <c r="P4" s="5" t="s">
        <v>81</v>
      </c>
    </row>
    <row r="5" customFormat="false" ht="15" hidden="false" customHeight="true" outlineLevel="0" collapsed="false">
      <c r="A5" s="7" t="s">
        <v>71</v>
      </c>
      <c r="B5" s="7" t="s">
        <v>72</v>
      </c>
      <c r="C5" s="7" t="s">
        <v>38</v>
      </c>
      <c r="D5" s="7" t="s">
        <v>39</v>
      </c>
      <c r="E5" s="7" t="s">
        <v>40</v>
      </c>
      <c r="F5" s="7" t="s">
        <v>41</v>
      </c>
      <c r="G5" s="7" t="s">
        <v>40</v>
      </c>
      <c r="H5" s="10" t="n">
        <v>46217</v>
      </c>
      <c r="I5" s="8" t="n">
        <v>2</v>
      </c>
      <c r="J5" s="7" t="s">
        <v>73</v>
      </c>
      <c r="K5" s="7" t="s">
        <v>82</v>
      </c>
      <c r="L5" s="10"/>
      <c r="M5" s="7"/>
      <c r="N5" s="7" t="s">
        <v>75</v>
      </c>
      <c r="O5" s="7" t="s">
        <v>76</v>
      </c>
      <c r="P5" s="7" t="s">
        <v>83</v>
      </c>
    </row>
    <row r="6" customFormat="false" ht="15" hidden="false" customHeight="true" outlineLevel="0" collapsed="false">
      <c r="A6" s="5" t="s">
        <v>71</v>
      </c>
      <c r="B6" s="5" t="s">
        <v>72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45</v>
      </c>
      <c r="H6" s="9" t="n">
        <v>46213</v>
      </c>
      <c r="I6" s="6" t="n">
        <v>99</v>
      </c>
      <c r="J6" s="5" t="s">
        <v>73</v>
      </c>
      <c r="K6" s="5" t="s">
        <v>84</v>
      </c>
      <c r="L6" s="9"/>
      <c r="M6" s="5"/>
      <c r="N6" s="5" t="s">
        <v>75</v>
      </c>
      <c r="O6" s="5" t="s">
        <v>76</v>
      </c>
      <c r="P6" s="5" t="s">
        <v>85</v>
      </c>
    </row>
    <row r="7" customFormat="false" ht="15" hidden="false" customHeight="true" outlineLevel="0" collapsed="false">
      <c r="A7" s="7" t="s">
        <v>71</v>
      </c>
      <c r="B7" s="7" t="s">
        <v>72</v>
      </c>
      <c r="C7" s="7" t="s">
        <v>48</v>
      </c>
      <c r="D7" s="7" t="s">
        <v>49</v>
      </c>
      <c r="E7" s="7" t="s">
        <v>50</v>
      </c>
      <c r="F7" s="7" t="s">
        <v>25</v>
      </c>
      <c r="G7" s="7" t="s">
        <v>50</v>
      </c>
      <c r="H7" s="10" t="n">
        <v>46214</v>
      </c>
      <c r="I7" s="8" t="n">
        <v>90</v>
      </c>
      <c r="J7" s="7" t="s">
        <v>73</v>
      </c>
      <c r="K7" s="7" t="s">
        <v>86</v>
      </c>
      <c r="L7" s="10"/>
      <c r="M7" s="7"/>
      <c r="N7" s="7" t="s">
        <v>75</v>
      </c>
      <c r="O7" s="7" t="s">
        <v>76</v>
      </c>
      <c r="P7" s="7" t="s">
        <v>87</v>
      </c>
    </row>
    <row r="8" customFormat="false" ht="15" hidden="false" customHeight="true" outlineLevel="0" collapsed="false">
      <c r="A8" s="5" t="s">
        <v>71</v>
      </c>
      <c r="B8" s="5" t="s">
        <v>72</v>
      </c>
      <c r="C8" s="5" t="s">
        <v>53</v>
      </c>
      <c r="D8" s="5" t="s">
        <v>54</v>
      </c>
      <c r="E8" s="5" t="s">
        <v>55</v>
      </c>
      <c r="F8" s="5" t="s">
        <v>56</v>
      </c>
      <c r="G8" s="5" t="s">
        <v>55</v>
      </c>
      <c r="H8" s="9" t="n">
        <v>46215</v>
      </c>
      <c r="I8" s="6" t="n">
        <v>95</v>
      </c>
      <c r="J8" s="5" t="s">
        <v>73</v>
      </c>
      <c r="K8" s="5" t="s">
        <v>88</v>
      </c>
      <c r="L8" s="9"/>
      <c r="M8" s="5"/>
      <c r="N8" s="5" t="s">
        <v>75</v>
      </c>
      <c r="O8" s="5" t="s">
        <v>76</v>
      </c>
      <c r="P8" s="5" t="s">
        <v>89</v>
      </c>
    </row>
    <row r="9" customFormat="false" ht="15" hidden="false" customHeight="true" outlineLevel="0" collapsed="false">
      <c r="A9" s="7" t="s">
        <v>90</v>
      </c>
      <c r="B9" s="7" t="s">
        <v>91</v>
      </c>
      <c r="C9" s="7" t="s">
        <v>22</v>
      </c>
      <c r="D9" s="7" t="s">
        <v>23</v>
      </c>
      <c r="E9" s="7" t="s">
        <v>24</v>
      </c>
      <c r="F9" s="7" t="s">
        <v>25</v>
      </c>
      <c r="G9" s="7" t="s">
        <v>24</v>
      </c>
      <c r="H9" s="10" t="n">
        <v>46214</v>
      </c>
      <c r="I9" s="8" t="n">
        <v>92</v>
      </c>
      <c r="J9" s="7" t="s">
        <v>73</v>
      </c>
      <c r="K9" s="7" t="s">
        <v>74</v>
      </c>
      <c r="L9" s="10"/>
      <c r="M9" s="7"/>
      <c r="N9" s="7" t="s">
        <v>75</v>
      </c>
      <c r="O9" s="7" t="s">
        <v>76</v>
      </c>
      <c r="P9" s="7" t="s">
        <v>92</v>
      </c>
    </row>
    <row r="10" customFormat="false" ht="15" hidden="false" customHeight="true" outlineLevel="0" collapsed="false">
      <c r="A10" s="5" t="s">
        <v>90</v>
      </c>
      <c r="B10" s="5" t="s">
        <v>91</v>
      </c>
      <c r="C10" s="5" t="s">
        <v>28</v>
      </c>
      <c r="D10" s="5" t="s">
        <v>29</v>
      </c>
      <c r="E10" s="5" t="s">
        <v>30</v>
      </c>
      <c r="F10" s="5" t="s">
        <v>31</v>
      </c>
      <c r="G10" s="5" t="s">
        <v>30</v>
      </c>
      <c r="H10" s="9" t="n">
        <v>46215</v>
      </c>
      <c r="I10" s="6" t="n">
        <v>94</v>
      </c>
      <c r="J10" s="5" t="s">
        <v>73</v>
      </c>
      <c r="K10" s="5" t="s">
        <v>78</v>
      </c>
      <c r="L10" s="9"/>
      <c r="M10" s="5"/>
      <c r="N10" s="5" t="s">
        <v>75</v>
      </c>
      <c r="O10" s="5" t="s">
        <v>76</v>
      </c>
      <c r="P10" s="5" t="s">
        <v>93</v>
      </c>
    </row>
    <row r="11" customFormat="false" ht="15" hidden="false" customHeight="true" outlineLevel="0" collapsed="false">
      <c r="A11" s="7" t="s">
        <v>90</v>
      </c>
      <c r="B11" s="7" t="s">
        <v>91</v>
      </c>
      <c r="C11" s="7" t="s">
        <v>33</v>
      </c>
      <c r="D11" s="7" t="s">
        <v>34</v>
      </c>
      <c r="E11" s="7" t="s">
        <v>35</v>
      </c>
      <c r="F11" s="7" t="s">
        <v>36</v>
      </c>
      <c r="G11" s="7" t="s">
        <v>35</v>
      </c>
      <c r="H11" s="10" t="n">
        <v>46216</v>
      </c>
      <c r="I11" s="8" t="n">
        <v>93</v>
      </c>
      <c r="J11" s="7" t="s">
        <v>73</v>
      </c>
      <c r="K11" s="7" t="s">
        <v>80</v>
      </c>
      <c r="L11" s="10"/>
      <c r="M11" s="7"/>
      <c r="N11" s="7" t="s">
        <v>75</v>
      </c>
      <c r="O11" s="7" t="s">
        <v>76</v>
      </c>
      <c r="P11" s="7" t="s">
        <v>94</v>
      </c>
    </row>
    <row r="12" customFormat="false" ht="15" hidden="false" customHeight="true" outlineLevel="0" collapsed="false">
      <c r="A12" s="5" t="s">
        <v>90</v>
      </c>
      <c r="B12" s="5" t="s">
        <v>91</v>
      </c>
      <c r="C12" s="5" t="s">
        <v>38</v>
      </c>
      <c r="D12" s="5" t="s">
        <v>39</v>
      </c>
      <c r="E12" s="5" t="s">
        <v>40</v>
      </c>
      <c r="F12" s="5" t="s">
        <v>41</v>
      </c>
      <c r="G12" s="5" t="s">
        <v>40</v>
      </c>
      <c r="H12" s="9" t="n">
        <v>46217</v>
      </c>
      <c r="I12" s="6" t="n">
        <v>2</v>
      </c>
      <c r="J12" s="5" t="s">
        <v>73</v>
      </c>
      <c r="K12" s="5" t="s">
        <v>82</v>
      </c>
      <c r="L12" s="9"/>
      <c r="M12" s="5"/>
      <c r="N12" s="5" t="s">
        <v>75</v>
      </c>
      <c r="O12" s="5" t="s">
        <v>76</v>
      </c>
      <c r="P12" s="5" t="s">
        <v>95</v>
      </c>
    </row>
    <row r="13" customFormat="false" ht="15" hidden="false" customHeight="true" outlineLevel="0" collapsed="false">
      <c r="A13" s="7" t="s">
        <v>90</v>
      </c>
      <c r="B13" s="7" t="s">
        <v>91</v>
      </c>
      <c r="C13" s="7" t="s">
        <v>43</v>
      </c>
      <c r="D13" s="7" t="s">
        <v>44</v>
      </c>
      <c r="E13" s="7" t="s">
        <v>45</v>
      </c>
      <c r="F13" s="7" t="s">
        <v>46</v>
      </c>
      <c r="G13" s="7" t="s">
        <v>45</v>
      </c>
      <c r="H13" s="10" t="n">
        <v>46213</v>
      </c>
      <c r="I13" s="8" t="n">
        <v>99</v>
      </c>
      <c r="J13" s="7" t="s">
        <v>73</v>
      </c>
      <c r="K13" s="7" t="s">
        <v>84</v>
      </c>
      <c r="L13" s="10"/>
      <c r="M13" s="7"/>
      <c r="N13" s="7" t="s">
        <v>75</v>
      </c>
      <c r="O13" s="7" t="s">
        <v>76</v>
      </c>
      <c r="P13" s="7" t="s">
        <v>96</v>
      </c>
    </row>
    <row r="14" customFormat="false" ht="15" hidden="false" customHeight="true" outlineLevel="0" collapsed="false">
      <c r="A14" s="5" t="s">
        <v>90</v>
      </c>
      <c r="B14" s="5" t="s">
        <v>91</v>
      </c>
      <c r="C14" s="5" t="s">
        <v>48</v>
      </c>
      <c r="D14" s="5" t="s">
        <v>49</v>
      </c>
      <c r="E14" s="5" t="s">
        <v>50</v>
      </c>
      <c r="F14" s="5" t="s">
        <v>25</v>
      </c>
      <c r="G14" s="5" t="s">
        <v>50</v>
      </c>
      <c r="H14" s="9" t="n">
        <v>46214</v>
      </c>
      <c r="I14" s="6" t="n">
        <v>90</v>
      </c>
      <c r="J14" s="5" t="s">
        <v>73</v>
      </c>
      <c r="K14" s="5" t="s">
        <v>86</v>
      </c>
      <c r="L14" s="9"/>
      <c r="M14" s="5"/>
      <c r="N14" s="5" t="s">
        <v>75</v>
      </c>
      <c r="O14" s="5" t="s">
        <v>76</v>
      </c>
      <c r="P14" s="5" t="s">
        <v>97</v>
      </c>
    </row>
    <row r="15" customFormat="false" ht="15" hidden="false" customHeight="true" outlineLevel="0" collapsed="false">
      <c r="A15" s="7" t="s">
        <v>90</v>
      </c>
      <c r="B15" s="7" t="s">
        <v>91</v>
      </c>
      <c r="C15" s="7" t="s">
        <v>53</v>
      </c>
      <c r="D15" s="7" t="s">
        <v>54</v>
      </c>
      <c r="E15" s="7" t="s">
        <v>55</v>
      </c>
      <c r="F15" s="7" t="s">
        <v>56</v>
      </c>
      <c r="G15" s="7" t="s">
        <v>98</v>
      </c>
      <c r="H15" s="10" t="n">
        <v>46215</v>
      </c>
      <c r="I15" s="8" t="n">
        <v>86</v>
      </c>
      <c r="J15" s="7" t="s">
        <v>99</v>
      </c>
      <c r="K15" s="7" t="s">
        <v>100</v>
      </c>
      <c r="L15" s="10" t="n">
        <v>46223</v>
      </c>
      <c r="M15" s="7" t="s">
        <v>101</v>
      </c>
      <c r="N15" s="7" t="s">
        <v>102</v>
      </c>
      <c r="O15" s="7" t="s">
        <v>103</v>
      </c>
      <c r="P15" s="7" t="s">
        <v>104</v>
      </c>
    </row>
    <row r="16" customFormat="false" ht="15" hidden="false" customHeight="true" outlineLevel="0" collapsed="false">
      <c r="A16" s="5" t="s">
        <v>105</v>
      </c>
      <c r="B16" s="5" t="s">
        <v>106</v>
      </c>
      <c r="C16" s="5" t="s">
        <v>22</v>
      </c>
      <c r="D16" s="5" t="s">
        <v>23</v>
      </c>
      <c r="E16" s="5" t="s">
        <v>24</v>
      </c>
      <c r="F16" s="5" t="s">
        <v>25</v>
      </c>
      <c r="G16" s="5" t="s">
        <v>24</v>
      </c>
      <c r="H16" s="9" t="n">
        <v>46214</v>
      </c>
      <c r="I16" s="6" t="n">
        <v>92</v>
      </c>
      <c r="J16" s="5" t="s">
        <v>73</v>
      </c>
      <c r="K16" s="5" t="s">
        <v>74</v>
      </c>
      <c r="L16" s="9"/>
      <c r="M16" s="5"/>
      <c r="N16" s="5" t="s">
        <v>75</v>
      </c>
      <c r="O16" s="5" t="s">
        <v>76</v>
      </c>
      <c r="P16" s="5" t="s">
        <v>107</v>
      </c>
    </row>
    <row r="17" customFormat="false" ht="15" hidden="false" customHeight="true" outlineLevel="0" collapsed="false">
      <c r="A17" s="7" t="s">
        <v>105</v>
      </c>
      <c r="B17" s="7" t="s">
        <v>106</v>
      </c>
      <c r="C17" s="7" t="s">
        <v>28</v>
      </c>
      <c r="D17" s="7" t="s">
        <v>29</v>
      </c>
      <c r="E17" s="7" t="s">
        <v>30</v>
      </c>
      <c r="F17" s="7" t="s">
        <v>31</v>
      </c>
      <c r="G17" s="7" t="s">
        <v>30</v>
      </c>
      <c r="H17" s="10" t="n">
        <v>46215</v>
      </c>
      <c r="I17" s="8" t="n">
        <v>94</v>
      </c>
      <c r="J17" s="7" t="s">
        <v>73</v>
      </c>
      <c r="K17" s="7" t="s">
        <v>78</v>
      </c>
      <c r="L17" s="10"/>
      <c r="M17" s="7"/>
      <c r="N17" s="7" t="s">
        <v>75</v>
      </c>
      <c r="O17" s="7" t="s">
        <v>76</v>
      </c>
      <c r="P17" s="7" t="s">
        <v>108</v>
      </c>
    </row>
    <row r="18" customFormat="false" ht="15" hidden="false" customHeight="true" outlineLevel="0" collapsed="false">
      <c r="A18" s="5" t="s">
        <v>105</v>
      </c>
      <c r="B18" s="5" t="s">
        <v>106</v>
      </c>
      <c r="C18" s="5" t="s">
        <v>33</v>
      </c>
      <c r="D18" s="5" t="s">
        <v>34</v>
      </c>
      <c r="E18" s="5" t="s">
        <v>35</v>
      </c>
      <c r="F18" s="5" t="s">
        <v>36</v>
      </c>
      <c r="G18" s="5" t="s">
        <v>35</v>
      </c>
      <c r="H18" s="9" t="n">
        <v>46216</v>
      </c>
      <c r="I18" s="6" t="n">
        <v>82</v>
      </c>
      <c r="J18" s="5" t="s">
        <v>109</v>
      </c>
      <c r="K18" s="5" t="s">
        <v>110</v>
      </c>
      <c r="L18" s="9" t="n">
        <v>46220</v>
      </c>
      <c r="M18" s="5" t="s">
        <v>111</v>
      </c>
      <c r="N18" s="5" t="s">
        <v>112</v>
      </c>
      <c r="O18" s="5" t="s">
        <v>113</v>
      </c>
      <c r="P18" s="5" t="s">
        <v>114</v>
      </c>
    </row>
    <row r="19" customFormat="false" ht="15" hidden="false" customHeight="true" outlineLevel="0" collapsed="false">
      <c r="A19" s="7" t="s">
        <v>105</v>
      </c>
      <c r="B19" s="7" t="s">
        <v>106</v>
      </c>
      <c r="C19" s="7" t="s">
        <v>38</v>
      </c>
      <c r="D19" s="7" t="s">
        <v>39</v>
      </c>
      <c r="E19" s="7" t="s">
        <v>40</v>
      </c>
      <c r="F19" s="7" t="s">
        <v>41</v>
      </c>
      <c r="G19" s="7" t="s">
        <v>40</v>
      </c>
      <c r="H19" s="10" t="n">
        <v>46217</v>
      </c>
      <c r="I19" s="8" t="n">
        <v>2</v>
      </c>
      <c r="J19" s="7" t="s">
        <v>73</v>
      </c>
      <c r="K19" s="7" t="s">
        <v>82</v>
      </c>
      <c r="L19" s="10"/>
      <c r="M19" s="7"/>
      <c r="N19" s="7" t="s">
        <v>75</v>
      </c>
      <c r="O19" s="7" t="s">
        <v>76</v>
      </c>
      <c r="P19" s="7" t="s">
        <v>115</v>
      </c>
    </row>
    <row r="20" customFormat="false" ht="15" hidden="false" customHeight="true" outlineLevel="0" collapsed="false">
      <c r="A20" s="5" t="s">
        <v>105</v>
      </c>
      <c r="B20" s="5" t="s">
        <v>106</v>
      </c>
      <c r="C20" s="5" t="s">
        <v>43</v>
      </c>
      <c r="D20" s="5" t="s">
        <v>44</v>
      </c>
      <c r="E20" s="5" t="s">
        <v>45</v>
      </c>
      <c r="F20" s="5" t="s">
        <v>46</v>
      </c>
      <c r="G20" s="5" t="s">
        <v>45</v>
      </c>
      <c r="H20" s="9" t="n">
        <v>46213</v>
      </c>
      <c r="I20" s="6" t="n">
        <v>99</v>
      </c>
      <c r="J20" s="5" t="s">
        <v>73</v>
      </c>
      <c r="K20" s="5" t="s">
        <v>84</v>
      </c>
      <c r="L20" s="9"/>
      <c r="M20" s="5"/>
      <c r="N20" s="5" t="s">
        <v>75</v>
      </c>
      <c r="O20" s="5" t="s">
        <v>76</v>
      </c>
      <c r="P20" s="5" t="s">
        <v>116</v>
      </c>
    </row>
    <row r="21" customFormat="false" ht="15" hidden="false" customHeight="true" outlineLevel="0" collapsed="false">
      <c r="A21" s="7" t="s">
        <v>105</v>
      </c>
      <c r="B21" s="7" t="s">
        <v>106</v>
      </c>
      <c r="C21" s="7" t="s">
        <v>48</v>
      </c>
      <c r="D21" s="7" t="s">
        <v>49</v>
      </c>
      <c r="E21" s="7" t="s">
        <v>50</v>
      </c>
      <c r="F21" s="7" t="s">
        <v>25</v>
      </c>
      <c r="G21" s="7" t="s">
        <v>50</v>
      </c>
      <c r="H21" s="10" t="n">
        <v>46214</v>
      </c>
      <c r="I21" s="8" t="n">
        <v>90</v>
      </c>
      <c r="J21" s="7" t="s">
        <v>73</v>
      </c>
      <c r="K21" s="7" t="s">
        <v>86</v>
      </c>
      <c r="L21" s="10"/>
      <c r="M21" s="7"/>
      <c r="N21" s="7" t="s">
        <v>75</v>
      </c>
      <c r="O21" s="7" t="s">
        <v>76</v>
      </c>
      <c r="P21" s="7" t="s">
        <v>117</v>
      </c>
    </row>
    <row r="22" customFormat="false" ht="15" hidden="false" customHeight="true" outlineLevel="0" collapsed="false">
      <c r="A22" s="5" t="s">
        <v>105</v>
      </c>
      <c r="B22" s="5" t="s">
        <v>106</v>
      </c>
      <c r="C22" s="5" t="s">
        <v>53</v>
      </c>
      <c r="D22" s="5" t="s">
        <v>54</v>
      </c>
      <c r="E22" s="5" t="s">
        <v>55</v>
      </c>
      <c r="F22" s="5" t="s">
        <v>56</v>
      </c>
      <c r="G22" s="5" t="s">
        <v>118</v>
      </c>
      <c r="H22" s="9"/>
      <c r="I22" s="6"/>
      <c r="J22" s="5" t="s">
        <v>119</v>
      </c>
      <c r="K22" s="5" t="s">
        <v>110</v>
      </c>
      <c r="L22" s="9" t="n">
        <v>46220</v>
      </c>
      <c r="M22" s="5" t="s">
        <v>111</v>
      </c>
      <c r="N22" s="5" t="s">
        <v>112</v>
      </c>
      <c r="O22" s="5" t="s">
        <v>120</v>
      </c>
      <c r="P22" s="5" t="s">
        <v>121</v>
      </c>
    </row>
    <row r="23" customFormat="false" ht="15" hidden="false" customHeight="true" outlineLevel="0" collapsed="false">
      <c r="A23" s="7" t="s">
        <v>122</v>
      </c>
      <c r="B23" s="7" t="s">
        <v>123</v>
      </c>
      <c r="C23" s="7" t="s">
        <v>22</v>
      </c>
      <c r="D23" s="7" t="s">
        <v>23</v>
      </c>
      <c r="E23" s="7" t="s">
        <v>24</v>
      </c>
      <c r="F23" s="7" t="s">
        <v>25</v>
      </c>
      <c r="G23" s="7" t="s">
        <v>24</v>
      </c>
      <c r="H23" s="10" t="n">
        <v>46214</v>
      </c>
      <c r="I23" s="8" t="n">
        <v>92</v>
      </c>
      <c r="J23" s="7" t="s">
        <v>73</v>
      </c>
      <c r="K23" s="7" t="s">
        <v>74</v>
      </c>
      <c r="L23" s="10"/>
      <c r="M23" s="7"/>
      <c r="N23" s="7" t="s">
        <v>75</v>
      </c>
      <c r="O23" s="7" t="s">
        <v>76</v>
      </c>
      <c r="P23" s="7" t="s">
        <v>124</v>
      </c>
    </row>
    <row r="24" customFormat="false" ht="15" hidden="false" customHeight="true" outlineLevel="0" collapsed="false">
      <c r="A24" s="5" t="s">
        <v>122</v>
      </c>
      <c r="B24" s="5" t="s">
        <v>123</v>
      </c>
      <c r="C24" s="5" t="s">
        <v>28</v>
      </c>
      <c r="D24" s="5" t="s">
        <v>29</v>
      </c>
      <c r="E24" s="5" t="s">
        <v>30</v>
      </c>
      <c r="F24" s="5" t="s">
        <v>31</v>
      </c>
      <c r="G24" s="5" t="s">
        <v>30</v>
      </c>
      <c r="H24" s="9" t="n">
        <v>46215</v>
      </c>
      <c r="I24" s="6" t="n">
        <v>94</v>
      </c>
      <c r="J24" s="5" t="s">
        <v>73</v>
      </c>
      <c r="K24" s="5" t="s">
        <v>78</v>
      </c>
      <c r="L24" s="9"/>
      <c r="M24" s="5"/>
      <c r="N24" s="5" t="s">
        <v>75</v>
      </c>
      <c r="O24" s="5" t="s">
        <v>76</v>
      </c>
      <c r="P24" s="5" t="s">
        <v>125</v>
      </c>
    </row>
    <row r="25" customFormat="false" ht="15" hidden="false" customHeight="true" outlineLevel="0" collapsed="false">
      <c r="A25" s="7" t="s">
        <v>122</v>
      </c>
      <c r="B25" s="7" t="s">
        <v>123</v>
      </c>
      <c r="C25" s="7" t="s">
        <v>33</v>
      </c>
      <c r="D25" s="7" t="s">
        <v>34</v>
      </c>
      <c r="E25" s="7" t="s">
        <v>35</v>
      </c>
      <c r="F25" s="7" t="s">
        <v>36</v>
      </c>
      <c r="G25" s="7" t="s">
        <v>35</v>
      </c>
      <c r="H25" s="10" t="n">
        <v>46216</v>
      </c>
      <c r="I25" s="8" t="n">
        <v>93</v>
      </c>
      <c r="J25" s="7" t="s">
        <v>73</v>
      </c>
      <c r="K25" s="7" t="s">
        <v>80</v>
      </c>
      <c r="L25" s="10"/>
      <c r="M25" s="7"/>
      <c r="N25" s="7" t="s">
        <v>75</v>
      </c>
      <c r="O25" s="7" t="s">
        <v>76</v>
      </c>
      <c r="P25" s="7" t="s">
        <v>126</v>
      </c>
    </row>
    <row r="26" customFormat="false" ht="15" hidden="false" customHeight="true" outlineLevel="0" collapsed="false">
      <c r="A26" s="5" t="s">
        <v>122</v>
      </c>
      <c r="B26" s="5" t="s">
        <v>123</v>
      </c>
      <c r="C26" s="5" t="s">
        <v>38</v>
      </c>
      <c r="D26" s="5" t="s">
        <v>39</v>
      </c>
      <c r="E26" s="5" t="s">
        <v>40</v>
      </c>
      <c r="F26" s="5" t="s">
        <v>41</v>
      </c>
      <c r="G26" s="5" t="s">
        <v>118</v>
      </c>
      <c r="H26" s="9" t="n">
        <v>46217</v>
      </c>
      <c r="I26" s="6"/>
      <c r="J26" s="5" t="s">
        <v>127</v>
      </c>
      <c r="K26" s="5" t="s">
        <v>128</v>
      </c>
      <c r="L26" s="9" t="n">
        <v>46225</v>
      </c>
      <c r="M26" s="5" t="s">
        <v>129</v>
      </c>
      <c r="N26" s="5" t="s">
        <v>130</v>
      </c>
      <c r="O26" s="5" t="s">
        <v>131</v>
      </c>
      <c r="P26" s="5" t="s">
        <v>132</v>
      </c>
    </row>
    <row r="27" customFormat="false" ht="15" hidden="false" customHeight="true" outlineLevel="0" collapsed="false">
      <c r="A27" s="7" t="s">
        <v>122</v>
      </c>
      <c r="B27" s="7" t="s">
        <v>123</v>
      </c>
      <c r="C27" s="7" t="s">
        <v>43</v>
      </c>
      <c r="D27" s="7" t="s">
        <v>44</v>
      </c>
      <c r="E27" s="7" t="s">
        <v>45</v>
      </c>
      <c r="F27" s="7" t="s">
        <v>46</v>
      </c>
      <c r="G27" s="7" t="s">
        <v>45</v>
      </c>
      <c r="H27" s="10" t="n">
        <v>46213</v>
      </c>
      <c r="I27" s="8" t="n">
        <v>99</v>
      </c>
      <c r="J27" s="7" t="s">
        <v>73</v>
      </c>
      <c r="K27" s="7" t="s">
        <v>84</v>
      </c>
      <c r="L27" s="10"/>
      <c r="M27" s="7"/>
      <c r="N27" s="7" t="s">
        <v>75</v>
      </c>
      <c r="O27" s="7" t="s">
        <v>76</v>
      </c>
      <c r="P27" s="7" t="s">
        <v>133</v>
      </c>
    </row>
    <row r="28" customFormat="false" ht="15" hidden="false" customHeight="true" outlineLevel="0" collapsed="false">
      <c r="A28" s="5" t="s">
        <v>122</v>
      </c>
      <c r="B28" s="5" t="s">
        <v>123</v>
      </c>
      <c r="C28" s="5" t="s">
        <v>48</v>
      </c>
      <c r="D28" s="5" t="s">
        <v>49</v>
      </c>
      <c r="E28" s="5" t="s">
        <v>50</v>
      </c>
      <c r="F28" s="5" t="s">
        <v>25</v>
      </c>
      <c r="G28" s="5" t="s">
        <v>118</v>
      </c>
      <c r="H28" s="9"/>
      <c r="I28" s="6"/>
      <c r="J28" s="5" t="s">
        <v>119</v>
      </c>
      <c r="K28" s="5" t="s">
        <v>128</v>
      </c>
      <c r="L28" s="9" t="n">
        <v>46225</v>
      </c>
      <c r="M28" s="5" t="s">
        <v>129</v>
      </c>
      <c r="N28" s="5" t="s">
        <v>130</v>
      </c>
      <c r="O28" s="5" t="s">
        <v>134</v>
      </c>
      <c r="P28" s="5" t="s">
        <v>135</v>
      </c>
    </row>
    <row r="29" customFormat="false" ht="15" hidden="false" customHeight="true" outlineLevel="0" collapsed="false">
      <c r="A29" s="7" t="s">
        <v>122</v>
      </c>
      <c r="B29" s="7" t="s">
        <v>123</v>
      </c>
      <c r="C29" s="7" t="s">
        <v>53</v>
      </c>
      <c r="D29" s="7" t="s">
        <v>54</v>
      </c>
      <c r="E29" s="7" t="s">
        <v>55</v>
      </c>
      <c r="F29" s="7" t="s">
        <v>56</v>
      </c>
      <c r="G29" s="7" t="s">
        <v>118</v>
      </c>
      <c r="H29" s="10"/>
      <c r="I29" s="8"/>
      <c r="J29" s="7" t="s">
        <v>119</v>
      </c>
      <c r="K29" s="7" t="s">
        <v>128</v>
      </c>
      <c r="L29" s="10" t="n">
        <v>46225</v>
      </c>
      <c r="M29" s="7" t="s">
        <v>129</v>
      </c>
      <c r="N29" s="7" t="s">
        <v>130</v>
      </c>
      <c r="O29" s="7" t="s">
        <v>136</v>
      </c>
      <c r="P29" s="7" t="s">
        <v>137</v>
      </c>
    </row>
    <row r="30" customFormat="false" ht="15" hidden="false" customHeight="true" outlineLevel="0" collapsed="false">
      <c r="A30" s="5" t="s">
        <v>138</v>
      </c>
      <c r="B30" s="5" t="s">
        <v>139</v>
      </c>
      <c r="C30" s="5" t="s">
        <v>22</v>
      </c>
      <c r="D30" s="5" t="s">
        <v>23</v>
      </c>
      <c r="E30" s="5" t="s">
        <v>24</v>
      </c>
      <c r="F30" s="5" t="s">
        <v>25</v>
      </c>
      <c r="G30" s="5" t="s">
        <v>24</v>
      </c>
      <c r="H30" s="9" t="n">
        <v>46214</v>
      </c>
      <c r="I30" s="6" t="n">
        <v>92</v>
      </c>
      <c r="J30" s="5" t="s">
        <v>73</v>
      </c>
      <c r="K30" s="5" t="s">
        <v>74</v>
      </c>
      <c r="L30" s="9"/>
      <c r="M30" s="5"/>
      <c r="N30" s="5" t="s">
        <v>75</v>
      </c>
      <c r="O30" s="5" t="s">
        <v>76</v>
      </c>
      <c r="P30" s="5" t="s">
        <v>140</v>
      </c>
    </row>
    <row r="31" customFormat="false" ht="15" hidden="false" customHeight="true" outlineLevel="0" collapsed="false">
      <c r="A31" s="7" t="s">
        <v>138</v>
      </c>
      <c r="B31" s="7" t="s">
        <v>139</v>
      </c>
      <c r="C31" s="7" t="s">
        <v>28</v>
      </c>
      <c r="D31" s="7" t="s">
        <v>29</v>
      </c>
      <c r="E31" s="7" t="s">
        <v>30</v>
      </c>
      <c r="F31" s="7" t="s">
        <v>31</v>
      </c>
      <c r="G31" s="7" t="s">
        <v>30</v>
      </c>
      <c r="H31" s="10" t="n">
        <v>46215</v>
      </c>
      <c r="I31" s="8" t="n">
        <v>94</v>
      </c>
      <c r="J31" s="7" t="s">
        <v>73</v>
      </c>
      <c r="K31" s="7" t="s">
        <v>78</v>
      </c>
      <c r="L31" s="10"/>
      <c r="M31" s="7"/>
      <c r="N31" s="7" t="s">
        <v>75</v>
      </c>
      <c r="O31" s="7" t="s">
        <v>76</v>
      </c>
      <c r="P31" s="7" t="s">
        <v>141</v>
      </c>
    </row>
    <row r="32" customFormat="false" ht="15" hidden="false" customHeight="true" outlineLevel="0" collapsed="false">
      <c r="A32" s="5" t="s">
        <v>138</v>
      </c>
      <c r="B32" s="5" t="s">
        <v>139</v>
      </c>
      <c r="C32" s="5" t="s">
        <v>33</v>
      </c>
      <c r="D32" s="5" t="s">
        <v>34</v>
      </c>
      <c r="E32" s="5" t="s">
        <v>35</v>
      </c>
      <c r="F32" s="5" t="s">
        <v>36</v>
      </c>
      <c r="G32" s="5" t="s">
        <v>35</v>
      </c>
      <c r="H32" s="9" t="n">
        <v>46216</v>
      </c>
      <c r="I32" s="6" t="n">
        <v>93</v>
      </c>
      <c r="J32" s="5" t="s">
        <v>73</v>
      </c>
      <c r="K32" s="5" t="s">
        <v>80</v>
      </c>
      <c r="L32" s="9"/>
      <c r="M32" s="5"/>
      <c r="N32" s="5" t="s">
        <v>75</v>
      </c>
      <c r="O32" s="5" t="s">
        <v>76</v>
      </c>
      <c r="P32" s="5" t="s">
        <v>142</v>
      </c>
    </row>
    <row r="33" customFormat="false" ht="15" hidden="false" customHeight="true" outlineLevel="0" collapsed="false">
      <c r="A33" s="7" t="s">
        <v>138</v>
      </c>
      <c r="B33" s="7" t="s">
        <v>139</v>
      </c>
      <c r="C33" s="7" t="s">
        <v>38</v>
      </c>
      <c r="D33" s="7" t="s">
        <v>39</v>
      </c>
      <c r="E33" s="7" t="s">
        <v>40</v>
      </c>
      <c r="F33" s="7" t="s">
        <v>41</v>
      </c>
      <c r="G33" s="7" t="s">
        <v>40</v>
      </c>
      <c r="H33" s="10" t="n">
        <v>46217</v>
      </c>
      <c r="I33" s="8" t="n">
        <v>2</v>
      </c>
      <c r="J33" s="7" t="s">
        <v>73</v>
      </c>
      <c r="K33" s="7" t="s">
        <v>82</v>
      </c>
      <c r="L33" s="10"/>
      <c r="M33" s="7"/>
      <c r="N33" s="7" t="s">
        <v>75</v>
      </c>
      <c r="O33" s="7" t="s">
        <v>76</v>
      </c>
      <c r="P33" s="7" t="s">
        <v>143</v>
      </c>
    </row>
    <row r="34" customFormat="false" ht="15" hidden="false" customHeight="true" outlineLevel="0" collapsed="false">
      <c r="A34" s="5" t="s">
        <v>138</v>
      </c>
      <c r="B34" s="5" t="s">
        <v>139</v>
      </c>
      <c r="C34" s="5" t="s">
        <v>43</v>
      </c>
      <c r="D34" s="5" t="s">
        <v>44</v>
      </c>
      <c r="E34" s="5" t="s">
        <v>45</v>
      </c>
      <c r="F34" s="5" t="s">
        <v>46</v>
      </c>
      <c r="G34" s="5" t="s">
        <v>45</v>
      </c>
      <c r="H34" s="9" t="n">
        <v>46213</v>
      </c>
      <c r="I34" s="6" t="n">
        <v>91</v>
      </c>
      <c r="J34" s="5" t="s">
        <v>109</v>
      </c>
      <c r="K34" s="5" t="s">
        <v>110</v>
      </c>
      <c r="L34" s="9" t="n">
        <v>46219</v>
      </c>
      <c r="M34" s="5" t="s">
        <v>144</v>
      </c>
      <c r="N34" s="5" t="s">
        <v>112</v>
      </c>
      <c r="O34" s="5" t="s">
        <v>145</v>
      </c>
      <c r="P34" s="5" t="s">
        <v>146</v>
      </c>
    </row>
    <row r="35" customFormat="false" ht="15" hidden="false" customHeight="true" outlineLevel="0" collapsed="false">
      <c r="A35" s="7" t="s">
        <v>138</v>
      </c>
      <c r="B35" s="7" t="s">
        <v>139</v>
      </c>
      <c r="C35" s="7" t="s">
        <v>48</v>
      </c>
      <c r="D35" s="7" t="s">
        <v>49</v>
      </c>
      <c r="E35" s="7" t="s">
        <v>50</v>
      </c>
      <c r="F35" s="7" t="s">
        <v>25</v>
      </c>
      <c r="G35" s="7" t="s">
        <v>50</v>
      </c>
      <c r="H35" s="10" t="n">
        <v>46214</v>
      </c>
      <c r="I35" s="8" t="n">
        <v>90</v>
      </c>
      <c r="J35" s="7" t="s">
        <v>73</v>
      </c>
      <c r="K35" s="7" t="s">
        <v>86</v>
      </c>
      <c r="L35" s="10"/>
      <c r="M35" s="7"/>
      <c r="N35" s="7" t="s">
        <v>75</v>
      </c>
      <c r="O35" s="7" t="s">
        <v>76</v>
      </c>
      <c r="P35" s="7" t="s">
        <v>147</v>
      </c>
    </row>
    <row r="36" customFormat="false" ht="15" hidden="false" customHeight="true" outlineLevel="0" collapsed="false">
      <c r="A36" s="5" t="s">
        <v>138</v>
      </c>
      <c r="B36" s="5" t="s">
        <v>139</v>
      </c>
      <c r="C36" s="5" t="s">
        <v>53</v>
      </c>
      <c r="D36" s="5" t="s">
        <v>54</v>
      </c>
      <c r="E36" s="5" t="s">
        <v>55</v>
      </c>
      <c r="F36" s="5" t="s">
        <v>56</v>
      </c>
      <c r="G36" s="5" t="s">
        <v>55</v>
      </c>
      <c r="H36" s="9" t="n">
        <v>46215</v>
      </c>
      <c r="I36" s="6" t="n">
        <v>95</v>
      </c>
      <c r="J36" s="5" t="s">
        <v>73</v>
      </c>
      <c r="K36" s="5" t="s">
        <v>88</v>
      </c>
      <c r="L36" s="9"/>
      <c r="M36" s="5"/>
      <c r="N36" s="5" t="s">
        <v>75</v>
      </c>
      <c r="O36" s="5" t="s">
        <v>76</v>
      </c>
      <c r="P36" s="5" t="s">
        <v>148</v>
      </c>
    </row>
    <row r="37" customFormat="false" ht="15" hidden="false" customHeight="true" outlineLevel="0" collapsed="false">
      <c r="A37" s="7" t="s">
        <v>149</v>
      </c>
      <c r="B37" s="7" t="s">
        <v>150</v>
      </c>
      <c r="C37" s="7" t="s">
        <v>22</v>
      </c>
      <c r="D37" s="7" t="s">
        <v>23</v>
      </c>
      <c r="E37" s="7" t="s">
        <v>24</v>
      </c>
      <c r="F37" s="7" t="s">
        <v>25</v>
      </c>
      <c r="G37" s="7" t="s">
        <v>24</v>
      </c>
      <c r="H37" s="10" t="n">
        <v>46214</v>
      </c>
      <c r="I37" s="8" t="n">
        <v>92</v>
      </c>
      <c r="J37" s="7" t="s">
        <v>73</v>
      </c>
      <c r="K37" s="7" t="s">
        <v>74</v>
      </c>
      <c r="L37" s="10"/>
      <c r="M37" s="7"/>
      <c r="N37" s="7" t="s">
        <v>75</v>
      </c>
      <c r="O37" s="7" t="s">
        <v>76</v>
      </c>
      <c r="P37" s="7" t="s">
        <v>151</v>
      </c>
    </row>
    <row r="38" customFormat="false" ht="15" hidden="false" customHeight="true" outlineLevel="0" collapsed="false">
      <c r="A38" s="5" t="s">
        <v>149</v>
      </c>
      <c r="B38" s="5" t="s">
        <v>150</v>
      </c>
      <c r="C38" s="5" t="s">
        <v>28</v>
      </c>
      <c r="D38" s="5" t="s">
        <v>29</v>
      </c>
      <c r="E38" s="5" t="s">
        <v>30</v>
      </c>
      <c r="F38" s="5" t="s">
        <v>31</v>
      </c>
      <c r="G38" s="5" t="s">
        <v>30</v>
      </c>
      <c r="H38" s="9" t="n">
        <v>46215</v>
      </c>
      <c r="I38" s="6" t="n">
        <v>94</v>
      </c>
      <c r="J38" s="5" t="s">
        <v>73</v>
      </c>
      <c r="K38" s="5" t="s">
        <v>78</v>
      </c>
      <c r="L38" s="9"/>
      <c r="M38" s="5"/>
      <c r="N38" s="5" t="s">
        <v>75</v>
      </c>
      <c r="O38" s="5" t="s">
        <v>76</v>
      </c>
      <c r="P38" s="5" t="s">
        <v>152</v>
      </c>
    </row>
    <row r="39" customFormat="false" ht="15" hidden="false" customHeight="true" outlineLevel="0" collapsed="false">
      <c r="A39" s="7" t="s">
        <v>149</v>
      </c>
      <c r="B39" s="7" t="s">
        <v>150</v>
      </c>
      <c r="C39" s="7" t="s">
        <v>33</v>
      </c>
      <c r="D39" s="7" t="s">
        <v>34</v>
      </c>
      <c r="E39" s="7" t="s">
        <v>35</v>
      </c>
      <c r="F39" s="7" t="s">
        <v>36</v>
      </c>
      <c r="G39" s="7" t="s">
        <v>35</v>
      </c>
      <c r="H39" s="10" t="n">
        <v>46216</v>
      </c>
      <c r="I39" s="8" t="n">
        <v>93</v>
      </c>
      <c r="J39" s="7" t="s">
        <v>73</v>
      </c>
      <c r="K39" s="7" t="s">
        <v>80</v>
      </c>
      <c r="L39" s="10"/>
      <c r="M39" s="7"/>
      <c r="N39" s="7" t="s">
        <v>75</v>
      </c>
      <c r="O39" s="7" t="s">
        <v>76</v>
      </c>
      <c r="P39" s="7" t="s">
        <v>153</v>
      </c>
    </row>
    <row r="40" customFormat="false" ht="15" hidden="false" customHeight="true" outlineLevel="0" collapsed="false">
      <c r="A40" s="5" t="s">
        <v>149</v>
      </c>
      <c r="B40" s="5" t="s">
        <v>150</v>
      </c>
      <c r="C40" s="5" t="s">
        <v>38</v>
      </c>
      <c r="D40" s="5" t="s">
        <v>39</v>
      </c>
      <c r="E40" s="5" t="s">
        <v>40</v>
      </c>
      <c r="F40" s="5" t="s">
        <v>41</v>
      </c>
      <c r="G40" s="5" t="s">
        <v>40</v>
      </c>
      <c r="H40" s="9" t="n">
        <v>46217</v>
      </c>
      <c r="I40" s="6" t="n">
        <v>2</v>
      </c>
      <c r="J40" s="5" t="s">
        <v>73</v>
      </c>
      <c r="K40" s="5" t="s">
        <v>82</v>
      </c>
      <c r="L40" s="9"/>
      <c r="M40" s="5"/>
      <c r="N40" s="5" t="s">
        <v>75</v>
      </c>
      <c r="O40" s="5" t="s">
        <v>76</v>
      </c>
      <c r="P40" s="5" t="s">
        <v>154</v>
      </c>
    </row>
    <row r="41" customFormat="false" ht="15" hidden="false" customHeight="true" outlineLevel="0" collapsed="false">
      <c r="A41" s="7" t="s">
        <v>149</v>
      </c>
      <c r="B41" s="7" t="s">
        <v>150</v>
      </c>
      <c r="C41" s="7" t="s">
        <v>43</v>
      </c>
      <c r="D41" s="7" t="s">
        <v>44</v>
      </c>
      <c r="E41" s="7" t="s">
        <v>45</v>
      </c>
      <c r="F41" s="7" t="s">
        <v>46</v>
      </c>
      <c r="G41" s="7" t="s">
        <v>45</v>
      </c>
      <c r="H41" s="10" t="n">
        <v>46213</v>
      </c>
      <c r="I41" s="8" t="n">
        <v>99</v>
      </c>
      <c r="J41" s="7" t="s">
        <v>73</v>
      </c>
      <c r="K41" s="7" t="s">
        <v>84</v>
      </c>
      <c r="L41" s="10"/>
      <c r="M41" s="7"/>
      <c r="N41" s="7" t="s">
        <v>75</v>
      </c>
      <c r="O41" s="7" t="s">
        <v>76</v>
      </c>
      <c r="P41" s="7" t="s">
        <v>155</v>
      </c>
    </row>
    <row r="42" customFormat="false" ht="15" hidden="false" customHeight="true" outlineLevel="0" collapsed="false">
      <c r="A42" s="5" t="s">
        <v>149</v>
      </c>
      <c r="B42" s="5" t="s">
        <v>150</v>
      </c>
      <c r="C42" s="5" t="s">
        <v>48</v>
      </c>
      <c r="D42" s="5" t="s">
        <v>49</v>
      </c>
      <c r="E42" s="5" t="s">
        <v>50</v>
      </c>
      <c r="F42" s="5" t="s">
        <v>25</v>
      </c>
      <c r="G42" s="5" t="s">
        <v>50</v>
      </c>
      <c r="H42" s="9" t="n">
        <v>46214</v>
      </c>
      <c r="I42" s="6" t="n">
        <v>90</v>
      </c>
      <c r="J42" s="5" t="s">
        <v>73</v>
      </c>
      <c r="K42" s="5" t="s">
        <v>86</v>
      </c>
      <c r="L42" s="9"/>
      <c r="M42" s="5"/>
      <c r="N42" s="5" t="s">
        <v>75</v>
      </c>
      <c r="O42" s="5" t="s">
        <v>76</v>
      </c>
      <c r="P42" s="5" t="s">
        <v>156</v>
      </c>
    </row>
    <row r="43" customFormat="false" ht="15" hidden="false" customHeight="true" outlineLevel="0" collapsed="false">
      <c r="A43" s="7" t="s">
        <v>149</v>
      </c>
      <c r="B43" s="7" t="s">
        <v>150</v>
      </c>
      <c r="C43" s="7" t="s">
        <v>53</v>
      </c>
      <c r="D43" s="7" t="s">
        <v>54</v>
      </c>
      <c r="E43" s="7" t="s">
        <v>55</v>
      </c>
      <c r="F43" s="7" t="s">
        <v>56</v>
      </c>
      <c r="G43" s="7" t="s">
        <v>118</v>
      </c>
      <c r="H43" s="10"/>
      <c r="I43" s="8"/>
      <c r="J43" s="7" t="s">
        <v>119</v>
      </c>
      <c r="K43" s="7" t="s">
        <v>157</v>
      </c>
      <c r="L43" s="10" t="n">
        <v>46220</v>
      </c>
      <c r="M43" s="7" t="s">
        <v>158</v>
      </c>
      <c r="N43" s="7" t="s">
        <v>7</v>
      </c>
      <c r="O43" s="7" t="s">
        <v>159</v>
      </c>
      <c r="P43" s="7" t="s">
        <v>160</v>
      </c>
    </row>
    <row r="44" customFormat="false" ht="15" hidden="false" customHeight="true" outlineLevel="0" collapsed="false">
      <c r="A44" s="5" t="s">
        <v>161</v>
      </c>
      <c r="B44" s="5" t="s">
        <v>162</v>
      </c>
      <c r="C44" s="5" t="s">
        <v>22</v>
      </c>
      <c r="D44" s="5" t="s">
        <v>23</v>
      </c>
      <c r="E44" s="5" t="s">
        <v>24</v>
      </c>
      <c r="F44" s="5" t="s">
        <v>25</v>
      </c>
      <c r="G44" s="5" t="s">
        <v>24</v>
      </c>
      <c r="H44" s="9" t="n">
        <v>46214</v>
      </c>
      <c r="I44" s="6" t="n">
        <v>92</v>
      </c>
      <c r="J44" s="5" t="s">
        <v>73</v>
      </c>
      <c r="K44" s="5" t="s">
        <v>74</v>
      </c>
      <c r="L44" s="9"/>
      <c r="M44" s="5"/>
      <c r="N44" s="5" t="s">
        <v>75</v>
      </c>
      <c r="O44" s="5" t="s">
        <v>76</v>
      </c>
      <c r="P44" s="5" t="s">
        <v>163</v>
      </c>
    </row>
    <row r="45" customFormat="false" ht="15" hidden="false" customHeight="true" outlineLevel="0" collapsed="false">
      <c r="A45" s="7" t="s">
        <v>161</v>
      </c>
      <c r="B45" s="7" t="s">
        <v>162</v>
      </c>
      <c r="C45" s="7" t="s">
        <v>28</v>
      </c>
      <c r="D45" s="7" t="s">
        <v>29</v>
      </c>
      <c r="E45" s="7" t="s">
        <v>30</v>
      </c>
      <c r="F45" s="7" t="s">
        <v>31</v>
      </c>
      <c r="G45" s="7" t="s">
        <v>30</v>
      </c>
      <c r="H45" s="10" t="n">
        <v>46215</v>
      </c>
      <c r="I45" s="8" t="n">
        <v>94</v>
      </c>
      <c r="J45" s="7" t="s">
        <v>73</v>
      </c>
      <c r="K45" s="7" t="s">
        <v>78</v>
      </c>
      <c r="L45" s="10"/>
      <c r="M45" s="7"/>
      <c r="N45" s="7" t="s">
        <v>75</v>
      </c>
      <c r="O45" s="7" t="s">
        <v>76</v>
      </c>
      <c r="P45" s="7" t="s">
        <v>164</v>
      </c>
    </row>
    <row r="46" customFormat="false" ht="15" hidden="false" customHeight="true" outlineLevel="0" collapsed="false">
      <c r="A46" s="5" t="s">
        <v>161</v>
      </c>
      <c r="B46" s="5" t="s">
        <v>162</v>
      </c>
      <c r="C46" s="5" t="s">
        <v>33</v>
      </c>
      <c r="D46" s="5" t="s">
        <v>34</v>
      </c>
      <c r="E46" s="5" t="s">
        <v>35</v>
      </c>
      <c r="F46" s="5" t="s">
        <v>36</v>
      </c>
      <c r="G46" s="5" t="s">
        <v>35</v>
      </c>
      <c r="H46" s="9" t="n">
        <v>46216</v>
      </c>
      <c r="I46" s="6" t="n">
        <v>93</v>
      </c>
      <c r="J46" s="5" t="s">
        <v>73</v>
      </c>
      <c r="K46" s="5" t="s">
        <v>80</v>
      </c>
      <c r="L46" s="9"/>
      <c r="M46" s="5"/>
      <c r="N46" s="5" t="s">
        <v>75</v>
      </c>
      <c r="O46" s="5" t="s">
        <v>76</v>
      </c>
      <c r="P46" s="5" t="s">
        <v>165</v>
      </c>
    </row>
    <row r="47" customFormat="false" ht="15" hidden="false" customHeight="true" outlineLevel="0" collapsed="false">
      <c r="A47" s="7" t="s">
        <v>161</v>
      </c>
      <c r="B47" s="7" t="s">
        <v>162</v>
      </c>
      <c r="C47" s="7" t="s">
        <v>38</v>
      </c>
      <c r="D47" s="7" t="s">
        <v>39</v>
      </c>
      <c r="E47" s="7" t="s">
        <v>40</v>
      </c>
      <c r="F47" s="7" t="s">
        <v>41</v>
      </c>
      <c r="G47" s="7" t="s">
        <v>40</v>
      </c>
      <c r="H47" s="10" t="n">
        <v>46217</v>
      </c>
      <c r="I47" s="8" t="n">
        <v>2</v>
      </c>
      <c r="J47" s="7" t="s">
        <v>73</v>
      </c>
      <c r="K47" s="7" t="s">
        <v>82</v>
      </c>
      <c r="L47" s="10"/>
      <c r="M47" s="7"/>
      <c r="N47" s="7" t="s">
        <v>75</v>
      </c>
      <c r="O47" s="7" t="s">
        <v>76</v>
      </c>
      <c r="P47" s="7" t="s">
        <v>166</v>
      </c>
    </row>
    <row r="48" customFormat="false" ht="15" hidden="false" customHeight="true" outlineLevel="0" collapsed="false">
      <c r="A48" s="5" t="s">
        <v>161</v>
      </c>
      <c r="B48" s="5" t="s">
        <v>162</v>
      </c>
      <c r="C48" s="5" t="s">
        <v>43</v>
      </c>
      <c r="D48" s="5" t="s">
        <v>44</v>
      </c>
      <c r="E48" s="5" t="s">
        <v>45</v>
      </c>
      <c r="F48" s="5" t="s">
        <v>46</v>
      </c>
      <c r="G48" s="5" t="s">
        <v>45</v>
      </c>
      <c r="H48" s="9" t="n">
        <v>46213</v>
      </c>
      <c r="I48" s="6" t="n">
        <v>99</v>
      </c>
      <c r="J48" s="5" t="s">
        <v>73</v>
      </c>
      <c r="K48" s="5" t="s">
        <v>84</v>
      </c>
      <c r="L48" s="9"/>
      <c r="M48" s="5"/>
      <c r="N48" s="5" t="s">
        <v>75</v>
      </c>
      <c r="O48" s="5" t="s">
        <v>76</v>
      </c>
      <c r="P48" s="5" t="s">
        <v>167</v>
      </c>
    </row>
    <row r="49" customFormat="false" ht="15" hidden="false" customHeight="true" outlineLevel="0" collapsed="false">
      <c r="A49" s="7" t="s">
        <v>161</v>
      </c>
      <c r="B49" s="7" t="s">
        <v>162</v>
      </c>
      <c r="C49" s="7" t="s">
        <v>48</v>
      </c>
      <c r="D49" s="7" t="s">
        <v>49</v>
      </c>
      <c r="E49" s="7" t="s">
        <v>50</v>
      </c>
      <c r="F49" s="7" t="s">
        <v>25</v>
      </c>
      <c r="G49" s="7" t="s">
        <v>50</v>
      </c>
      <c r="H49" s="10" t="n">
        <v>46214</v>
      </c>
      <c r="I49" s="8" t="n">
        <v>90</v>
      </c>
      <c r="J49" s="7" t="s">
        <v>73</v>
      </c>
      <c r="K49" s="7" t="s">
        <v>86</v>
      </c>
      <c r="L49" s="10"/>
      <c r="M49" s="7"/>
      <c r="N49" s="7" t="s">
        <v>75</v>
      </c>
      <c r="O49" s="7" t="s">
        <v>76</v>
      </c>
      <c r="P49" s="7" t="s">
        <v>168</v>
      </c>
    </row>
    <row r="50" customFormat="false" ht="15" hidden="false" customHeight="true" outlineLevel="0" collapsed="false">
      <c r="A50" s="5" t="s">
        <v>161</v>
      </c>
      <c r="B50" s="5" t="s">
        <v>162</v>
      </c>
      <c r="C50" s="5" t="s">
        <v>53</v>
      </c>
      <c r="D50" s="5" t="s">
        <v>54</v>
      </c>
      <c r="E50" s="5" t="s">
        <v>55</v>
      </c>
      <c r="F50" s="5" t="s">
        <v>56</v>
      </c>
      <c r="G50" s="5" t="s">
        <v>55</v>
      </c>
      <c r="H50" s="9" t="n">
        <v>46215</v>
      </c>
      <c r="I50" s="6" t="n">
        <v>95</v>
      </c>
      <c r="J50" s="5" t="s">
        <v>73</v>
      </c>
      <c r="K50" s="5" t="s">
        <v>88</v>
      </c>
      <c r="L50" s="9"/>
      <c r="M50" s="5"/>
      <c r="N50" s="5" t="s">
        <v>75</v>
      </c>
      <c r="O50" s="5" t="s">
        <v>76</v>
      </c>
      <c r="P50" s="5" t="s">
        <v>169</v>
      </c>
    </row>
    <row r="51" customFormat="false" ht="15" hidden="false" customHeight="true" outlineLevel="0" collapsed="false">
      <c r="A51" s="7" t="s">
        <v>170</v>
      </c>
      <c r="B51" s="7" t="s">
        <v>171</v>
      </c>
      <c r="C51" s="7" t="s">
        <v>22</v>
      </c>
      <c r="D51" s="7" t="s">
        <v>23</v>
      </c>
      <c r="E51" s="7" t="s">
        <v>24</v>
      </c>
      <c r="F51" s="7" t="s">
        <v>25</v>
      </c>
      <c r="G51" s="7" t="s">
        <v>24</v>
      </c>
      <c r="H51" s="10" t="n">
        <v>46214</v>
      </c>
      <c r="I51" s="8" t="n">
        <v>92</v>
      </c>
      <c r="J51" s="7" t="s">
        <v>73</v>
      </c>
      <c r="K51" s="7" t="s">
        <v>74</v>
      </c>
      <c r="L51" s="10"/>
      <c r="M51" s="7"/>
      <c r="N51" s="7" t="s">
        <v>75</v>
      </c>
      <c r="O51" s="7" t="s">
        <v>76</v>
      </c>
      <c r="P51" s="7" t="s">
        <v>172</v>
      </c>
    </row>
    <row r="52" customFormat="false" ht="15" hidden="false" customHeight="true" outlineLevel="0" collapsed="false">
      <c r="A52" s="5" t="s">
        <v>170</v>
      </c>
      <c r="B52" s="5" t="s">
        <v>171</v>
      </c>
      <c r="C52" s="5" t="s">
        <v>28</v>
      </c>
      <c r="D52" s="5" t="s">
        <v>29</v>
      </c>
      <c r="E52" s="5" t="s">
        <v>30</v>
      </c>
      <c r="F52" s="5" t="s">
        <v>31</v>
      </c>
      <c r="G52" s="5" t="s">
        <v>30</v>
      </c>
      <c r="H52" s="9" t="n">
        <v>46215</v>
      </c>
      <c r="I52" s="6" t="n">
        <v>94</v>
      </c>
      <c r="J52" s="5" t="s">
        <v>73</v>
      </c>
      <c r="K52" s="5" t="s">
        <v>78</v>
      </c>
      <c r="L52" s="9"/>
      <c r="M52" s="5"/>
      <c r="N52" s="5" t="s">
        <v>75</v>
      </c>
      <c r="O52" s="5" t="s">
        <v>76</v>
      </c>
      <c r="P52" s="5" t="s">
        <v>173</v>
      </c>
    </row>
    <row r="53" customFormat="false" ht="15" hidden="false" customHeight="true" outlineLevel="0" collapsed="false">
      <c r="A53" s="7" t="s">
        <v>170</v>
      </c>
      <c r="B53" s="7" t="s">
        <v>171</v>
      </c>
      <c r="C53" s="7" t="s">
        <v>33</v>
      </c>
      <c r="D53" s="7" t="s">
        <v>34</v>
      </c>
      <c r="E53" s="7" t="s">
        <v>35</v>
      </c>
      <c r="F53" s="7" t="s">
        <v>36</v>
      </c>
      <c r="G53" s="7" t="s">
        <v>35</v>
      </c>
      <c r="H53" s="10" t="n">
        <v>46216</v>
      </c>
      <c r="I53" s="8" t="n">
        <v>93</v>
      </c>
      <c r="J53" s="7" t="s">
        <v>73</v>
      </c>
      <c r="K53" s="7" t="s">
        <v>80</v>
      </c>
      <c r="L53" s="10"/>
      <c r="M53" s="7"/>
      <c r="N53" s="7" t="s">
        <v>75</v>
      </c>
      <c r="O53" s="7" t="s">
        <v>76</v>
      </c>
      <c r="P53" s="7" t="s">
        <v>174</v>
      </c>
    </row>
    <row r="54" customFormat="false" ht="15" hidden="false" customHeight="true" outlineLevel="0" collapsed="false">
      <c r="A54" s="5" t="s">
        <v>170</v>
      </c>
      <c r="B54" s="5" t="s">
        <v>171</v>
      </c>
      <c r="C54" s="5" t="s">
        <v>38</v>
      </c>
      <c r="D54" s="5" t="s">
        <v>39</v>
      </c>
      <c r="E54" s="5" t="s">
        <v>40</v>
      </c>
      <c r="F54" s="5" t="s">
        <v>41</v>
      </c>
      <c r="G54" s="5" t="s">
        <v>40</v>
      </c>
      <c r="H54" s="9" t="n">
        <v>46217</v>
      </c>
      <c r="I54" s="6" t="n">
        <v>0</v>
      </c>
      <c r="J54" s="5" t="s">
        <v>109</v>
      </c>
      <c r="K54" s="5" t="s">
        <v>128</v>
      </c>
      <c r="L54" s="9" t="n">
        <v>46221</v>
      </c>
      <c r="M54" s="5" t="s">
        <v>175</v>
      </c>
      <c r="N54" s="5" t="s">
        <v>130</v>
      </c>
      <c r="O54" s="5" t="s">
        <v>176</v>
      </c>
      <c r="P54" s="5" t="s">
        <v>177</v>
      </c>
    </row>
    <row r="55" customFormat="false" ht="15" hidden="false" customHeight="true" outlineLevel="0" collapsed="false">
      <c r="A55" s="7" t="s">
        <v>170</v>
      </c>
      <c r="B55" s="7" t="s">
        <v>171</v>
      </c>
      <c r="C55" s="7" t="s">
        <v>43</v>
      </c>
      <c r="D55" s="7" t="s">
        <v>44</v>
      </c>
      <c r="E55" s="7" t="s">
        <v>45</v>
      </c>
      <c r="F55" s="7" t="s">
        <v>46</v>
      </c>
      <c r="G55" s="7" t="s">
        <v>45</v>
      </c>
      <c r="H55" s="10" t="n">
        <v>46213</v>
      </c>
      <c r="I55" s="8" t="n">
        <v>99</v>
      </c>
      <c r="J55" s="7" t="s">
        <v>73</v>
      </c>
      <c r="K55" s="7" t="s">
        <v>84</v>
      </c>
      <c r="L55" s="10"/>
      <c r="M55" s="7"/>
      <c r="N55" s="7" t="s">
        <v>75</v>
      </c>
      <c r="O55" s="7" t="s">
        <v>76</v>
      </c>
      <c r="P55" s="7" t="s">
        <v>178</v>
      </c>
    </row>
    <row r="56" customFormat="false" ht="15" hidden="false" customHeight="true" outlineLevel="0" collapsed="false">
      <c r="A56" s="5" t="s">
        <v>170</v>
      </c>
      <c r="B56" s="5" t="s">
        <v>171</v>
      </c>
      <c r="C56" s="5" t="s">
        <v>48</v>
      </c>
      <c r="D56" s="5" t="s">
        <v>49</v>
      </c>
      <c r="E56" s="5" t="s">
        <v>50</v>
      </c>
      <c r="F56" s="5" t="s">
        <v>25</v>
      </c>
      <c r="G56" s="5" t="s">
        <v>50</v>
      </c>
      <c r="H56" s="9" t="n">
        <v>46214</v>
      </c>
      <c r="I56" s="6" t="n">
        <v>90</v>
      </c>
      <c r="J56" s="5" t="s">
        <v>73</v>
      </c>
      <c r="K56" s="5" t="s">
        <v>86</v>
      </c>
      <c r="L56" s="9"/>
      <c r="M56" s="5"/>
      <c r="N56" s="5" t="s">
        <v>75</v>
      </c>
      <c r="O56" s="5" t="s">
        <v>76</v>
      </c>
      <c r="P56" s="5" t="s">
        <v>179</v>
      </c>
    </row>
    <row r="57" customFormat="false" ht="15" hidden="false" customHeight="true" outlineLevel="0" collapsed="false">
      <c r="A57" s="7" t="s">
        <v>170</v>
      </c>
      <c r="B57" s="7" t="s">
        <v>171</v>
      </c>
      <c r="C57" s="7" t="s">
        <v>53</v>
      </c>
      <c r="D57" s="7" t="s">
        <v>54</v>
      </c>
      <c r="E57" s="7" t="s">
        <v>55</v>
      </c>
      <c r="F57" s="7" t="s">
        <v>56</v>
      </c>
      <c r="G57" s="7" t="s">
        <v>118</v>
      </c>
      <c r="H57" s="10"/>
      <c r="I57" s="8"/>
      <c r="J57" s="7" t="s">
        <v>119</v>
      </c>
      <c r="K57" s="7" t="s">
        <v>128</v>
      </c>
      <c r="L57" s="10" t="n">
        <v>46221</v>
      </c>
      <c r="M57" s="7" t="s">
        <v>175</v>
      </c>
      <c r="N57" s="7" t="s">
        <v>130</v>
      </c>
      <c r="O57" s="7" t="s">
        <v>180</v>
      </c>
      <c r="P57" s="7" t="s">
        <v>181</v>
      </c>
    </row>
    <row r="58" customFormat="false" ht="15" hidden="false" customHeight="true" outlineLevel="0" collapsed="false">
      <c r="A58" s="5" t="s">
        <v>182</v>
      </c>
      <c r="B58" s="5" t="s">
        <v>183</v>
      </c>
      <c r="C58" s="5" t="s">
        <v>22</v>
      </c>
      <c r="D58" s="5" t="s">
        <v>23</v>
      </c>
      <c r="E58" s="5" t="s">
        <v>24</v>
      </c>
      <c r="F58" s="5" t="s">
        <v>25</v>
      </c>
      <c r="G58" s="5" t="s">
        <v>24</v>
      </c>
      <c r="H58" s="9" t="n">
        <v>46214</v>
      </c>
      <c r="I58" s="6" t="n">
        <v>92</v>
      </c>
      <c r="J58" s="5" t="s">
        <v>73</v>
      </c>
      <c r="K58" s="5" t="s">
        <v>74</v>
      </c>
      <c r="L58" s="9"/>
      <c r="M58" s="5"/>
      <c r="N58" s="5" t="s">
        <v>75</v>
      </c>
      <c r="O58" s="5" t="s">
        <v>76</v>
      </c>
      <c r="P58" s="5" t="s">
        <v>184</v>
      </c>
    </row>
    <row r="59" customFormat="false" ht="15" hidden="false" customHeight="true" outlineLevel="0" collapsed="false">
      <c r="A59" s="7" t="s">
        <v>182</v>
      </c>
      <c r="B59" s="7" t="s">
        <v>183</v>
      </c>
      <c r="C59" s="7" t="s">
        <v>28</v>
      </c>
      <c r="D59" s="7" t="s">
        <v>29</v>
      </c>
      <c r="E59" s="7" t="s">
        <v>30</v>
      </c>
      <c r="F59" s="7" t="s">
        <v>31</v>
      </c>
      <c r="G59" s="7" t="s">
        <v>30</v>
      </c>
      <c r="H59" s="10" t="n">
        <v>46215</v>
      </c>
      <c r="I59" s="8" t="n">
        <v>94</v>
      </c>
      <c r="J59" s="7" t="s">
        <v>73</v>
      </c>
      <c r="K59" s="7" t="s">
        <v>78</v>
      </c>
      <c r="L59" s="10"/>
      <c r="M59" s="7"/>
      <c r="N59" s="7" t="s">
        <v>75</v>
      </c>
      <c r="O59" s="7" t="s">
        <v>76</v>
      </c>
      <c r="P59" s="7" t="s">
        <v>185</v>
      </c>
    </row>
    <row r="60" customFormat="false" ht="15" hidden="false" customHeight="true" outlineLevel="0" collapsed="false">
      <c r="A60" s="5" t="s">
        <v>182</v>
      </c>
      <c r="B60" s="5" t="s">
        <v>183</v>
      </c>
      <c r="C60" s="5" t="s">
        <v>33</v>
      </c>
      <c r="D60" s="5" t="s">
        <v>34</v>
      </c>
      <c r="E60" s="5" t="s">
        <v>35</v>
      </c>
      <c r="F60" s="5" t="s">
        <v>36</v>
      </c>
      <c r="G60" s="5" t="s">
        <v>35</v>
      </c>
      <c r="H60" s="9" t="n">
        <v>46216</v>
      </c>
      <c r="I60" s="6" t="n">
        <v>93</v>
      </c>
      <c r="J60" s="5" t="s">
        <v>73</v>
      </c>
      <c r="K60" s="5" t="s">
        <v>80</v>
      </c>
      <c r="L60" s="9"/>
      <c r="M60" s="5"/>
      <c r="N60" s="5" t="s">
        <v>75</v>
      </c>
      <c r="O60" s="5" t="s">
        <v>76</v>
      </c>
      <c r="P60" s="5" t="s">
        <v>186</v>
      </c>
    </row>
    <row r="61" customFormat="false" ht="15" hidden="false" customHeight="true" outlineLevel="0" collapsed="false">
      <c r="A61" s="7" t="s">
        <v>182</v>
      </c>
      <c r="B61" s="7" t="s">
        <v>183</v>
      </c>
      <c r="C61" s="7" t="s">
        <v>38</v>
      </c>
      <c r="D61" s="7" t="s">
        <v>39</v>
      </c>
      <c r="E61" s="7" t="s">
        <v>40</v>
      </c>
      <c r="F61" s="7" t="s">
        <v>41</v>
      </c>
      <c r="G61" s="7" t="s">
        <v>40</v>
      </c>
      <c r="H61" s="10" t="n">
        <v>46217</v>
      </c>
      <c r="I61" s="8" t="n">
        <v>2</v>
      </c>
      <c r="J61" s="7" t="s">
        <v>73</v>
      </c>
      <c r="K61" s="7" t="s">
        <v>82</v>
      </c>
      <c r="L61" s="10"/>
      <c r="M61" s="7"/>
      <c r="N61" s="7" t="s">
        <v>75</v>
      </c>
      <c r="O61" s="7" t="s">
        <v>76</v>
      </c>
      <c r="P61" s="7" t="s">
        <v>187</v>
      </c>
    </row>
    <row r="62" customFormat="false" ht="15" hidden="false" customHeight="true" outlineLevel="0" collapsed="false">
      <c r="A62" s="5" t="s">
        <v>182</v>
      </c>
      <c r="B62" s="5" t="s">
        <v>183</v>
      </c>
      <c r="C62" s="5" t="s">
        <v>43</v>
      </c>
      <c r="D62" s="5" t="s">
        <v>44</v>
      </c>
      <c r="E62" s="5" t="s">
        <v>45</v>
      </c>
      <c r="F62" s="5" t="s">
        <v>46</v>
      </c>
      <c r="G62" s="5" t="s">
        <v>45</v>
      </c>
      <c r="H62" s="9" t="n">
        <v>46213</v>
      </c>
      <c r="I62" s="6" t="n">
        <v>99</v>
      </c>
      <c r="J62" s="5" t="s">
        <v>73</v>
      </c>
      <c r="K62" s="5" t="s">
        <v>84</v>
      </c>
      <c r="L62" s="9"/>
      <c r="M62" s="5"/>
      <c r="N62" s="5" t="s">
        <v>75</v>
      </c>
      <c r="O62" s="5" t="s">
        <v>76</v>
      </c>
      <c r="P62" s="5" t="s">
        <v>188</v>
      </c>
    </row>
    <row r="63" customFormat="false" ht="15" hidden="false" customHeight="true" outlineLevel="0" collapsed="false">
      <c r="A63" s="7" t="s">
        <v>182</v>
      </c>
      <c r="B63" s="7" t="s">
        <v>183</v>
      </c>
      <c r="C63" s="7" t="s">
        <v>48</v>
      </c>
      <c r="D63" s="7" t="s">
        <v>49</v>
      </c>
      <c r="E63" s="7" t="s">
        <v>50</v>
      </c>
      <c r="F63" s="7" t="s">
        <v>25</v>
      </c>
      <c r="G63" s="7" t="s">
        <v>50</v>
      </c>
      <c r="H63" s="10" t="n">
        <v>46214</v>
      </c>
      <c r="I63" s="8" t="n">
        <v>90</v>
      </c>
      <c r="J63" s="7" t="s">
        <v>73</v>
      </c>
      <c r="K63" s="7" t="s">
        <v>86</v>
      </c>
      <c r="L63" s="10"/>
      <c r="M63" s="7"/>
      <c r="N63" s="7" t="s">
        <v>75</v>
      </c>
      <c r="O63" s="7" t="s">
        <v>76</v>
      </c>
      <c r="P63" s="7" t="s">
        <v>189</v>
      </c>
    </row>
    <row r="64" customFormat="false" ht="15" hidden="false" customHeight="true" outlineLevel="0" collapsed="false">
      <c r="A64" s="5" t="s">
        <v>182</v>
      </c>
      <c r="B64" s="5" t="s">
        <v>183</v>
      </c>
      <c r="C64" s="5" t="s">
        <v>53</v>
      </c>
      <c r="D64" s="5" t="s">
        <v>54</v>
      </c>
      <c r="E64" s="5" t="s">
        <v>55</v>
      </c>
      <c r="F64" s="5" t="s">
        <v>56</v>
      </c>
      <c r="G64" s="5" t="s">
        <v>118</v>
      </c>
      <c r="H64" s="9"/>
      <c r="I64" s="6"/>
      <c r="J64" s="5" t="s">
        <v>119</v>
      </c>
      <c r="K64" s="5" t="s">
        <v>190</v>
      </c>
      <c r="L64" s="9" t="n">
        <v>46220</v>
      </c>
      <c r="M64" s="5" t="s">
        <v>191</v>
      </c>
      <c r="N64" s="5" t="s">
        <v>7</v>
      </c>
      <c r="O64" s="5" t="s">
        <v>192</v>
      </c>
      <c r="P64" s="5" t="s">
        <v>193</v>
      </c>
    </row>
    <row r="65" customFormat="false" ht="15" hidden="false" customHeight="true" outlineLevel="0" collapsed="false">
      <c r="A65" s="7" t="s">
        <v>194</v>
      </c>
      <c r="B65" s="7" t="s">
        <v>195</v>
      </c>
      <c r="C65" s="7" t="s">
        <v>22</v>
      </c>
      <c r="D65" s="7" t="s">
        <v>23</v>
      </c>
      <c r="E65" s="7" t="s">
        <v>24</v>
      </c>
      <c r="F65" s="7" t="s">
        <v>25</v>
      </c>
      <c r="G65" s="7" t="s">
        <v>24</v>
      </c>
      <c r="H65" s="10" t="n">
        <v>46214</v>
      </c>
      <c r="I65" s="8" t="n">
        <v>92</v>
      </c>
      <c r="J65" s="7" t="s">
        <v>73</v>
      </c>
      <c r="K65" s="7" t="s">
        <v>74</v>
      </c>
      <c r="L65" s="10"/>
      <c r="M65" s="7"/>
      <c r="N65" s="7" t="s">
        <v>75</v>
      </c>
      <c r="O65" s="7" t="s">
        <v>76</v>
      </c>
      <c r="P65" s="7" t="s">
        <v>196</v>
      </c>
    </row>
    <row r="66" customFormat="false" ht="15" hidden="false" customHeight="true" outlineLevel="0" collapsed="false">
      <c r="A66" s="5" t="s">
        <v>194</v>
      </c>
      <c r="B66" s="5" t="s">
        <v>195</v>
      </c>
      <c r="C66" s="5" t="s">
        <v>28</v>
      </c>
      <c r="D66" s="5" t="s">
        <v>29</v>
      </c>
      <c r="E66" s="5" t="s">
        <v>30</v>
      </c>
      <c r="F66" s="5" t="s">
        <v>31</v>
      </c>
      <c r="G66" s="5" t="s">
        <v>30</v>
      </c>
      <c r="H66" s="9" t="n">
        <v>46215</v>
      </c>
      <c r="I66" s="6" t="n">
        <v>94</v>
      </c>
      <c r="J66" s="5" t="s">
        <v>73</v>
      </c>
      <c r="K66" s="5" t="s">
        <v>78</v>
      </c>
      <c r="L66" s="9"/>
      <c r="M66" s="5"/>
      <c r="N66" s="5" t="s">
        <v>75</v>
      </c>
      <c r="O66" s="5" t="s">
        <v>76</v>
      </c>
      <c r="P66" s="5" t="s">
        <v>197</v>
      </c>
    </row>
    <row r="67" customFormat="false" ht="15" hidden="false" customHeight="true" outlineLevel="0" collapsed="false">
      <c r="A67" s="7" t="s">
        <v>194</v>
      </c>
      <c r="B67" s="7" t="s">
        <v>195</v>
      </c>
      <c r="C67" s="7" t="s">
        <v>33</v>
      </c>
      <c r="D67" s="7" t="s">
        <v>34</v>
      </c>
      <c r="E67" s="7" t="s">
        <v>35</v>
      </c>
      <c r="F67" s="7" t="s">
        <v>36</v>
      </c>
      <c r="G67" s="7" t="s">
        <v>35</v>
      </c>
      <c r="H67" s="10" t="n">
        <v>46216</v>
      </c>
      <c r="I67" s="8" t="n">
        <v>93</v>
      </c>
      <c r="J67" s="7" t="s">
        <v>73</v>
      </c>
      <c r="K67" s="7" t="s">
        <v>80</v>
      </c>
      <c r="L67" s="10"/>
      <c r="M67" s="7"/>
      <c r="N67" s="7" t="s">
        <v>75</v>
      </c>
      <c r="O67" s="7" t="s">
        <v>76</v>
      </c>
      <c r="P67" s="7" t="s">
        <v>198</v>
      </c>
    </row>
    <row r="68" customFormat="false" ht="15" hidden="false" customHeight="true" outlineLevel="0" collapsed="false">
      <c r="A68" s="5" t="s">
        <v>194</v>
      </c>
      <c r="B68" s="5" t="s">
        <v>195</v>
      </c>
      <c r="C68" s="5" t="s">
        <v>38</v>
      </c>
      <c r="D68" s="5" t="s">
        <v>39</v>
      </c>
      <c r="E68" s="5" t="s">
        <v>40</v>
      </c>
      <c r="F68" s="5" t="s">
        <v>41</v>
      </c>
      <c r="G68" s="5" t="s">
        <v>40</v>
      </c>
      <c r="H68" s="9" t="n">
        <v>46217</v>
      </c>
      <c r="I68" s="6" t="n">
        <v>2</v>
      </c>
      <c r="J68" s="5" t="s">
        <v>73</v>
      </c>
      <c r="K68" s="5" t="s">
        <v>82</v>
      </c>
      <c r="L68" s="9"/>
      <c r="M68" s="5"/>
      <c r="N68" s="5" t="s">
        <v>75</v>
      </c>
      <c r="O68" s="5" t="s">
        <v>76</v>
      </c>
      <c r="P68" s="5" t="s">
        <v>199</v>
      </c>
    </row>
    <row r="69" customFormat="false" ht="15" hidden="false" customHeight="true" outlineLevel="0" collapsed="false">
      <c r="A69" s="7" t="s">
        <v>194</v>
      </c>
      <c r="B69" s="7" t="s">
        <v>195</v>
      </c>
      <c r="C69" s="7" t="s">
        <v>43</v>
      </c>
      <c r="D69" s="7" t="s">
        <v>44</v>
      </c>
      <c r="E69" s="7" t="s">
        <v>45</v>
      </c>
      <c r="F69" s="7" t="s">
        <v>46</v>
      </c>
      <c r="G69" s="7" t="s">
        <v>45</v>
      </c>
      <c r="H69" s="10" t="n">
        <v>46213</v>
      </c>
      <c r="I69" s="8" t="n">
        <v>99</v>
      </c>
      <c r="J69" s="7" t="s">
        <v>73</v>
      </c>
      <c r="K69" s="7" t="s">
        <v>84</v>
      </c>
      <c r="L69" s="10"/>
      <c r="M69" s="7"/>
      <c r="N69" s="7" t="s">
        <v>75</v>
      </c>
      <c r="O69" s="7" t="s">
        <v>76</v>
      </c>
      <c r="P69" s="7" t="s">
        <v>200</v>
      </c>
    </row>
    <row r="70" customFormat="false" ht="15" hidden="false" customHeight="true" outlineLevel="0" collapsed="false">
      <c r="A70" s="5" t="s">
        <v>194</v>
      </c>
      <c r="B70" s="5" t="s">
        <v>195</v>
      </c>
      <c r="C70" s="5" t="s">
        <v>48</v>
      </c>
      <c r="D70" s="5" t="s">
        <v>49</v>
      </c>
      <c r="E70" s="5" t="s">
        <v>50</v>
      </c>
      <c r="F70" s="5" t="s">
        <v>25</v>
      </c>
      <c r="G70" s="5" t="s">
        <v>50</v>
      </c>
      <c r="H70" s="9" t="n">
        <v>46214</v>
      </c>
      <c r="I70" s="6" t="n">
        <v>90</v>
      </c>
      <c r="J70" s="5" t="s">
        <v>73</v>
      </c>
      <c r="K70" s="5" t="s">
        <v>86</v>
      </c>
      <c r="L70" s="9"/>
      <c r="M70" s="5"/>
      <c r="N70" s="5" t="s">
        <v>75</v>
      </c>
      <c r="O70" s="5" t="s">
        <v>76</v>
      </c>
      <c r="P70" s="5" t="s">
        <v>201</v>
      </c>
    </row>
    <row r="71" customFormat="false" ht="15" hidden="false" customHeight="true" outlineLevel="0" collapsed="false">
      <c r="A71" s="7" t="s">
        <v>194</v>
      </c>
      <c r="B71" s="7" t="s">
        <v>195</v>
      </c>
      <c r="C71" s="7" t="s">
        <v>53</v>
      </c>
      <c r="D71" s="7" t="s">
        <v>54</v>
      </c>
      <c r="E71" s="7" t="s">
        <v>55</v>
      </c>
      <c r="F71" s="7" t="s">
        <v>56</v>
      </c>
      <c r="G71" s="7" t="s">
        <v>55</v>
      </c>
      <c r="H71" s="10" t="n">
        <v>46215</v>
      </c>
      <c r="I71" s="8" t="n">
        <v>95</v>
      </c>
      <c r="J71" s="7" t="s">
        <v>73</v>
      </c>
      <c r="K71" s="7" t="s">
        <v>88</v>
      </c>
      <c r="L71" s="10"/>
      <c r="M71" s="7"/>
      <c r="N71" s="7" t="s">
        <v>75</v>
      </c>
      <c r="O71" s="7" t="s">
        <v>76</v>
      </c>
      <c r="P71" s="7" t="s">
        <v>202</v>
      </c>
    </row>
  </sheetData>
  <conditionalFormatting sqref="J2:J71">
    <cfRule type="expression" priority="2" aboveAverage="0" equalAverage="0" bottom="0" percent="0" rank="0" text="" dxfId="6">
      <formula>OR(J2="Failed",J2="Blocked")</formula>
    </cfRule>
  </conditionalFormatting>
  <dataValidations count="1">
    <dataValidation allowBlank="true" errorStyle="stop" operator="between" showDropDown="false" showErrorMessage="false" showInputMessage="false" sqref="J2:J71" type="list">
      <formula1>"Complete,Approved Exception,Failed,Open,Blocked"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68"/>
    <col collapsed="false" customWidth="true" hidden="false" outlineLevel="0" max="2" min="2" style="1" width="10.97"/>
    <col collapsed="false" customWidth="true" hidden="false" outlineLevel="0" max="3" min="3" style="1" width="16.56"/>
    <col collapsed="false" customWidth="true" hidden="false" outlineLevel="0" max="5" min="4" style="1" width="31.11"/>
    <col collapsed="false" customWidth="true" hidden="false" outlineLevel="0" max="6" min="6" style="1" width="25.52"/>
    <col collapsed="false" customWidth="true" hidden="false" outlineLevel="0" max="7" min="7" style="1" width="18.8"/>
    <col collapsed="false" customWidth="true" hidden="false" outlineLevel="0" max="8" min="8" style="1" width="107.28"/>
    <col collapsed="false" customWidth="true" hidden="false" outlineLevel="0" max="9" min="9" style="1" width="24.4"/>
    <col collapsed="false" customWidth="true" hidden="false" outlineLevel="0" max="10" min="10" style="1" width="21"/>
  </cols>
  <sheetData>
    <row r="1" customFormat="false" ht="15" hidden="false" customHeight="true" outlineLevel="0" collapsed="false">
      <c r="A1" s="4" t="s">
        <v>67</v>
      </c>
      <c r="B1" s="4" t="s">
        <v>59</v>
      </c>
      <c r="C1" s="4" t="s">
        <v>16</v>
      </c>
      <c r="D1" s="4" t="s">
        <v>203</v>
      </c>
      <c r="E1" s="4" t="s">
        <v>68</v>
      </c>
      <c r="F1" s="4" t="s">
        <v>204</v>
      </c>
      <c r="G1" s="4" t="s">
        <v>205</v>
      </c>
      <c r="H1" s="4" t="s">
        <v>69</v>
      </c>
      <c r="I1" s="4" t="s">
        <v>206</v>
      </c>
      <c r="J1" s="4" t="s">
        <v>207</v>
      </c>
    </row>
    <row r="2" customFormat="false" ht="15" hidden="false" customHeight="true" outlineLevel="0" collapsed="false">
      <c r="A2" s="5" t="s">
        <v>101</v>
      </c>
      <c r="B2" s="5" t="s">
        <v>90</v>
      </c>
      <c r="C2" s="5" t="s">
        <v>53</v>
      </c>
      <c r="D2" s="5" t="s">
        <v>102</v>
      </c>
      <c r="E2" s="5" t="s">
        <v>102</v>
      </c>
      <c r="F2" s="9" t="n">
        <v>46217</v>
      </c>
      <c r="G2" s="5" t="s">
        <v>100</v>
      </c>
      <c r="H2" s="5" t="s">
        <v>208</v>
      </c>
      <c r="I2" s="9" t="n">
        <v>46223</v>
      </c>
      <c r="J2" s="6" t="n">
        <f aca="false">DATE(2026,7,17)-F2</f>
        <v>3</v>
      </c>
    </row>
    <row r="3" customFormat="false" ht="15" hidden="false" customHeight="true" outlineLevel="0" collapsed="false">
      <c r="A3" s="7" t="s">
        <v>111</v>
      </c>
      <c r="B3" s="7" t="s">
        <v>105</v>
      </c>
      <c r="C3" s="7" t="s">
        <v>33</v>
      </c>
      <c r="D3" s="7" t="s">
        <v>209</v>
      </c>
      <c r="E3" s="7" t="s">
        <v>112</v>
      </c>
      <c r="F3" s="10" t="n">
        <v>46216</v>
      </c>
      <c r="G3" s="7" t="s">
        <v>110</v>
      </c>
      <c r="H3" s="7" t="s">
        <v>210</v>
      </c>
      <c r="I3" s="10" t="n">
        <v>46220</v>
      </c>
      <c r="J3" s="8" t="n">
        <f aca="false">DATE(2026,7,17)-F3</f>
        <v>4</v>
      </c>
    </row>
    <row r="4" customFormat="false" ht="15" hidden="false" customHeight="true" outlineLevel="0" collapsed="false">
      <c r="A4" s="5" t="s">
        <v>129</v>
      </c>
      <c r="B4" s="5" t="s">
        <v>122</v>
      </c>
      <c r="C4" s="5" t="s">
        <v>38</v>
      </c>
      <c r="D4" s="5" t="s">
        <v>211</v>
      </c>
      <c r="E4" s="5" t="s">
        <v>130</v>
      </c>
      <c r="F4" s="9" t="n">
        <v>46214</v>
      </c>
      <c r="G4" s="5" t="s">
        <v>128</v>
      </c>
      <c r="H4" s="5" t="s">
        <v>212</v>
      </c>
      <c r="I4" s="9" t="n">
        <v>46225</v>
      </c>
      <c r="J4" s="6" t="n">
        <f aca="false">DATE(2026,7,17)-F4</f>
        <v>6</v>
      </c>
    </row>
    <row r="5" customFormat="false" ht="15" hidden="false" customHeight="true" outlineLevel="0" collapsed="false">
      <c r="A5" s="7" t="s">
        <v>144</v>
      </c>
      <c r="B5" s="7" t="s">
        <v>138</v>
      </c>
      <c r="C5" s="7" t="s">
        <v>43</v>
      </c>
      <c r="D5" s="7" t="s">
        <v>213</v>
      </c>
      <c r="E5" s="7" t="s">
        <v>112</v>
      </c>
      <c r="F5" s="10" t="n">
        <v>46218</v>
      </c>
      <c r="G5" s="7" t="s">
        <v>110</v>
      </c>
      <c r="H5" s="7" t="s">
        <v>214</v>
      </c>
      <c r="I5" s="10" t="n">
        <v>46219</v>
      </c>
      <c r="J5" s="8" t="n">
        <f aca="false">DATE(2026,7,17)-F5</f>
        <v>2</v>
      </c>
    </row>
    <row r="6" customFormat="false" ht="15" hidden="false" customHeight="true" outlineLevel="0" collapsed="false">
      <c r="A6" s="5" t="s">
        <v>158</v>
      </c>
      <c r="B6" s="5" t="s">
        <v>149</v>
      </c>
      <c r="C6" s="5" t="s">
        <v>53</v>
      </c>
      <c r="D6" s="5" t="s">
        <v>215</v>
      </c>
      <c r="E6" s="5" t="s">
        <v>7</v>
      </c>
      <c r="F6" s="9" t="n">
        <v>46218</v>
      </c>
      <c r="G6" s="5" t="s">
        <v>157</v>
      </c>
      <c r="H6" s="5" t="s">
        <v>216</v>
      </c>
      <c r="I6" s="9" t="n">
        <v>46220</v>
      </c>
      <c r="J6" s="6" t="n">
        <f aca="false">DATE(2026,7,17)-F6</f>
        <v>2</v>
      </c>
    </row>
    <row r="7" customFormat="false" ht="15" hidden="false" customHeight="true" outlineLevel="0" collapsed="false">
      <c r="A7" s="7" t="s">
        <v>175</v>
      </c>
      <c r="B7" s="7" t="s">
        <v>170</v>
      </c>
      <c r="C7" s="7" t="s">
        <v>38</v>
      </c>
      <c r="D7" s="7" t="s">
        <v>217</v>
      </c>
      <c r="E7" s="7" t="s">
        <v>130</v>
      </c>
      <c r="F7" s="10" t="n">
        <v>46217</v>
      </c>
      <c r="G7" s="7" t="s">
        <v>128</v>
      </c>
      <c r="H7" s="7" t="s">
        <v>218</v>
      </c>
      <c r="I7" s="10" t="n">
        <v>46221</v>
      </c>
      <c r="J7" s="8" t="n">
        <f aca="false">DATE(2026,7,17)-F7</f>
        <v>3</v>
      </c>
    </row>
    <row r="8" customFormat="false" ht="15" hidden="false" customHeight="true" outlineLevel="0" collapsed="false">
      <c r="A8" s="5" t="s">
        <v>191</v>
      </c>
      <c r="B8" s="5" t="s">
        <v>182</v>
      </c>
      <c r="C8" s="5" t="s">
        <v>53</v>
      </c>
      <c r="D8" s="5" t="s">
        <v>219</v>
      </c>
      <c r="E8" s="5" t="s">
        <v>7</v>
      </c>
      <c r="F8" s="9" t="n">
        <v>46218</v>
      </c>
      <c r="G8" s="5" t="s">
        <v>190</v>
      </c>
      <c r="H8" s="5" t="s">
        <v>220</v>
      </c>
      <c r="I8" s="9" t="n">
        <v>46220</v>
      </c>
      <c r="J8" s="6" t="n">
        <f aca="false">DATE(2026,7,17)-F8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97"/>
    <col collapsed="false" customWidth="true" hidden="false" outlineLevel="0" max="2" min="2" style="1" width="23.28"/>
    <col collapsed="false" customWidth="true" hidden="false" outlineLevel="0" max="3" min="3" style="1" width="12.08"/>
    <col collapsed="false" customWidth="true" hidden="false" outlineLevel="0" max="4" min="4" style="1" width="16.56"/>
    <col collapsed="false" customWidth="true" hidden="false" outlineLevel="0" max="5" min="5" style="1" width="48"/>
    <col collapsed="false" customWidth="true" hidden="false" outlineLevel="0" max="6" min="6" style="1" width="17.68"/>
    <col collapsed="false" customWidth="true" hidden="false" outlineLevel="0" max="9" min="7" style="1" width="48"/>
    <col collapsed="false" customWidth="true" hidden="false" outlineLevel="0" max="10" min="10" style="1" width="25.52"/>
    <col collapsed="false" customWidth="true" hidden="false" outlineLevel="0" max="11" min="11" style="1" width="48"/>
    <col collapsed="false" customWidth="true" hidden="false" outlineLevel="0" max="12" min="12" style="1" width="27.76"/>
  </cols>
  <sheetData>
    <row r="1" customFormat="false" ht="15" hidden="false" customHeight="true" outlineLevel="0" collapsed="false">
      <c r="A1" s="4" t="s">
        <v>59</v>
      </c>
      <c r="B1" s="4" t="s">
        <v>60</v>
      </c>
      <c r="C1" s="4" t="s">
        <v>221</v>
      </c>
      <c r="D1" s="4" t="s">
        <v>222</v>
      </c>
      <c r="E1" s="4" t="s">
        <v>223</v>
      </c>
      <c r="F1" s="4" t="s">
        <v>224</v>
      </c>
      <c r="G1" s="4" t="s">
        <v>225</v>
      </c>
      <c r="H1" s="4" t="s">
        <v>226</v>
      </c>
      <c r="I1" s="4" t="s">
        <v>227</v>
      </c>
      <c r="J1" s="4" t="s">
        <v>228</v>
      </c>
      <c r="K1" s="4" t="s">
        <v>2</v>
      </c>
      <c r="L1" s="4" t="s">
        <v>68</v>
      </c>
    </row>
    <row r="2" customFormat="false" ht="15" hidden="false" customHeight="true" outlineLevel="0" collapsed="false">
      <c r="A2" s="5" t="s">
        <v>71</v>
      </c>
      <c r="B2" s="5" t="s">
        <v>72</v>
      </c>
      <c r="C2" s="5" t="s">
        <v>229</v>
      </c>
      <c r="D2" s="5" t="s">
        <v>190</v>
      </c>
      <c r="E2" s="6" t="n">
        <f aca="false">COUNTIFS('Evidence Register'!$A$2:$A$71,A2,'Evidence Register'!$J$2:$J$71,"Complete")</f>
        <v>7</v>
      </c>
      <c r="F2" s="6" t="n">
        <v>7</v>
      </c>
      <c r="G2" s="6" t="n">
        <f aca="false">COUNTIFS('Evidence Register'!$A$2:$A$71,A2,'Evidence Register'!$J$2:$J$71,"Approved Exception")</f>
        <v>0</v>
      </c>
      <c r="H2" s="6" t="n">
        <f aca="false">COUNTIFS('Evidence Register'!$A$2:$A$71,A2,'Evidence Register'!$J$2:$J$71,"Failed")</f>
        <v>0</v>
      </c>
      <c r="I2" s="6" t="n">
        <f aca="false">COUNTIFS('Evidence Register'!$A$2:$A$71,A2,'Evidence Register'!$J$2:$J$71,"Open")+COUNTIFS('Evidence Register'!$A$2:$A$71,A2,'Evidence Register'!$J$2:$J$71,"Blocked")</f>
        <v>0</v>
      </c>
      <c r="J2" s="11" t="n">
        <f aca="false">E2/F2</f>
        <v>1</v>
      </c>
      <c r="K2" s="5" t="str">
        <f aca="false">IF(COUNTIFS('Exception View'!$B$2:$B$8,A2,'Exception View'!$E$2:$E$8,"Unresolved")&gt;0,"Blocked - unresolved exception",IF(E2=F2,"Ready - pending manager",IF(G2&gt;0,"Limited exception - staged supervised",IF(H2&gt;0,"Remediation required","Pending evidence"))))</f>
        <v>Ready - pending manager</v>
      </c>
      <c r="L2" s="5" t="s">
        <v>230</v>
      </c>
    </row>
    <row r="3" customFormat="false" ht="15" hidden="false" customHeight="true" outlineLevel="0" collapsed="false">
      <c r="A3" s="7" t="s">
        <v>90</v>
      </c>
      <c r="B3" s="7" t="s">
        <v>91</v>
      </c>
      <c r="C3" s="7" t="s">
        <v>231</v>
      </c>
      <c r="D3" s="7" t="s">
        <v>100</v>
      </c>
      <c r="E3" s="8" t="n">
        <f aca="false">COUNTIFS('Evidence Register'!$A$2:$A$71,A3,'Evidence Register'!$J$2:$J$71,"Complete")</f>
        <v>6</v>
      </c>
      <c r="F3" s="8" t="n">
        <v>7</v>
      </c>
      <c r="G3" s="8" t="n">
        <f aca="false">COUNTIFS('Evidence Register'!$A$2:$A$71,A3,'Evidence Register'!$J$2:$J$71,"Approved Exception")</f>
        <v>1</v>
      </c>
      <c r="H3" s="8" t="n">
        <f aca="false">COUNTIFS('Evidence Register'!$A$2:$A$71,A3,'Evidence Register'!$J$2:$J$71,"Failed")</f>
        <v>0</v>
      </c>
      <c r="I3" s="8" t="n">
        <f aca="false">COUNTIFS('Evidence Register'!$A$2:$A$71,A3,'Evidence Register'!$J$2:$J$71,"Open")+COUNTIFS('Evidence Register'!$A$2:$A$71,A3,'Evidence Register'!$J$2:$J$71,"Blocked")</f>
        <v>0</v>
      </c>
      <c r="J3" s="12" t="n">
        <f aca="false">E3/F3</f>
        <v>0.857142857142857</v>
      </c>
      <c r="K3" s="7" t="str">
        <f aca="false">IF(COUNTIFS('Exception View'!$B$2:$B$8,A3,'Exception View'!$E$2:$E$8,"Unresolved")&gt;0,"Blocked - unresolved exception",IF(E3=F3,"Ready - pending manager",IF(G3&gt;0,"Limited exception - staged supervised",IF(H3&gt;0,"Remediation required","Pending evidence"))))</f>
        <v>Limited exception - staged supervised</v>
      </c>
      <c r="L3" s="7" t="s">
        <v>230</v>
      </c>
    </row>
    <row r="4" customFormat="false" ht="15" hidden="false" customHeight="true" outlineLevel="0" collapsed="false">
      <c r="A4" s="5" t="s">
        <v>105</v>
      </c>
      <c r="B4" s="5" t="s">
        <v>106</v>
      </c>
      <c r="C4" s="5" t="s">
        <v>232</v>
      </c>
      <c r="D4" s="5" t="s">
        <v>233</v>
      </c>
      <c r="E4" s="6" t="n">
        <f aca="false">COUNTIFS('Evidence Register'!$A$2:$A$71,A4,'Evidence Register'!$J$2:$J$71,"Complete")</f>
        <v>5</v>
      </c>
      <c r="F4" s="6" t="n">
        <v>7</v>
      </c>
      <c r="G4" s="6" t="n">
        <f aca="false">COUNTIFS('Evidence Register'!$A$2:$A$71,A4,'Evidence Register'!$J$2:$J$71,"Approved Exception")</f>
        <v>0</v>
      </c>
      <c r="H4" s="6" t="n">
        <f aca="false">COUNTIFS('Evidence Register'!$A$2:$A$71,A4,'Evidence Register'!$J$2:$J$71,"Failed")</f>
        <v>1</v>
      </c>
      <c r="I4" s="6" t="n">
        <f aca="false">COUNTIFS('Evidence Register'!$A$2:$A$71,A4,'Evidence Register'!$J$2:$J$71,"Open")+COUNTIFS('Evidence Register'!$A$2:$A$71,A4,'Evidence Register'!$J$2:$J$71,"Blocked")</f>
        <v>1</v>
      </c>
      <c r="J4" s="11" t="n">
        <f aca="false">E4/F4</f>
        <v>0.714285714285714</v>
      </c>
      <c r="K4" s="5" t="str">
        <f aca="false">IF(COUNTIFS('Exception View'!$B$2:$B$8,A4,'Exception View'!$E$2:$E$8,"Unresolved")&gt;0,"Blocked - unresolved exception",IF(E4=F4,"Ready - pending manager",IF(G4&gt;0,"Limited exception - staged supervised",IF(H4&gt;0,"Remediation required","Pending evidence"))))</f>
        <v>Remediation required</v>
      </c>
      <c r="L4" s="5" t="s">
        <v>230</v>
      </c>
    </row>
    <row r="5" customFormat="false" ht="15" hidden="false" customHeight="true" outlineLevel="0" collapsed="false">
      <c r="A5" s="7" t="s">
        <v>122</v>
      </c>
      <c r="B5" s="7" t="s">
        <v>123</v>
      </c>
      <c r="C5" s="7" t="s">
        <v>234</v>
      </c>
      <c r="D5" s="7" t="s">
        <v>235</v>
      </c>
      <c r="E5" s="8" t="n">
        <f aca="false">COUNTIFS('Evidence Register'!$A$2:$A$71,A5,'Evidence Register'!$J$2:$J$71,"Complete")</f>
        <v>4</v>
      </c>
      <c r="F5" s="8" t="n">
        <v>7</v>
      </c>
      <c r="G5" s="8" t="n">
        <f aca="false">COUNTIFS('Evidence Register'!$A$2:$A$71,A5,'Evidence Register'!$J$2:$J$71,"Approved Exception")</f>
        <v>0</v>
      </c>
      <c r="H5" s="8" t="n">
        <f aca="false">COUNTIFS('Evidence Register'!$A$2:$A$71,A5,'Evidence Register'!$J$2:$J$71,"Failed")</f>
        <v>0</v>
      </c>
      <c r="I5" s="8" t="n">
        <f aca="false">COUNTIFS('Evidence Register'!$A$2:$A$71,A5,'Evidence Register'!$J$2:$J$71,"Open")+COUNTIFS('Evidence Register'!$A$2:$A$71,A5,'Evidence Register'!$J$2:$J$71,"Blocked")</f>
        <v>3</v>
      </c>
      <c r="J5" s="12" t="n">
        <f aca="false">E5/F5</f>
        <v>0.571428571428571</v>
      </c>
      <c r="K5" s="7" t="str">
        <f aca="false">IF(COUNTIFS('Exception View'!$B$2:$B$8,A5,'Exception View'!$E$2:$E$8,"Unresolved")&gt;0,"Blocked - unresolved exception",IF(E5=F5,"Ready - pending manager",IF(G5&gt;0,"Limited exception - staged supervised",IF(H5&gt;0,"Remediation required","Pending evidence"))))</f>
        <v>Blocked - unresolved exception</v>
      </c>
      <c r="L5" s="7" t="s">
        <v>230</v>
      </c>
    </row>
    <row r="6" customFormat="false" ht="15" hidden="false" customHeight="true" outlineLevel="0" collapsed="false">
      <c r="A6" s="5" t="s">
        <v>138</v>
      </c>
      <c r="B6" s="5" t="s">
        <v>139</v>
      </c>
      <c r="C6" s="5" t="s">
        <v>229</v>
      </c>
      <c r="D6" s="5" t="s">
        <v>190</v>
      </c>
      <c r="E6" s="6" t="n">
        <f aca="false">COUNTIFS('Evidence Register'!$A$2:$A$71,A6,'Evidence Register'!$J$2:$J$71,"Complete")</f>
        <v>6</v>
      </c>
      <c r="F6" s="6" t="n">
        <v>7</v>
      </c>
      <c r="G6" s="6" t="n">
        <f aca="false">COUNTIFS('Evidence Register'!$A$2:$A$71,A6,'Evidence Register'!$J$2:$J$71,"Approved Exception")</f>
        <v>0</v>
      </c>
      <c r="H6" s="6" t="n">
        <f aca="false">COUNTIFS('Evidence Register'!$A$2:$A$71,A6,'Evidence Register'!$J$2:$J$71,"Failed")</f>
        <v>1</v>
      </c>
      <c r="I6" s="6" t="n">
        <f aca="false">COUNTIFS('Evidence Register'!$A$2:$A$71,A6,'Evidence Register'!$J$2:$J$71,"Open")+COUNTIFS('Evidence Register'!$A$2:$A$71,A6,'Evidence Register'!$J$2:$J$71,"Blocked")</f>
        <v>0</v>
      </c>
      <c r="J6" s="11" t="n">
        <f aca="false">E6/F6</f>
        <v>0.857142857142857</v>
      </c>
      <c r="K6" s="5" t="str">
        <f aca="false">IF(COUNTIFS('Exception View'!$B$2:$B$8,A6,'Exception View'!$E$2:$E$8,"Unresolved")&gt;0,"Blocked - unresolved exception",IF(E6=F6,"Ready - pending manager",IF(G6&gt;0,"Limited exception - staged supervised",IF(H6&gt;0,"Remediation required","Pending evidence"))))</f>
        <v>Remediation required</v>
      </c>
      <c r="L6" s="5" t="s">
        <v>230</v>
      </c>
    </row>
    <row r="7" customFormat="false" ht="15" hidden="false" customHeight="true" outlineLevel="0" collapsed="false">
      <c r="A7" s="7" t="s">
        <v>149</v>
      </c>
      <c r="B7" s="7" t="s">
        <v>150</v>
      </c>
      <c r="C7" s="7" t="s">
        <v>231</v>
      </c>
      <c r="D7" s="7" t="s">
        <v>100</v>
      </c>
      <c r="E7" s="8" t="n">
        <f aca="false">COUNTIFS('Evidence Register'!$A$2:$A$71,A7,'Evidence Register'!$J$2:$J$71,"Complete")</f>
        <v>6</v>
      </c>
      <c r="F7" s="8" t="n">
        <v>7</v>
      </c>
      <c r="G7" s="8" t="n">
        <f aca="false">COUNTIFS('Evidence Register'!$A$2:$A$71,A7,'Evidence Register'!$J$2:$J$71,"Approved Exception")</f>
        <v>0</v>
      </c>
      <c r="H7" s="8" t="n">
        <f aca="false">COUNTIFS('Evidence Register'!$A$2:$A$71,A7,'Evidence Register'!$J$2:$J$71,"Failed")</f>
        <v>0</v>
      </c>
      <c r="I7" s="8" t="n">
        <f aca="false">COUNTIFS('Evidence Register'!$A$2:$A$71,A7,'Evidence Register'!$J$2:$J$71,"Open")+COUNTIFS('Evidence Register'!$A$2:$A$71,A7,'Evidence Register'!$J$2:$J$71,"Blocked")</f>
        <v>1</v>
      </c>
      <c r="J7" s="12" t="n">
        <f aca="false">E7/F7</f>
        <v>0.857142857142857</v>
      </c>
      <c r="K7" s="7" t="str">
        <f aca="false">IF(COUNTIFS('Exception View'!$B$2:$B$8,A7,'Exception View'!$E$2:$E$8,"Unresolved")&gt;0,"Blocked - unresolved exception",IF(E7=F7,"Ready - pending manager",IF(G7&gt;0,"Limited exception - staged supervised",IF(H7&gt;0,"Remediation required","Pending evidence"))))</f>
        <v>Pending evidence</v>
      </c>
      <c r="L7" s="7" t="s">
        <v>230</v>
      </c>
    </row>
    <row r="8" customFormat="false" ht="15" hidden="false" customHeight="true" outlineLevel="0" collapsed="false">
      <c r="A8" s="5" t="s">
        <v>161</v>
      </c>
      <c r="B8" s="5" t="s">
        <v>162</v>
      </c>
      <c r="C8" s="5" t="s">
        <v>232</v>
      </c>
      <c r="D8" s="5" t="s">
        <v>233</v>
      </c>
      <c r="E8" s="6" t="n">
        <f aca="false">COUNTIFS('Evidence Register'!$A$2:$A$71,A8,'Evidence Register'!$J$2:$J$71,"Complete")</f>
        <v>7</v>
      </c>
      <c r="F8" s="6" t="n">
        <v>7</v>
      </c>
      <c r="G8" s="6" t="n">
        <f aca="false">COUNTIFS('Evidence Register'!$A$2:$A$71,A8,'Evidence Register'!$J$2:$J$71,"Approved Exception")</f>
        <v>0</v>
      </c>
      <c r="H8" s="6" t="n">
        <f aca="false">COUNTIFS('Evidence Register'!$A$2:$A$71,A8,'Evidence Register'!$J$2:$J$71,"Failed")</f>
        <v>0</v>
      </c>
      <c r="I8" s="6" t="n">
        <f aca="false">COUNTIFS('Evidence Register'!$A$2:$A$71,A8,'Evidence Register'!$J$2:$J$71,"Open")+COUNTIFS('Evidence Register'!$A$2:$A$71,A8,'Evidence Register'!$J$2:$J$71,"Blocked")</f>
        <v>0</v>
      </c>
      <c r="J8" s="11" t="n">
        <f aca="false">E8/F8</f>
        <v>1</v>
      </c>
      <c r="K8" s="5" t="str">
        <f aca="false">IF(COUNTIFS('Exception View'!$B$2:$B$8,A8,'Exception View'!$E$2:$E$8,"Unresolved")&gt;0,"Blocked - unresolved exception",IF(E8=F8,"Ready - pending manager",IF(G8&gt;0,"Limited exception - staged supervised",IF(H8&gt;0,"Remediation required","Pending evidence"))))</f>
        <v>Ready - pending manager</v>
      </c>
      <c r="L8" s="5" t="s">
        <v>230</v>
      </c>
    </row>
    <row r="9" customFormat="false" ht="15" hidden="false" customHeight="true" outlineLevel="0" collapsed="false">
      <c r="A9" s="7" t="s">
        <v>170</v>
      </c>
      <c r="B9" s="7" t="s">
        <v>171</v>
      </c>
      <c r="C9" s="7" t="s">
        <v>234</v>
      </c>
      <c r="D9" s="7" t="s">
        <v>235</v>
      </c>
      <c r="E9" s="8" t="n">
        <f aca="false">COUNTIFS('Evidence Register'!$A$2:$A$71,A9,'Evidence Register'!$J$2:$J$71,"Complete")</f>
        <v>5</v>
      </c>
      <c r="F9" s="8" t="n">
        <v>7</v>
      </c>
      <c r="G9" s="8" t="n">
        <f aca="false">COUNTIFS('Evidence Register'!$A$2:$A$71,A9,'Evidence Register'!$J$2:$J$71,"Approved Exception")</f>
        <v>0</v>
      </c>
      <c r="H9" s="8" t="n">
        <f aca="false">COUNTIFS('Evidence Register'!$A$2:$A$71,A9,'Evidence Register'!$J$2:$J$71,"Failed")</f>
        <v>1</v>
      </c>
      <c r="I9" s="8" t="n">
        <f aca="false">COUNTIFS('Evidence Register'!$A$2:$A$71,A9,'Evidence Register'!$J$2:$J$71,"Open")+COUNTIFS('Evidence Register'!$A$2:$A$71,A9,'Evidence Register'!$J$2:$J$71,"Blocked")</f>
        <v>1</v>
      </c>
      <c r="J9" s="12" t="n">
        <f aca="false">E9/F9</f>
        <v>0.714285714285714</v>
      </c>
      <c r="K9" s="7" t="str">
        <f aca="false">IF(COUNTIFS('Exception View'!$B$2:$B$8,A9,'Exception View'!$E$2:$E$8,"Unresolved")&gt;0,"Blocked - unresolved exception",IF(E9=F9,"Ready - pending manager",IF(G9&gt;0,"Limited exception - staged supervised",IF(H9&gt;0,"Remediation required","Pending evidence"))))</f>
        <v>Blocked - unresolved exception</v>
      </c>
      <c r="L9" s="7" t="s">
        <v>230</v>
      </c>
    </row>
    <row r="10" customFormat="false" ht="15" hidden="false" customHeight="true" outlineLevel="0" collapsed="false">
      <c r="A10" s="5" t="s">
        <v>182</v>
      </c>
      <c r="B10" s="5" t="s">
        <v>183</v>
      </c>
      <c r="C10" s="5" t="s">
        <v>229</v>
      </c>
      <c r="D10" s="5" t="s">
        <v>190</v>
      </c>
      <c r="E10" s="6" t="n">
        <f aca="false">COUNTIFS('Evidence Register'!$A$2:$A$71,A10,'Evidence Register'!$J$2:$J$71,"Complete")</f>
        <v>6</v>
      </c>
      <c r="F10" s="6" t="n">
        <v>7</v>
      </c>
      <c r="G10" s="6" t="n">
        <f aca="false">COUNTIFS('Evidence Register'!$A$2:$A$71,A10,'Evidence Register'!$J$2:$J$71,"Approved Exception")</f>
        <v>0</v>
      </c>
      <c r="H10" s="6" t="n">
        <f aca="false">COUNTIFS('Evidence Register'!$A$2:$A$71,A10,'Evidence Register'!$J$2:$J$71,"Failed")</f>
        <v>0</v>
      </c>
      <c r="I10" s="6" t="n">
        <f aca="false">COUNTIFS('Evidence Register'!$A$2:$A$71,A10,'Evidence Register'!$J$2:$J$71,"Open")+COUNTIFS('Evidence Register'!$A$2:$A$71,A10,'Evidence Register'!$J$2:$J$71,"Blocked")</f>
        <v>1</v>
      </c>
      <c r="J10" s="11" t="n">
        <f aca="false">E10/F10</f>
        <v>0.857142857142857</v>
      </c>
      <c r="K10" s="5" t="str">
        <f aca="false">IF(COUNTIFS('Exception View'!$B$2:$B$8,A10,'Exception View'!$E$2:$E$8,"Unresolved")&gt;0,"Blocked - unresolved exception",IF(E10=F10,"Ready - pending manager",IF(G10&gt;0,"Limited exception - staged supervised",IF(H10&gt;0,"Remediation required","Pending evidence"))))</f>
        <v>Pending evidence</v>
      </c>
      <c r="L10" s="5" t="s">
        <v>230</v>
      </c>
    </row>
    <row r="11" customFormat="false" ht="15" hidden="false" customHeight="true" outlineLevel="0" collapsed="false">
      <c r="A11" s="7" t="s">
        <v>194</v>
      </c>
      <c r="B11" s="7" t="s">
        <v>195</v>
      </c>
      <c r="C11" s="7" t="s">
        <v>231</v>
      </c>
      <c r="D11" s="7" t="s">
        <v>100</v>
      </c>
      <c r="E11" s="8" t="n">
        <f aca="false">COUNTIFS('Evidence Register'!$A$2:$A$71,A11,'Evidence Register'!$J$2:$J$71,"Complete")</f>
        <v>7</v>
      </c>
      <c r="F11" s="8" t="n">
        <v>7</v>
      </c>
      <c r="G11" s="8" t="n">
        <f aca="false">COUNTIFS('Evidence Register'!$A$2:$A$71,A11,'Evidence Register'!$J$2:$J$71,"Approved Exception")</f>
        <v>0</v>
      </c>
      <c r="H11" s="8" t="n">
        <f aca="false">COUNTIFS('Evidence Register'!$A$2:$A$71,A11,'Evidence Register'!$J$2:$J$71,"Failed")</f>
        <v>0</v>
      </c>
      <c r="I11" s="8" t="n">
        <f aca="false">COUNTIFS('Evidence Register'!$A$2:$A$71,A11,'Evidence Register'!$J$2:$J$71,"Open")+COUNTIFS('Evidence Register'!$A$2:$A$71,A11,'Evidence Register'!$J$2:$J$71,"Blocked")</f>
        <v>0</v>
      </c>
      <c r="J11" s="12" t="n">
        <f aca="false">E11/F11</f>
        <v>1</v>
      </c>
      <c r="K11" s="7" t="str">
        <f aca="false">IF(COUNTIFS('Exception View'!$B$2:$B$8,A11,'Exception View'!$E$2:$E$8,"Unresolved")&gt;0,"Blocked - unresolved exception",IF(E11=F11,"Ready - pending manager",IF(G11&gt;0,"Limited exception - staged supervised",IF(H11&gt;0,"Remediation required","Pending evidence"))))</f>
        <v>Ready - pending manager</v>
      </c>
      <c r="L11" s="7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7.76"/>
    <col collapsed="false" customWidth="true" hidden="false" outlineLevel="0" max="2" min="2" style="1" width="48"/>
    <col collapsed="false" customWidth="true" hidden="false" outlineLevel="0" max="3" min="3" style="1" width="10.97"/>
  </cols>
  <sheetData>
    <row r="1" customFormat="false" ht="15" hidden="false" customHeight="true" outlineLevel="0" collapsed="false">
      <c r="A1" s="4" t="s">
        <v>236</v>
      </c>
      <c r="B1" s="4" t="s">
        <v>237</v>
      </c>
      <c r="C1" s="4" t="s">
        <v>238</v>
      </c>
    </row>
    <row r="2" customFormat="false" ht="15" hidden="false" customHeight="true" outlineLevel="0" collapsed="false">
      <c r="A2" s="5" t="s">
        <v>239</v>
      </c>
      <c r="B2" s="5" t="n">
        <f aca="false">COUNTA('Rep Readiness Summary'!A2:A11)</f>
        <v>10</v>
      </c>
      <c r="C2" s="5" t="n">
        <v>10</v>
      </c>
    </row>
    <row r="3" customFormat="false" ht="15" hidden="false" customHeight="true" outlineLevel="0" collapsed="false">
      <c r="A3" s="7" t="s">
        <v>240</v>
      </c>
      <c r="B3" s="7" t="n">
        <f aca="false">COUNTA('Evidence Register'!A2:A71)</f>
        <v>70</v>
      </c>
      <c r="C3" s="7" t="n">
        <v>70</v>
      </c>
    </row>
    <row r="4" customFormat="false" ht="15" hidden="false" customHeight="true" outlineLevel="0" collapsed="false">
      <c r="A4" s="5" t="s">
        <v>241</v>
      </c>
      <c r="B4" s="5" t="n">
        <f aca="false">COUNTIF('Rep Readiness Summary'!K2:K11,"Ready - pending manager")</f>
        <v>3</v>
      </c>
      <c r="C4" s="5" t="n">
        <v>3</v>
      </c>
    </row>
    <row r="5" customFormat="false" ht="15" hidden="false" customHeight="true" outlineLevel="0" collapsed="false">
      <c r="A5" s="7" t="s">
        <v>242</v>
      </c>
      <c r="B5" s="7" t="n">
        <f aca="false">COUNTIF('Rep Readiness Summary'!K2:K11,"Limited exception - staged supervised")</f>
        <v>1</v>
      </c>
      <c r="C5" s="7" t="n">
        <v>1</v>
      </c>
    </row>
    <row r="6" customFormat="false" ht="15" hidden="false" customHeight="true" outlineLevel="0" collapsed="false">
      <c r="A6" s="5" t="s">
        <v>243</v>
      </c>
      <c r="B6" s="5" t="n">
        <f aca="false">COUNTIF('Rep Readiness Summary'!K2:K11,"Blocked - unresolved exception")</f>
        <v>2</v>
      </c>
      <c r="C6" s="5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68"/>
    <col collapsed="false" customWidth="true" hidden="false" outlineLevel="0" max="2" min="2" style="1" width="48"/>
    <col collapsed="false" customWidth="true" hidden="false" outlineLevel="0" max="3" min="3" style="1" width="22"/>
  </cols>
  <sheetData>
    <row r="1" customFormat="false" ht="15" hidden="false" customHeight="true" outlineLevel="0" collapsed="false">
      <c r="A1" s="4" t="s">
        <v>244</v>
      </c>
      <c r="B1" s="4" t="s">
        <v>245</v>
      </c>
    </row>
    <row r="2" customFormat="false" ht="15" hidden="false" customHeight="true" outlineLevel="0" collapsed="false">
      <c r="A2" s="5" t="s">
        <v>22</v>
      </c>
      <c r="B2" s="6" t="n">
        <f aca="false">COUNTIFS('Evidence Register'!$C$2:$C$71,A2,'Evidence Register'!$J$2:$J$71,"Failed")+COUNTIFS('Evidence Register'!$C$2:$C$71,A2,'Evidence Register'!$J$2:$J$71,"Open")+COUNTIFS('Evidence Register'!$C$2:$C$71,A2,'Evidence Register'!$J$2:$J$71,"Blocked")</f>
        <v>0</v>
      </c>
    </row>
    <row r="3" customFormat="false" ht="15" hidden="false" customHeight="true" outlineLevel="0" collapsed="false">
      <c r="A3" s="7" t="s">
        <v>28</v>
      </c>
      <c r="B3" s="8" t="n">
        <f aca="false">COUNTIFS('Evidence Register'!$C$2:$C$71,A3,'Evidence Register'!$J$2:$J$71,"Failed")+COUNTIFS('Evidence Register'!$C$2:$C$71,A3,'Evidence Register'!$J$2:$J$71,"Open")+COUNTIFS('Evidence Register'!$C$2:$C$71,A3,'Evidence Register'!$J$2:$J$71,"Blocked")</f>
        <v>0</v>
      </c>
    </row>
    <row r="4" customFormat="false" ht="15" hidden="false" customHeight="true" outlineLevel="0" collapsed="false">
      <c r="A4" s="5" t="s">
        <v>33</v>
      </c>
      <c r="B4" s="6" t="n">
        <f aca="false">COUNTIFS('Evidence Register'!$C$2:$C$71,A4,'Evidence Register'!$J$2:$J$71,"Failed")+COUNTIFS('Evidence Register'!$C$2:$C$71,A4,'Evidence Register'!$J$2:$J$71,"Open")+COUNTIFS('Evidence Register'!$C$2:$C$71,A4,'Evidence Register'!$J$2:$J$71,"Blocked")</f>
        <v>1</v>
      </c>
    </row>
    <row r="5" customFormat="false" ht="15" hidden="false" customHeight="true" outlineLevel="0" collapsed="false">
      <c r="A5" s="7" t="s">
        <v>38</v>
      </c>
      <c r="B5" s="8" t="n">
        <f aca="false">COUNTIFS('Evidence Register'!$C$2:$C$71,A5,'Evidence Register'!$J$2:$J$71,"Failed")+COUNTIFS('Evidence Register'!$C$2:$C$71,A5,'Evidence Register'!$J$2:$J$71,"Open")+COUNTIFS('Evidence Register'!$C$2:$C$71,A5,'Evidence Register'!$J$2:$J$71,"Blocked")</f>
        <v>2</v>
      </c>
    </row>
    <row r="6" customFormat="false" ht="15" hidden="false" customHeight="true" outlineLevel="0" collapsed="false">
      <c r="A6" s="5" t="s">
        <v>43</v>
      </c>
      <c r="B6" s="6" t="n">
        <f aca="false">COUNTIFS('Evidence Register'!$C$2:$C$71,A6,'Evidence Register'!$J$2:$J$71,"Failed")+COUNTIFS('Evidence Register'!$C$2:$C$71,A6,'Evidence Register'!$J$2:$J$71,"Open")+COUNTIFS('Evidence Register'!$C$2:$C$71,A6,'Evidence Register'!$J$2:$J$71,"Blocked")</f>
        <v>1</v>
      </c>
    </row>
    <row r="7" customFormat="false" ht="15" hidden="false" customHeight="true" outlineLevel="0" collapsed="false">
      <c r="A7" s="7" t="s">
        <v>48</v>
      </c>
      <c r="B7" s="8" t="n">
        <f aca="false">COUNTIFS('Evidence Register'!$C$2:$C$71,A7,'Evidence Register'!$J$2:$J$71,"Failed")+COUNTIFS('Evidence Register'!$C$2:$C$71,A7,'Evidence Register'!$J$2:$J$71,"Open")+COUNTIFS('Evidence Register'!$C$2:$C$71,A7,'Evidence Register'!$J$2:$J$71,"Blocked")</f>
        <v>1</v>
      </c>
    </row>
    <row r="8" customFormat="false" ht="15" hidden="false" customHeight="true" outlineLevel="0" collapsed="false">
      <c r="A8" s="5" t="s">
        <v>53</v>
      </c>
      <c r="B8" s="6" t="n">
        <f aca="false">COUNTIFS('Evidence Register'!$C$2:$C$71,A8,'Evidence Register'!$J$2:$J$71,"Failed")+COUNTIFS('Evidence Register'!$C$2:$C$71,A8,'Evidence Register'!$J$2:$J$71,"Open")+COUNTIFS('Evidence Register'!$C$2:$C$71,A8,'Evidence Register'!$J$2:$J$71,"Blocked")</f>
        <v>5</v>
      </c>
    </row>
    <row r="11" customFormat="false" ht="15" hidden="false" customHeight="true" outlineLevel="0" collapsed="false">
      <c r="A11" s="4" t="s">
        <v>246</v>
      </c>
      <c r="B11" s="4" t="s">
        <v>247</v>
      </c>
      <c r="C11" s="4" t="s">
        <v>248</v>
      </c>
    </row>
    <row r="12" customFormat="false" ht="15" hidden="false" customHeight="true" outlineLevel="0" collapsed="false">
      <c r="A12" s="5" t="s">
        <v>101</v>
      </c>
      <c r="B12" s="5" t="s">
        <v>100</v>
      </c>
      <c r="C12" s="6" t="n">
        <f aca="false">'Exception View'!J2</f>
        <v>3</v>
      </c>
    </row>
    <row r="13" customFormat="false" ht="15" hidden="false" customHeight="true" outlineLevel="0" collapsed="false">
      <c r="A13" s="7" t="s">
        <v>111</v>
      </c>
      <c r="B13" s="7" t="s">
        <v>110</v>
      </c>
      <c r="C13" s="8" t="n">
        <f aca="false">'Exception View'!J3</f>
        <v>4</v>
      </c>
    </row>
    <row r="14" customFormat="false" ht="15" hidden="false" customHeight="true" outlineLevel="0" collapsed="false">
      <c r="A14" s="5" t="s">
        <v>129</v>
      </c>
      <c r="B14" s="5" t="s">
        <v>128</v>
      </c>
      <c r="C14" s="6" t="n">
        <f aca="false">'Exception View'!J4</f>
        <v>6</v>
      </c>
    </row>
    <row r="15" customFormat="false" ht="15" hidden="false" customHeight="true" outlineLevel="0" collapsed="false">
      <c r="A15" s="7" t="s">
        <v>144</v>
      </c>
      <c r="B15" s="7" t="s">
        <v>110</v>
      </c>
      <c r="C15" s="8" t="n">
        <f aca="false">'Exception View'!J5</f>
        <v>2</v>
      </c>
    </row>
    <row r="16" customFormat="false" ht="15" hidden="false" customHeight="true" outlineLevel="0" collapsed="false">
      <c r="A16" s="5" t="s">
        <v>158</v>
      </c>
      <c r="B16" s="5" t="s">
        <v>157</v>
      </c>
      <c r="C16" s="6" t="n">
        <f aca="false">'Exception View'!J6</f>
        <v>2</v>
      </c>
    </row>
    <row r="17" customFormat="false" ht="15" hidden="false" customHeight="true" outlineLevel="0" collapsed="false">
      <c r="A17" s="7" t="s">
        <v>175</v>
      </c>
      <c r="B17" s="7" t="s">
        <v>128</v>
      </c>
      <c r="C17" s="8" t="n">
        <f aca="false">'Exception View'!J7</f>
        <v>3</v>
      </c>
    </row>
    <row r="18" customFormat="false" ht="15" hidden="false" customHeight="true" outlineLevel="0" collapsed="false">
      <c r="A18" s="5" t="s">
        <v>191</v>
      </c>
      <c r="B18" s="5" t="s">
        <v>190</v>
      </c>
      <c r="C18" s="6" t="n">
        <f aca="false">'Exception View'!J8</f>
        <v>2</v>
      </c>
    </row>
    <row r="21" customFormat="false" ht="15" hidden="false" customHeight="true" outlineLevel="0" collapsed="false">
      <c r="A21" s="4" t="s">
        <v>249</v>
      </c>
      <c r="B21" s="4" t="s">
        <v>250</v>
      </c>
    </row>
    <row r="22" customFormat="false" ht="15" hidden="false" customHeight="true" outlineLevel="0" collapsed="false">
      <c r="A22" s="5" t="s">
        <v>71</v>
      </c>
      <c r="B22" s="11" t="n">
        <f aca="false">'Rep Readiness Summary'!J2</f>
        <v>1</v>
      </c>
    </row>
    <row r="23" customFormat="false" ht="15" hidden="false" customHeight="true" outlineLevel="0" collapsed="false">
      <c r="A23" s="7" t="s">
        <v>90</v>
      </c>
      <c r="B23" s="12" t="n">
        <f aca="false">'Rep Readiness Summary'!J3</f>
        <v>0.857142857142857</v>
      </c>
    </row>
    <row r="24" customFormat="false" ht="15" hidden="false" customHeight="true" outlineLevel="0" collapsed="false">
      <c r="A24" s="5" t="s">
        <v>105</v>
      </c>
      <c r="B24" s="11" t="n">
        <f aca="false">'Rep Readiness Summary'!J4</f>
        <v>0.714285714285714</v>
      </c>
    </row>
    <row r="25" customFormat="false" ht="15" hidden="false" customHeight="true" outlineLevel="0" collapsed="false">
      <c r="A25" s="7" t="s">
        <v>122</v>
      </c>
      <c r="B25" s="12" t="n">
        <f aca="false">'Rep Readiness Summary'!J5</f>
        <v>0.571428571428571</v>
      </c>
    </row>
    <row r="26" customFormat="false" ht="15" hidden="false" customHeight="true" outlineLevel="0" collapsed="false">
      <c r="A26" s="5" t="s">
        <v>138</v>
      </c>
      <c r="B26" s="11" t="n">
        <f aca="false">'Rep Readiness Summary'!J6</f>
        <v>0.857142857142857</v>
      </c>
    </row>
    <row r="27" customFormat="false" ht="15" hidden="false" customHeight="true" outlineLevel="0" collapsed="false">
      <c r="A27" s="7" t="s">
        <v>149</v>
      </c>
      <c r="B27" s="12" t="n">
        <f aca="false">'Rep Readiness Summary'!J7</f>
        <v>0.857142857142857</v>
      </c>
    </row>
    <row r="28" customFormat="false" ht="15" hidden="false" customHeight="true" outlineLevel="0" collapsed="false">
      <c r="A28" s="5" t="s">
        <v>161</v>
      </c>
      <c r="B28" s="11" t="n">
        <f aca="false">'Rep Readiness Summary'!J8</f>
        <v>1</v>
      </c>
    </row>
    <row r="29" customFormat="false" ht="15" hidden="false" customHeight="true" outlineLevel="0" collapsed="false">
      <c r="A29" s="7" t="s">
        <v>170</v>
      </c>
      <c r="B29" s="12" t="n">
        <f aca="false">'Rep Readiness Summary'!J9</f>
        <v>0.714285714285714</v>
      </c>
    </row>
    <row r="30" customFormat="false" ht="15" hidden="false" customHeight="true" outlineLevel="0" collapsed="false">
      <c r="A30" s="5" t="s">
        <v>182</v>
      </c>
      <c r="B30" s="11" t="n">
        <f aca="false">'Rep Readiness Summary'!J10</f>
        <v>0.857142857142857</v>
      </c>
    </row>
    <row r="31" customFormat="false" ht="15" hidden="false" customHeight="true" outlineLevel="0" collapsed="false">
      <c r="A31" s="7" t="s">
        <v>194</v>
      </c>
      <c r="B31" s="12" t="n">
        <f aca="false">'Rep Readiness Summary'!J11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2026-07-17T16:01:22Z</dcterms:created>
  <dc:creator>HarborBridge Group Sales Operations</dc:creator>
  <dc:description>Controlled readiness register for July 2026 group-sales cohort</dc:description>
  <cp:keywords>group sales ramp readiness certification pending approval</cp:keywords>
  <dc:language>en-US</dc:language>
  <cp:lastModifiedBy/>
  <dcterms:modified xsi:type="dcterms:W3CDTF">2026-07-17T16:23:47Z</dcterms:modified>
  <cp:revision>2</cp:revision>
  <dc:subject>Controlled readiness register for July 2026 group-sales cohort</dc:subject>
  <dc:title>Certification Evidence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