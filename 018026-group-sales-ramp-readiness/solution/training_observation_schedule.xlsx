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4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Dashboard" sheetId="1" state="visible" r:id="rId3"/>
    <sheet name="Parameters" sheetId="2" state="visible" r:id="rId4"/>
    <sheet name="Source_Cohort" sheetId="3" state="visible" r:id="rId5"/>
    <sheet name="Availability" sheetId="4" state="visible" r:id="rId6"/>
    <sheet name="Evidence_Gaps" sheetId="5" state="visible" r:id="rId7"/>
    <sheet name="Scheduled Sessions" sheetId="6" state="visible" r:id="rId8"/>
    <sheet name="Representative View" sheetId="7" state="visible" r:id="rId9"/>
    <sheet name="Schedule Exceptions" sheetId="8" state="visible" r:id="rId10"/>
    <sheet name="Schedule Feasibility" sheetId="9" state="visible" r:id="rId11"/>
    <sheet name="Formula Check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<sst xmlns="http://schemas.openxmlformats.org/spreadsheetml/2006/main" count="360" uniqueCount="175">
  <si>
    <t xml:space="preserve">Schedule Dashboard</t>
  </si>
  <si>
    <t xml:space="preserve">HB-RAMP-2026-07 | pending desk manager approval</t>
  </si>
  <si>
    <t xml:space="preserve">Session_Date</t>
  </si>
  <si>
    <t xml:space="preserve">Remediation</t>
  </si>
  <si>
    <t xml:space="preserve">Retest</t>
  </si>
  <si>
    <t xml:space="preserve">Observation/panel</t>
  </si>
  <si>
    <t xml:space="preserve">Trainer_ID</t>
  </si>
  <si>
    <t xml:space="preserve">Booked slots</t>
  </si>
  <si>
    <t xml:space="preserve">Available slots</t>
  </si>
  <si>
    <t xml:space="preserve">TRN-503</t>
  </si>
  <si>
    <t xml:space="preserve">TRN-504</t>
  </si>
  <si>
    <t xml:space="preserve">TRN-505</t>
  </si>
  <si>
    <t xml:space="preserve">TRN-506</t>
  </si>
  <si>
    <t xml:space="preserve">Parameter</t>
  </si>
  <si>
    <t xml:space="preserve">Value</t>
  </si>
  <si>
    <t xml:space="preserve">Note</t>
  </si>
  <si>
    <t xml:space="preserve">Approval_Request_ID</t>
  </si>
  <si>
    <t xml:space="preserve">HB-RAMP-2026-07</t>
  </si>
  <si>
    <t xml:space="preserve">Manager review remains pending</t>
  </si>
  <si>
    <t xml:space="preserve">Workday_Start</t>
  </si>
  <si>
    <t xml:space="preserve">Earliest scheduled start</t>
  </si>
  <si>
    <t xml:space="preserve">Workday_End</t>
  </si>
  <si>
    <t xml:space="preserve">Latest scheduled end</t>
  </si>
  <si>
    <t xml:space="preserve">Default_Buffer_Minutes</t>
  </si>
  <si>
    <t xml:space="preserve">Minimum between observation and recommendation</t>
  </si>
  <si>
    <t xml:space="preserve">Rep_ID</t>
  </si>
  <si>
    <t xml:space="preserve">Representative_Name</t>
  </si>
  <si>
    <t xml:space="preserve">Segment</t>
  </si>
  <si>
    <t xml:space="preserve">Supervisor_ID</t>
  </si>
  <si>
    <t xml:space="preserve">Target_Certification_Date</t>
  </si>
  <si>
    <t xml:space="preserve">Target_Independent_Coverage_Date</t>
  </si>
  <si>
    <t xml:space="preserve">Constraint_Type</t>
  </si>
  <si>
    <t xml:space="preserve">REP-2701</t>
  </si>
  <si>
    <t xml:space="preserve">Maya Chen</t>
  </si>
  <si>
    <t xml:space="preserve">Corporate</t>
  </si>
  <si>
    <t xml:space="preserve">SUP-410</t>
  </si>
  <si>
    <t xml:space="preserve">None</t>
  </si>
  <si>
    <t xml:space="preserve">REP-2702</t>
  </si>
  <si>
    <t xml:space="preserve">Jordan Patel</t>
  </si>
  <si>
    <t xml:space="preserve">Affinity</t>
  </si>
  <si>
    <t xml:space="preserve">SUP-411</t>
  </si>
  <si>
    <t xml:space="preserve">Approved limited-coverage exception</t>
  </si>
  <si>
    <t xml:space="preserve">REP-2703</t>
  </si>
  <si>
    <t xml:space="preserve">Sofia Ramirez</t>
  </si>
  <si>
    <t xml:space="preserve">Education</t>
  </si>
  <si>
    <t xml:space="preserve">SUP-412</t>
  </si>
  <si>
    <t xml:space="preserve">Contract terms remediation</t>
  </si>
  <si>
    <t xml:space="preserve">REP-2704</t>
  </si>
  <si>
    <t xml:space="preserve">Ethan Brooks</t>
  </si>
  <si>
    <t xml:space="preserve">Meetings</t>
  </si>
  <si>
    <t xml:space="preserve">SUP-413</t>
  </si>
  <si>
    <t xml:space="preserve">State seller-of-travel licensing hold</t>
  </si>
  <si>
    <t xml:space="preserve">REP-2705</t>
  </si>
  <si>
    <t xml:space="preserve">Priya Nair</t>
  </si>
  <si>
    <t xml:space="preserve">CRM audit remediation</t>
  </si>
  <si>
    <t xml:space="preserve">REP-2706</t>
  </si>
  <si>
    <t xml:space="preserve">Liam O'Neill</t>
  </si>
  <si>
    <t xml:space="preserve">Missed live observation slot</t>
  </si>
  <si>
    <t xml:space="preserve">REP-2707</t>
  </si>
  <si>
    <t xml:space="preserve">Ava Thompson</t>
  </si>
  <si>
    <t xml:space="preserve">REP-2708</t>
  </si>
  <si>
    <t xml:space="preserve">Noah Kim</t>
  </si>
  <si>
    <t xml:space="preserve">Compliance disclosure miss</t>
  </si>
  <si>
    <t xml:space="preserve">REP-2709</t>
  </si>
  <si>
    <t xml:space="preserve">Isabella Reed</t>
  </si>
  <si>
    <t xml:space="preserve">Supervisor recommendation pending</t>
  </si>
  <si>
    <t xml:space="preserve">REP-2710</t>
  </si>
  <si>
    <t xml:space="preserve">Marcus Lee</t>
  </si>
  <si>
    <t xml:space="preserve">Quote remediation cleared 2026-07-14</t>
  </si>
  <si>
    <t xml:space="preserve">Availability_Date</t>
  </si>
  <si>
    <t xml:space="preserve">Start_Time</t>
  </si>
  <si>
    <t xml:space="preserve">End_Time</t>
  </si>
  <si>
    <t xml:space="preserve">Capacity_Slots</t>
  </si>
  <si>
    <t xml:space="preserve">Window_Use</t>
  </si>
  <si>
    <t xml:space="preserve">CRM and contract remediation</t>
  </si>
  <si>
    <t xml:space="preserve">Contract remediation</t>
  </si>
  <si>
    <t xml:space="preserve">Contract retest</t>
  </si>
  <si>
    <t xml:space="preserve">Compliance retest</t>
  </si>
  <si>
    <t xml:space="preserve">Live observation</t>
  </si>
  <si>
    <t xml:space="preserve">Supervisor recommendation panels</t>
  </si>
  <si>
    <t xml:space="preserve">Competency_ID</t>
  </si>
  <si>
    <t xml:space="preserve">Gap_Type</t>
  </si>
  <si>
    <t xml:space="preserve">Priority</t>
  </si>
  <si>
    <t xml:space="preserve">Reason</t>
  </si>
  <si>
    <t xml:space="preserve">Owner_ID</t>
  </si>
  <si>
    <t xml:space="preserve">Due_Date</t>
  </si>
  <si>
    <t xml:space="preserve">GS-C07</t>
  </si>
  <si>
    <t xml:space="preserve">Live observation pending</t>
  </si>
  <si>
    <t xml:space="preserve">Medium</t>
  </si>
  <si>
    <t xml:space="preserve">Approved limited exception closes after 2026-07-20 observation</t>
  </si>
  <si>
    <t xml:space="preserve">GS-C03</t>
  </si>
  <si>
    <t xml:space="preserve">Failed contract assessment</t>
  </si>
  <si>
    <t xml:space="preserve">High</t>
  </si>
  <si>
    <t xml:space="preserve">Retest before live observation</t>
  </si>
  <si>
    <t xml:space="preserve">GS-C04</t>
  </si>
  <si>
    <t xml:space="preserve">Licensing hold</t>
  </si>
  <si>
    <t xml:space="preserve">Blocked</t>
  </si>
  <si>
    <t xml:space="preserve">No schedule until compliance releases hold</t>
  </si>
  <si>
    <t xml:space="preserve">COM-201</t>
  </si>
  <si>
    <t xml:space="preserve">GS-C05</t>
  </si>
  <si>
    <t xml:space="preserve">CRM audit failed</t>
  </si>
  <si>
    <t xml:space="preserve">CRM remediation and audit required</t>
  </si>
  <si>
    <t xml:space="preserve">Live observation missed</t>
  </si>
  <si>
    <t xml:space="preserve">Rescheduled before trainer blackout</t>
  </si>
  <si>
    <t xml:space="preserve">Retest required before observation</t>
  </si>
  <si>
    <t xml:space="preserve">Panel scheduled</t>
  </si>
  <si>
    <t xml:space="preserve">Session_ID</t>
  </si>
  <si>
    <t xml:space="preserve">Module_ID</t>
  </si>
  <si>
    <t xml:space="preserve">Session_Type</t>
  </si>
  <si>
    <t xml:space="preserve">Duration_Min</t>
  </si>
  <si>
    <t xml:space="preserve">Prerequisite_Status</t>
  </si>
  <si>
    <t xml:space="preserve">Booked_Same_Trainer_Date</t>
  </si>
  <si>
    <t xml:space="preserve">Buffer_Min</t>
  </si>
  <si>
    <t xml:space="preserve">Conflict_Flag</t>
  </si>
  <si>
    <t xml:space="preserve">Schedule_Status</t>
  </si>
  <si>
    <t xml:space="preserve">Confirmation_State</t>
  </si>
  <si>
    <t xml:space="preserve">Session_Note</t>
  </si>
  <si>
    <t xml:space="preserve">SES-0716-01</t>
  </si>
  <si>
    <t xml:space="preserve">M501</t>
  </si>
  <si>
    <t xml:space="preserve">CRM remediation</t>
  </si>
  <si>
    <t xml:space="preserve">Met</t>
  </si>
  <si>
    <t xml:space="preserve">Confirmed</t>
  </si>
  <si>
    <t xml:space="preserve">Rebuild CRM notes before audit</t>
  </si>
  <si>
    <t xml:space="preserve">SES-0716-02</t>
  </si>
  <si>
    <t xml:space="preserve">A-C05</t>
  </si>
  <si>
    <t xml:space="preserve">CRM retest</t>
  </si>
  <si>
    <t xml:space="preserve">QA audit after remediation</t>
  </si>
  <si>
    <t xml:space="preserve">SES-0716-03</t>
  </si>
  <si>
    <t xml:space="preserve">M301</t>
  </si>
  <si>
    <t xml:space="preserve">Terms remediation before retest</t>
  </si>
  <si>
    <t xml:space="preserve">SES-0717-01</t>
  </si>
  <si>
    <t xml:space="preserve">A-C03</t>
  </si>
  <si>
    <t xml:space="preserve">Proposed</t>
  </si>
  <si>
    <t xml:space="preserve">Must pass before live observation</t>
  </si>
  <si>
    <t xml:space="preserve">SES-0717-02</t>
  </si>
  <si>
    <t xml:space="preserve">M701</t>
  </si>
  <si>
    <t xml:space="preserve">Rescheduled before Erin blackout</t>
  </si>
  <si>
    <t xml:space="preserve">SES-0717-03</t>
  </si>
  <si>
    <t xml:space="preserve">A-C07</t>
  </si>
  <si>
    <t xml:space="preserve">Supervisor panel</t>
  </si>
  <si>
    <t xml:space="preserve">Recommendation panel</t>
  </si>
  <si>
    <t xml:space="preserve">SES-0717-04</t>
  </si>
  <si>
    <t xml:space="preserve">A-C04</t>
  </si>
  <si>
    <t xml:space="preserve">Retest before any live observation</t>
  </si>
  <si>
    <t xml:space="preserve">SES-0718-01</t>
  </si>
  <si>
    <t xml:space="preserve">Manager recommendation after CRM retest</t>
  </si>
  <si>
    <t xml:space="preserve">SES-0720-01</t>
  </si>
  <si>
    <t xml:space="preserve">Close approved limited exception</t>
  </si>
  <si>
    <t xml:space="preserve">Open_Gaps</t>
  </si>
  <si>
    <t xml:space="preserve">Scheduled_Items</t>
  </si>
  <si>
    <t xml:space="preserve">Readiness_Status</t>
  </si>
  <si>
    <t xml:space="preserve">Ready - pending manager</t>
  </si>
  <si>
    <t xml:space="preserve">Limited exception - staged supervised</t>
  </si>
  <si>
    <t xml:space="preserve">Remediation required</t>
  </si>
  <si>
    <t xml:space="preserve">Blocked - unresolved exception</t>
  </si>
  <si>
    <t xml:space="preserve">Pending evidence</t>
  </si>
  <si>
    <t xml:space="preserve">Exception_State</t>
  </si>
  <si>
    <t xml:space="preserve">Exception_Type</t>
  </si>
  <si>
    <t xml:space="preserve">Not scheduled</t>
  </si>
  <si>
    <t xml:space="preserve">Licensing hold blocks compliance and observation</t>
  </si>
  <si>
    <t xml:space="preserve">Observation held</t>
  </si>
  <si>
    <t xml:space="preserve">Live observation waits for contract retest result</t>
  </si>
  <si>
    <t xml:space="preserve">Dependency</t>
  </si>
  <si>
    <t xml:space="preserve">Compliance disclosure retest must pass first</t>
  </si>
  <si>
    <t xml:space="preserve">Stage_Status</t>
  </si>
  <si>
    <t xml:space="preserve">Representatives</t>
  </si>
  <si>
    <t xml:space="preserve">Ready or manager pending</t>
  </si>
  <si>
    <t xml:space="preserve">Limited exception</t>
  </si>
  <si>
    <t xml:space="preserve">High-risk reps</t>
  </si>
  <si>
    <t xml:space="preserve">Check</t>
  </si>
  <si>
    <t xml:space="preserve">Formula_Result</t>
  </si>
  <si>
    <t xml:space="preserve">Expected</t>
  </si>
  <si>
    <t xml:space="preserve">Scheduled sessions</t>
  </si>
  <si>
    <t xml:space="preserve">Conflict flags not clear</t>
  </si>
  <si>
    <t xml:space="preserve">Unscheduled blocked reps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</si>
</sst>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General"/>
    <numFmt numFmtId="167" formatCode="h:mm\ AM/PM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596B7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B5C4A"/>
        <bgColor rgb="FF1F4E78"/>
      </patternFill>
    </fill>
    <fill>
      <patternFill patternType="solid">
        <fgColor rgb="FFF3EADB"/>
        <bgColor rgb="FFF3D9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0BD"/>
      </left>
      <right style="thin">
        <color rgb="FFD9D0BD"/>
      </right>
      <top style="thin">
        <color rgb="FFD9D0BD"/>
      </top>
      <bottom style="thin">
        <color rgb="FFD9D0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5C4A"/>
          <bgColor rgb="FF000000"/>
        </patternFill>
      </fill>
    </dxf>
    <dxf>
      <fill>
        <patternFill patternType="solid">
          <fgColor rgb="FFF3EA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3D9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0BD"/>
      <rgbColor rgb="FF878787"/>
      <rgbColor rgb="FF9999FF"/>
      <rgbColor rgb="FF993366"/>
      <rgbColor rgb="FFF3EA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D9D2"/>
      <rgbColor rgb="FF3366FF"/>
      <rgbColor rgb="FF33CCCC"/>
      <rgbColor rgb="FF99CC00"/>
      <rgbColor rgb="FFFFCC00"/>
      <rgbColor rgb="FFD9822B"/>
      <rgbColor rgb="FFFF6600"/>
      <rgbColor rgb="FF596B72"/>
      <rgbColor rgb="FF969696"/>
      <rgbColor rgb="FF0B5C4A"/>
      <rgbColor rgb="FF2E7D5B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Remaining Sessions by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"Remediation"</c:f>
              <c:strCache>
                <c:ptCount val="1"/>
                <c:pt idx="0">
                  <c:v>Remediation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'Schedule Dashboard'!$A$6:$A$9</c:f>
              <c:strCache>
                <c:ptCount val="4"/>
                <c:pt idx="0">
                  <c:v>2026-07-16</c:v>
                </c:pt>
                <c:pt idx="1">
                  <c:v>2026-07-17</c:v>
                </c:pt>
                <c:pt idx="2">
                  <c:v>2026-07-18</c:v>
                </c:pt>
                <c:pt idx="3">
                  <c:v>2026-07-20</c:v>
                </c:pt>
              </c:strCache>
            </c:strRef>
          </c:cat>
          <c:val>
            <c:numRef>
              <c:f>'Schedule Dashboard'!$B$6:$B$9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"Retest"</c:f>
              <c:strCache>
                <c:ptCount val="1"/>
                <c:pt idx="0">
                  <c:v>Retest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2e7d5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'Schedule Dashboard'!$A$6:$A$9</c:f>
              <c:strCache>
                <c:ptCount val="4"/>
                <c:pt idx="0">
                  <c:v>2026-07-16</c:v>
                </c:pt>
                <c:pt idx="1">
                  <c:v>2026-07-17</c:v>
                </c:pt>
                <c:pt idx="2">
                  <c:v>2026-07-18</c:v>
                </c:pt>
                <c:pt idx="3">
                  <c:v>2026-07-20</c:v>
                </c:pt>
              </c:strCache>
            </c:strRef>
          </c:cat>
          <c:val>
            <c:numRef>
              <c:f>'Schedule Dashboard'!$C$6:$C$9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"Observation/panel"</c:f>
              <c:strCache>
                <c:ptCount val="1"/>
                <c:pt idx="0">
                  <c:v>Observation/panel</c:v>
                </c:pt>
              </c:strCache>
            </c:strRef>
          </c:tx>
          <c:spPr>
            <a:solidFill>
              <a:srgbClr val="d9822b"/>
            </a:solidFill>
            <a:ln w="9360">
              <a:solidFill>
                <a:srgbClr val="d9822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'Schedule Dashboard'!$A$6:$A$9</c:f>
              <c:strCache>
                <c:ptCount val="4"/>
                <c:pt idx="0">
                  <c:v>2026-07-16</c:v>
                </c:pt>
                <c:pt idx="1">
                  <c:v>2026-07-17</c:v>
                </c:pt>
                <c:pt idx="2">
                  <c:v>2026-07-18</c:v>
                </c:pt>
                <c:pt idx="3">
                  <c:v>2026-07-20</c:v>
                </c:pt>
              </c:strCache>
            </c:strRef>
          </c:cat>
          <c:val>
            <c:numRef>
              <c:f>'Schedule Dashboard'!$D$6:$D$9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100"/>
        <c:axId val="53604968"/>
        <c:axId val="21325123"/>
      </c:barChart>
      <c:catAx>
        <c:axId val="53604968"/>
        <c:scaling>
          <c:orientation val="minMax"/>
        </c:scaling>
        <c:delete val="0"/>
        <c:axPos val="b"/>
        <c:numFmt formatCode="yyyy\-mm\-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25123"/>
        <c:crosses val="autoZero"/>
        <c:auto val="1"/>
        <c:lblAlgn val="ctr"/>
        <c:lblOffset val="100"/>
        <c:noMultiLvlLbl val="0"/>
      </c:catAx>
      <c:valAx>
        <c:axId val="21325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049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Trainer Capacity by Scheduled Work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"Booked slots"</c:f>
              <c:strCache>
                <c:ptCount val="1"/>
                <c:pt idx="0">
                  <c:v>Booked slots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2e7d5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'Schedule Dashboard'!$A$12:$A$15</c:f>
              <c:strCache>
                <c:ptCount val="4"/>
                <c:pt idx="0">
                  <c:v>TRN-503</c:v>
                </c:pt>
                <c:pt idx="1">
                  <c:v>TRN-504</c:v>
                </c:pt>
                <c:pt idx="2">
                  <c:v>TRN-505</c:v>
                </c:pt>
                <c:pt idx="3">
                  <c:v>TRN-506</c:v>
                </c:pt>
              </c:strCache>
            </c:strRef>
          </c:cat>
          <c:val>
            <c:numRef>
              <c:f>'Schedule Dashboard'!$B$12:$B$15</c:f>
              <c:numCache>
                <c:formatCode>General</c:formatCode>
                <c:ptCount val="4"/>
                <c:pt idx="0">
                  <c:v>10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"Available slots"</c:f>
              <c:strCache>
                <c:ptCount val="1"/>
                <c:pt idx="0">
                  <c:v>Available slots</c:v>
                </c:pt>
              </c:strCache>
            </c:strRef>
          </c:tx>
          <c:spPr>
            <a:solidFill>
              <a:srgbClr val="d9822b"/>
            </a:solidFill>
            <a:ln w="9360">
              <a:solidFill>
                <a:srgbClr val="d9822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'Schedule Dashboard'!$A$12:$A$15</c:f>
              <c:strCache>
                <c:ptCount val="4"/>
                <c:pt idx="0">
                  <c:v>TRN-503</c:v>
                </c:pt>
                <c:pt idx="1">
                  <c:v>TRN-504</c:v>
                </c:pt>
                <c:pt idx="2">
                  <c:v>TRN-505</c:v>
                </c:pt>
                <c:pt idx="3">
                  <c:v>TRN-506</c:v>
                </c:pt>
              </c:strCache>
            </c:strRef>
          </c:cat>
          <c:val>
            <c:numRef>
              <c:f>'Schedule Dashboard'!$C$12:$C$15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8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39237636"/>
        <c:axId val="68762248"/>
      </c:barChart>
      <c:catAx>
        <c:axId val="392376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62248"/>
        <c:crosses val="autoZero"/>
        <c:auto val="1"/>
        <c:lblAlgn val="ctr"/>
        <c:lblOffset val="100"/>
        <c:noMultiLvlLbl val="0"/>
      </c:catAx>
      <c:valAx>
        <c:axId val="687622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Slots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376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Prerequisite Flow Position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"Representatives"</c:f>
              <c:strCache>
                <c:ptCount val="1"/>
                <c:pt idx="0">
                  <c:v>Representatives</c:v>
                </c:pt>
              </c:strCache>
            </c:strRef>
          </c:tx>
          <c:spPr>
            <a:solidFill>
              <a:srgbClr val="1f4e78"/>
            </a:solidFill>
            <a:ln w="9360">
              <a:solidFill>
                <a:srgbClr val="1f4e7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'Schedule Feasibility'!$A$2:$A$6</c:f>
              <c:strCache>
                <c:ptCount val="5"/>
                <c:pt idx="0">
                  <c:v>Ready or manager pending</c:v>
                </c:pt>
                <c:pt idx="1">
                  <c:v>Limited exception</c:v>
                </c:pt>
                <c:pt idx="2">
                  <c:v>Remediation</c:v>
                </c:pt>
                <c:pt idx="3">
                  <c:v>Pending evidence</c:v>
                </c:pt>
                <c:pt idx="4">
                  <c:v>Blocked</c:v>
                </c:pt>
              </c:strCache>
            </c:strRef>
          </c:cat>
          <c:val>
            <c:numRef>
              <c:f>'Schedule Feasibility'!$B$2:$B$6</c:f>
              <c:numCache>
                <c:formatCode>0</c:formatCode>
                <c:ptCount val="5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gapWidth val="150"/>
        <c:overlap val="100"/>
        <c:axId val="46201741"/>
        <c:axId val="44072264"/>
      </c:barChart>
      <c:catAx>
        <c:axId val="462017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72264"/>
        <c:crosses val="autoZero"/>
        <c:auto val="1"/>
        <c:lblAlgn val="ctr"/>
        <c:lblOffset val="100"/>
        <c:noMultiLvlLbl val="0"/>
      </c:catAx>
      <c:valAx>
        <c:axId val="44072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Representatives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017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Target Date Risk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"High-risk reps"</c:f>
              <c:strCache>
                <c:ptCount val="1"/>
                <c:pt idx="0">
                  <c:v>High-risk reps</c:v>
                </c:pt>
              </c:strCache>
            </c:strRef>
          </c:tx>
          <c:spPr>
            <a:solidFill>
              <a:srgbClr val="2e7d5b"/>
            </a:solidFill>
            <a:ln w="9360">
              <a:solidFill>
                <a:srgbClr val="2e7d5b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'Schedule Feasibility'!$A$10:$A$13</c:f>
              <c:strCache>
                <c:ptCount val="4"/>
                <c:pt idx="0">
                  <c:v>Corporate</c:v>
                </c:pt>
                <c:pt idx="1">
                  <c:v>Affinity</c:v>
                </c:pt>
                <c:pt idx="2">
                  <c:v>Education</c:v>
                </c:pt>
                <c:pt idx="3">
                  <c:v>Meetings</c:v>
                </c:pt>
              </c:strCache>
            </c:strRef>
          </c:cat>
          <c:val>
            <c:numRef>
              <c:f>'Schedule Feasibility'!$B$10:$B$13</c:f>
              <c:numCache>
                <c:formatCode>0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64456220"/>
        <c:axId val="58345197"/>
      </c:barChart>
      <c:catAx>
        <c:axId val="644562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45197"/>
        <c:crosses val="autoZero"/>
        <c:auto val="1"/>
        <c:lblAlgn val="ctr"/>
        <c:lblOffset val="100"/>
        <c:noMultiLvlLbl val="0"/>
      </c:catAx>
      <c:valAx>
        <c:axId val="583451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Representatives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562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131040</xdr:rowOff>
    </xdr:from>
    <xdr:to>
      <xdr:col>13</xdr:col>
      <xdr:colOff>146880</xdr:colOff>
      <xdr:row>16</xdr:row>
      <xdr:rowOff>173520</xdr:rowOff>
    </xdr:to>
    <xdr:graphicFrame>
      <xdr:nvGraphicFramePr>
        <xdr:cNvPr id="0" name="Chart 1"/>
        <xdr:cNvGraphicFramePr/>
      </xdr:nvGraphicFramePr>
      <xdr:xfrm>
        <a:off x="16016760" y="75960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130680</xdr:rowOff>
    </xdr:from>
    <xdr:to>
      <xdr:col>13</xdr:col>
      <xdr:colOff>146880</xdr:colOff>
      <xdr:row>31</xdr:row>
      <xdr:rowOff>173160</xdr:rowOff>
    </xdr:to>
    <xdr:graphicFrame>
      <xdr:nvGraphicFramePr>
        <xdr:cNvPr id="1" name="Chart 2"/>
        <xdr:cNvGraphicFramePr/>
      </xdr:nvGraphicFramePr>
      <xdr:xfrm>
        <a:off x="16016760" y="361692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12</xdr:col>
      <xdr:colOff>146880</xdr:colOff>
      <xdr:row>13</xdr:row>
      <xdr:rowOff>42480</xdr:rowOff>
    </xdr:to>
    <xdr:graphicFrame>
      <xdr:nvGraphicFramePr>
        <xdr:cNvPr id="2" name="Chart 1"/>
        <xdr:cNvGraphicFramePr/>
      </xdr:nvGraphicFramePr>
      <xdr:xfrm>
        <a:off x="6642000" y="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12</xdr:col>
      <xdr:colOff>146880</xdr:colOff>
      <xdr:row>30</xdr:row>
      <xdr:rowOff>42480</xdr:rowOff>
    </xdr:to>
    <xdr:graphicFrame>
      <xdr:nvGraphicFramePr>
        <xdr:cNvPr id="3" name="Chart 2"/>
        <xdr:cNvGraphicFramePr/>
      </xdr:nvGraphicFramePr>
      <xdr:xfrm>
        <a:off x="6642000" y="3238560"/>
        <a:ext cx="5038920" cy="25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vailability" displayName="Availability" ref="A1:F9" headerRowCount="1" totalsRowCount="0" totalsRowShown="0">
  <autoFilter ref="A1:F9"/>
  <tableColumns count="6">
    <tableColumn id="1" name="Trainer_ID"/>
    <tableColumn id="2" name="Availability_Date"/>
    <tableColumn id="3" name="Start_Time"/>
    <tableColumn id="4" name="End_Time"/>
    <tableColumn id="5" name="Capacity_Slots"/>
    <tableColumn id="6" name="Window_Use"/>
  </tableColumns>
</table>
</file>

<file path=xl/tables/table2.xml><?xml version="1.0" encoding="utf-8"?>
<table xmlns="http://schemas.openxmlformats.org/spreadsheetml/2006/main" id="2" name="Dependency_Flow" displayName="Dependency_Flow" ref="A1:B6" headerRowCount="1" totalsRowCount="0" totalsRowShown="0">
  <autoFilter ref="A1:B6"/>
  <tableColumns count="2">
    <tableColumn id="1" name="Stage_Status"/>
    <tableColumn id="2" name="Representatives"/>
  </tableColumns>
</table>
</file>

<file path=xl/tables/table3.xml><?xml version="1.0" encoding="utf-8"?>
<table xmlns="http://schemas.openxmlformats.org/spreadsheetml/2006/main" id="3" name="Evidence_Gaps" displayName="Evidence_Gaps" ref="A1:G8" headerRowCount="1" totalsRowCount="0" totalsRowShown="0">
  <autoFilter ref="A1:G8"/>
  <tableColumns count="7">
    <tableColumn id="1" name="Rep_ID"/>
    <tableColumn id="2" name="Competency_ID"/>
    <tableColumn id="3" name="Gap_Type"/>
    <tableColumn id="4" name="Priority"/>
    <tableColumn id="5" name="Reason"/>
    <tableColumn id="6" name="Owner_ID"/>
    <tableColumn id="7" name="Due_Date"/>
  </tableColumns>
</table>
</file>

<file path=xl/tables/table4.xml><?xml version="1.0" encoding="utf-8"?>
<table xmlns="http://schemas.openxmlformats.org/spreadsheetml/2006/main" id="4" name="Gap_Burndown" displayName="Gap_Burndown" ref="A5:D9" headerRowCount="1" totalsRowCount="0" totalsRowShown="0">
  <autoFilter ref="A5:D9"/>
  <tableColumns count="4">
    <tableColumn id="1" name="Session_Date"/>
    <tableColumn id="2" name="Remediation"/>
    <tableColumn id="3" name="Retest"/>
    <tableColumn id="4" name="Observation/panel"/>
  </tableColumns>
</table>
</file>

<file path=xl/tables/table5.xml><?xml version="1.0" encoding="utf-8"?>
<table xmlns="http://schemas.openxmlformats.org/spreadsheetml/2006/main" id="5" name="Rep_Schedule_View" displayName="Rep_Schedule_View" ref="A1:I11" headerRowCount="1" totalsRowCount="0" totalsRowShown="0">
  <autoFilter ref="A1:I11"/>
  <tableColumns count="9">
    <tableColumn id="1" name="Rep_ID"/>
    <tableColumn id="2" name="Representative_Name"/>
    <tableColumn id="3" name="Segment"/>
    <tableColumn id="4" name="Target_Certification_Date"/>
    <tableColumn id="5" name="Open_Gaps"/>
    <tableColumn id="6" name="Scheduled_Items"/>
    <tableColumn id="7" name="Schedule_Status"/>
    <tableColumn id="8" name="Readiness_Status"/>
    <tableColumn id="9" name="Constraint_Type"/>
  </tableColumns>
</table>
</file>

<file path=xl/tables/table6.xml><?xml version="1.0" encoding="utf-8"?>
<table xmlns="http://schemas.openxmlformats.org/spreadsheetml/2006/main" id="6" name="Schedule_Checks" displayName="Schedule_Checks" ref="A1:C4" headerRowCount="1" totalsRowCount="0" totalsRowShown="0">
  <autoFilter ref="A1:C4"/>
  <tableColumns count="3">
    <tableColumn id="1" name="Check"/>
    <tableColumn id="2" name="Formula_Result"/>
    <tableColumn id="3" name="Expected"/>
  </tableColumns>
</table>
</file>

<file path=xl/tables/table7.xml><?xml version="1.0" encoding="utf-8"?>
<table xmlns="http://schemas.openxmlformats.org/spreadsheetml/2006/main" id="7" name="Schedule_Exceptions" displayName="Schedule_Exceptions" ref="A1:F4" headerRowCount="1" totalsRowCount="0" totalsRowShown="0">
  <autoFilter ref="A1:F4"/>
  <tableColumns count="6">
    <tableColumn id="1" name="Rep_ID"/>
    <tableColumn id="2" name="Exception_State"/>
    <tableColumn id="3" name="Reason"/>
    <tableColumn id="4" name="Owner_ID"/>
    <tableColumn id="5" name="Due_Date"/>
    <tableColumn id="6" name="Exception_Type"/>
  </tableColumns>
</table>
</file>

<file path=xl/tables/table8.xml><?xml version="1.0" encoding="utf-8"?>
<table xmlns="http://schemas.openxmlformats.org/spreadsheetml/2006/main" id="8" name="Schedule_Parameters" displayName="Schedule_Parameters" ref="A1:C5" headerRowCount="1" totalsRowCount="0" totalsRowShown="0">
  <autoFilter ref="A1:C5"/>
  <tableColumns count="3">
    <tableColumn id="1" name="Parameter"/>
    <tableColumn id="2" name="Value"/>
    <tableColumn id="3" name="Note"/>
  </tableColumns>
</table>
</file>

<file path=xl/tables/table9.xml><?xml version="1.0" encoding="utf-8"?>
<table xmlns="http://schemas.openxmlformats.org/spreadsheetml/2006/main" id="9" name="Scheduled_Sessions" displayName="Scheduled_Sessions" ref="A1:R10" headerRowCount="1" totalsRowCount="0" totalsRowShown="0">
  <autoFilter ref="A1:R10"/>
  <tableColumns count="18">
    <tableColumn id="1" name="Session_ID"/>
    <tableColumn id="2" name="Rep_ID"/>
    <tableColumn id="3" name="Module_ID"/>
    <tableColumn id="4" name="Competency_ID"/>
    <tableColumn id="5" name="Session_Type"/>
    <tableColumn id="6" name="Trainer_ID"/>
    <tableColumn id="7" name="Session_Date"/>
    <tableColumn id="8" name="Start_Time"/>
    <tableColumn id="9" name="End_Time"/>
    <tableColumn id="10" name="Duration_Min"/>
    <tableColumn id="11" name="Prerequisite_Status"/>
    <tableColumn id="12" name="Capacity_Slots"/>
    <tableColumn id="13" name="Booked_Same_Trainer_Date"/>
    <tableColumn id="14" name="Buffer_Min"/>
    <tableColumn id="15" name="Conflict_Flag"/>
    <tableColumn id="16" name="Schedule_Status"/>
    <tableColumn id="17" name="Confirmation_State"/>
    <tableColumn id="18" name="Session_Note"/>
  </tableColumns>
</table>
</file>

<file path=xl/tables/table10.xml><?xml version="1.0" encoding="utf-8"?>
<table xmlns="http://schemas.openxmlformats.org/spreadsheetml/2006/main" id="10" name="Source_Cohort" displayName="Source_Cohort" ref="A1:G11" headerRowCount="1" totalsRowCount="0" totalsRowShown="0">
  <autoFilter ref="A1:G11"/>
  <tableColumns count="7">
    <tableColumn id="1" name="Rep_ID"/>
    <tableColumn id="2" name="Representative_Name"/>
    <tableColumn id="3" name="Segment"/>
    <tableColumn id="4" name="Supervisor_ID"/>
    <tableColumn id="5" name="Target_Certification_Date"/>
    <tableColumn id="6" name="Target_Independent_Coverage_Date"/>
    <tableColumn id="7" name="Constraint_Type"/>
  </tableColumns>
</table>
</file>

<file path=xl/tables/table11.xml><?xml version="1.0" encoding="utf-8"?>
<table xmlns="http://schemas.openxmlformats.org/spreadsheetml/2006/main" id="11" name="Target_Risk_By_Segment" displayName="Target_Risk_By_Segment" ref="A9:B13" headerRowCount="1" totalsRowCount="0" totalsRowShown="0">
  <autoFilter ref="A9:B13"/>
  <tableColumns count="2">
    <tableColumn id="1" name="Segment"/>
    <tableColumn id="2" name="High-risk reps"/>
  </tableColumns>
</table>
</file>

<file path=xl/tables/table12.xml><?xml version="1.0" encoding="utf-8"?>
<table xmlns="http://schemas.openxmlformats.org/spreadsheetml/2006/main" id="12" name="Trainer_Capacity" displayName="Trainer_Capacity" ref="A11:C15" headerRowCount="1" totalsRowCount="0" totalsRowShown="0">
  <autoFilter ref="A11:C15"/>
  <tableColumns count="3">
    <tableColumn id="1" name="Trainer_ID"/>
    <tableColumn id="2" name="Booked slots"/>
    <tableColumn id="3" name="Available slo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4.xml"/><Relationship Id="rId3" Type="http://schemas.openxmlformats.org/officeDocument/2006/relationships/table" Target="../tables/table1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Relationship Id="rId3" Type="http://schemas.openxmlformats.org/officeDocument/2006/relationships/table" Target="../tables/table1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54.64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  <c r="B5" s="4" t="s">
        <v>3</v>
      </c>
      <c r="C5" s="4" t="s">
        <v>4</v>
      </c>
      <c r="D5" s="4" t="s">
        <v>5</v>
      </c>
    </row>
    <row r="6" customFormat="false" ht="15" hidden="false" customHeight="true" outlineLevel="0" collapsed="false">
      <c r="A6" s="5" t="n">
        <v>46219</v>
      </c>
      <c r="B6" s="6" t="n">
        <f aca="false">COUNTIFS('Scheduled Sessions'!$G$2:$G$10,A6,'Scheduled Sessions'!$E$2:$E$10,"*remediation*")</f>
        <v>2</v>
      </c>
      <c r="C6" s="6" t="n">
        <f aca="false">COUNTIFS('Scheduled Sessions'!$G$2:$G$10,A6,'Scheduled Sessions'!$E$2:$E$10,"*retest*")</f>
        <v>1</v>
      </c>
      <c r="D6" s="6" t="n">
        <f aca="false">COUNTIFS('Scheduled Sessions'!$G$2:$G$10,A6,'Scheduled Sessions'!$E$2:$E$10,"*observation*")+COUNTIFS('Scheduled Sessions'!$G$2:$G$10,A6,'Scheduled Sessions'!$E$2:$E$10,"*panel*")</f>
        <v>0</v>
      </c>
    </row>
    <row r="7" customFormat="false" ht="15" hidden="false" customHeight="true" outlineLevel="0" collapsed="false">
      <c r="A7" s="7" t="n">
        <v>46220</v>
      </c>
      <c r="B7" s="8" t="n">
        <f aca="false">COUNTIFS('Scheduled Sessions'!$G$2:$G$10,A7,'Scheduled Sessions'!$E$2:$E$10,"*remediation*")</f>
        <v>0</v>
      </c>
      <c r="C7" s="8" t="n">
        <f aca="false">COUNTIFS('Scheduled Sessions'!$G$2:$G$10,A7,'Scheduled Sessions'!$E$2:$E$10,"*retest*")</f>
        <v>2</v>
      </c>
      <c r="D7" s="8" t="n">
        <f aca="false">COUNTIFS('Scheduled Sessions'!$G$2:$G$10,A7,'Scheduled Sessions'!$E$2:$E$10,"*observation*")+COUNTIFS('Scheduled Sessions'!$G$2:$G$10,A7,'Scheduled Sessions'!$E$2:$E$10,"*panel*")</f>
        <v>2</v>
      </c>
    </row>
    <row r="8" customFormat="false" ht="15" hidden="false" customHeight="true" outlineLevel="0" collapsed="false">
      <c r="A8" s="5" t="n">
        <v>46221</v>
      </c>
      <c r="B8" s="6" t="n">
        <f aca="false">COUNTIFS('Scheduled Sessions'!$G$2:$G$10,A8,'Scheduled Sessions'!$E$2:$E$10,"*remediation*")</f>
        <v>0</v>
      </c>
      <c r="C8" s="6" t="n">
        <f aca="false">COUNTIFS('Scheduled Sessions'!$G$2:$G$10,A8,'Scheduled Sessions'!$E$2:$E$10,"*retest*")</f>
        <v>0</v>
      </c>
      <c r="D8" s="6" t="n">
        <f aca="false">COUNTIFS('Scheduled Sessions'!$G$2:$G$10,A8,'Scheduled Sessions'!$E$2:$E$10,"*observation*")+COUNTIFS('Scheduled Sessions'!$G$2:$G$10,A8,'Scheduled Sessions'!$E$2:$E$10,"*panel*")</f>
        <v>1</v>
      </c>
    </row>
    <row r="9" customFormat="false" ht="15" hidden="false" customHeight="true" outlineLevel="0" collapsed="false">
      <c r="A9" s="7" t="n">
        <v>46223</v>
      </c>
      <c r="B9" s="8" t="n">
        <f aca="false">COUNTIFS('Scheduled Sessions'!$G$2:$G$10,A9,'Scheduled Sessions'!$E$2:$E$10,"*remediation*")</f>
        <v>0</v>
      </c>
      <c r="C9" s="8" t="n">
        <f aca="false">COUNTIFS('Scheduled Sessions'!$G$2:$G$10,A9,'Scheduled Sessions'!$E$2:$E$10,"*retest*")</f>
        <v>0</v>
      </c>
      <c r="D9" s="8" t="n">
        <f aca="false">COUNTIFS('Scheduled Sessions'!$G$2:$G$10,A9,'Scheduled Sessions'!$E$2:$E$10,"*observation*")+COUNTIFS('Scheduled Sessions'!$G$2:$G$10,A9,'Scheduled Sessions'!$E$2:$E$10,"*panel*")</f>
        <v>1</v>
      </c>
    </row>
    <row r="11" customFormat="false" ht="15" hidden="false" customHeight="true" outlineLevel="0" collapsed="false">
      <c r="A11" s="4" t="s">
        <v>6</v>
      </c>
      <c r="B11" s="4" t="s">
        <v>7</v>
      </c>
      <c r="C11" s="4" t="s">
        <v>8</v>
      </c>
    </row>
    <row r="12" customFormat="false" ht="15" hidden="false" customHeight="true" outlineLevel="0" collapsed="false">
      <c r="A12" s="6" t="s">
        <v>9</v>
      </c>
      <c r="B12" s="6" t="n">
        <f aca="false">SUMIF('Scheduled Sessions'!F2:F10,A12,'Scheduled Sessions'!M2:M10)</f>
        <v>10</v>
      </c>
      <c r="C12" s="6" t="n">
        <f aca="false">SUMIF(Availability!A2:A9,A12,Availability!E2:E9)</f>
        <v>8</v>
      </c>
    </row>
    <row r="13" customFormat="false" ht="15" hidden="false" customHeight="true" outlineLevel="0" collapsed="false">
      <c r="A13" s="8" t="s">
        <v>10</v>
      </c>
      <c r="B13" s="8" t="n">
        <f aca="false">SUMIF('Scheduled Sessions'!F2:F10,A13,'Scheduled Sessions'!M2:M10)</f>
        <v>1</v>
      </c>
      <c r="C13" s="8" t="n">
        <f aca="false">SUMIF(Availability!A2:A9,A13,Availability!E2:E9)</f>
        <v>2</v>
      </c>
    </row>
    <row r="14" customFormat="false" ht="15" hidden="false" customHeight="true" outlineLevel="0" collapsed="false">
      <c r="A14" s="6" t="s">
        <v>11</v>
      </c>
      <c r="B14" s="6" t="n">
        <f aca="false">SUMIF('Scheduled Sessions'!F2:F10,A14,'Scheduled Sessions'!M2:M10)</f>
        <v>2</v>
      </c>
      <c r="C14" s="6" t="n">
        <f aca="false">SUMIF(Availability!A2:A9,A14,Availability!E2:E9)</f>
        <v>8</v>
      </c>
    </row>
    <row r="15" customFormat="false" ht="15" hidden="false" customHeight="true" outlineLevel="0" collapsed="false">
      <c r="A15" s="8" t="s">
        <v>12</v>
      </c>
      <c r="B15" s="8" t="n">
        <f aca="false">SUMIF('Scheduled Sessions'!F2:F10,A15,'Scheduled Sessions'!M2:M10)</f>
        <v>2</v>
      </c>
      <c r="C15" s="8" t="n">
        <f aca="false">SUMIF(Availability!A2:A9,A15,Availability!E2:E9)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64"/>
    <col collapsed="false" customWidth="true" hidden="false" outlineLevel="0" max="2" min="2" style="1" width="23.28"/>
    <col collapsed="false" customWidth="true" hidden="false" outlineLevel="0" max="3" min="3" style="1" width="53.52"/>
  </cols>
  <sheetData>
    <row r="1" customFormat="false" ht="15" hidden="false" customHeight="true" outlineLevel="0" collapsed="false">
      <c r="A1" s="4" t="s">
        <v>13</v>
      </c>
      <c r="B1" s="4" t="s">
        <v>14</v>
      </c>
      <c r="C1" s="4" t="s">
        <v>15</v>
      </c>
    </row>
    <row r="2" customFormat="false" ht="15" hidden="false" customHeight="true" outlineLevel="0" collapsed="false">
      <c r="A2" s="6" t="s">
        <v>16</v>
      </c>
      <c r="B2" s="9" t="s">
        <v>17</v>
      </c>
      <c r="C2" s="6" t="s">
        <v>18</v>
      </c>
    </row>
    <row r="3" customFormat="false" ht="15" hidden="false" customHeight="true" outlineLevel="0" collapsed="false">
      <c r="A3" s="8" t="s">
        <v>19</v>
      </c>
      <c r="B3" s="10" t="n">
        <v>0.354166666666667</v>
      </c>
      <c r="C3" s="8" t="s">
        <v>20</v>
      </c>
    </row>
    <row r="4" customFormat="false" ht="15" hidden="false" customHeight="true" outlineLevel="0" collapsed="false">
      <c r="A4" s="6" t="s">
        <v>21</v>
      </c>
      <c r="B4" s="9" t="n">
        <v>0.708333333333333</v>
      </c>
      <c r="C4" s="6" t="s">
        <v>22</v>
      </c>
    </row>
    <row r="5" customFormat="false" ht="15" hidden="false" customHeight="true" outlineLevel="0" collapsed="false">
      <c r="A5" s="8" t="s">
        <v>23</v>
      </c>
      <c r="B5" s="10" t="n">
        <v>59</v>
      </c>
      <c r="C5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23.28"/>
    <col collapsed="false" customWidth="true" hidden="false" outlineLevel="0" max="3" min="3" style="1" width="12.08"/>
    <col collapsed="false" customWidth="true" hidden="false" outlineLevel="0" max="4" min="4" style="1" width="16.56"/>
    <col collapsed="false" customWidth="true" hidden="false" outlineLevel="0" max="5" min="5" style="1" width="30"/>
    <col collapsed="false" customWidth="true" hidden="false" outlineLevel="0" max="6" min="6" style="1" width="37.84"/>
    <col collapsed="false" customWidth="true" hidden="false" outlineLevel="0" max="7" min="7" style="1" width="43.44"/>
  </cols>
  <sheetData>
    <row r="1" customFormat="false" ht="1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</row>
    <row r="2" customFormat="false" ht="15" hidden="false" customHeight="true" outlineLevel="0" collapsed="false">
      <c r="A2" s="6" t="s">
        <v>32</v>
      </c>
      <c r="B2" s="6" t="s">
        <v>33</v>
      </c>
      <c r="C2" s="6" t="s">
        <v>34</v>
      </c>
      <c r="D2" s="6" t="s">
        <v>35</v>
      </c>
      <c r="E2" s="5" t="n">
        <v>46221</v>
      </c>
      <c r="F2" s="5" t="n">
        <v>46223</v>
      </c>
      <c r="G2" s="6" t="s">
        <v>36</v>
      </c>
    </row>
    <row r="3" customFormat="false" ht="15" hidden="false" customHeight="true" outlineLevel="0" collapsed="false">
      <c r="A3" s="8" t="s">
        <v>37</v>
      </c>
      <c r="B3" s="8" t="s">
        <v>38</v>
      </c>
      <c r="C3" s="8" t="s">
        <v>39</v>
      </c>
      <c r="D3" s="8" t="s">
        <v>40</v>
      </c>
      <c r="E3" s="7" t="n">
        <v>46221</v>
      </c>
      <c r="F3" s="7" t="n">
        <v>46223</v>
      </c>
      <c r="G3" s="8" t="s">
        <v>41</v>
      </c>
    </row>
    <row r="4" customFormat="false" ht="1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45</v>
      </c>
      <c r="E4" s="5" t="n">
        <v>46222</v>
      </c>
      <c r="F4" s="5" t="n">
        <v>46224</v>
      </c>
      <c r="G4" s="6" t="s">
        <v>46</v>
      </c>
    </row>
    <row r="5" customFormat="false" ht="15" hidden="false" customHeight="true" outlineLevel="0" collapsed="false">
      <c r="A5" s="8" t="s">
        <v>47</v>
      </c>
      <c r="B5" s="8" t="s">
        <v>48</v>
      </c>
      <c r="C5" s="8" t="s">
        <v>49</v>
      </c>
      <c r="D5" s="8" t="s">
        <v>50</v>
      </c>
      <c r="E5" s="7" t="n">
        <v>46222</v>
      </c>
      <c r="F5" s="7" t="n">
        <v>46225</v>
      </c>
      <c r="G5" s="8" t="s">
        <v>51</v>
      </c>
    </row>
    <row r="6" customFormat="false" ht="15" hidden="false" customHeight="true" outlineLevel="0" collapsed="false">
      <c r="A6" s="6" t="s">
        <v>52</v>
      </c>
      <c r="B6" s="6" t="s">
        <v>53</v>
      </c>
      <c r="C6" s="6" t="s">
        <v>34</v>
      </c>
      <c r="D6" s="6" t="s">
        <v>35</v>
      </c>
      <c r="E6" s="5" t="n">
        <v>46223</v>
      </c>
      <c r="F6" s="5" t="n">
        <v>46225</v>
      </c>
      <c r="G6" s="6" t="s">
        <v>54</v>
      </c>
    </row>
    <row r="7" customFormat="false" ht="15" hidden="false" customHeight="true" outlineLevel="0" collapsed="false">
      <c r="A7" s="8" t="s">
        <v>55</v>
      </c>
      <c r="B7" s="8" t="s">
        <v>56</v>
      </c>
      <c r="C7" s="8" t="s">
        <v>39</v>
      </c>
      <c r="D7" s="8" t="s">
        <v>40</v>
      </c>
      <c r="E7" s="7" t="n">
        <v>46223</v>
      </c>
      <c r="F7" s="7" t="n">
        <v>46225</v>
      </c>
      <c r="G7" s="8" t="s">
        <v>57</v>
      </c>
    </row>
    <row r="8" customFormat="false" ht="15" hidden="false" customHeight="true" outlineLevel="0" collapsed="false">
      <c r="A8" s="6" t="s">
        <v>58</v>
      </c>
      <c r="B8" s="6" t="s">
        <v>59</v>
      </c>
      <c r="C8" s="6" t="s">
        <v>44</v>
      </c>
      <c r="D8" s="6" t="s">
        <v>45</v>
      </c>
      <c r="E8" s="5" t="n">
        <v>46221</v>
      </c>
      <c r="F8" s="5" t="n">
        <v>46223</v>
      </c>
      <c r="G8" s="6" t="s">
        <v>36</v>
      </c>
    </row>
    <row r="9" customFormat="false" ht="15" hidden="false" customHeight="true" outlineLevel="0" collapsed="false">
      <c r="A9" s="8" t="s">
        <v>60</v>
      </c>
      <c r="B9" s="8" t="s">
        <v>61</v>
      </c>
      <c r="C9" s="8" t="s">
        <v>49</v>
      </c>
      <c r="D9" s="8" t="s">
        <v>50</v>
      </c>
      <c r="E9" s="7" t="n">
        <v>46222</v>
      </c>
      <c r="F9" s="7" t="n">
        <v>46225</v>
      </c>
      <c r="G9" s="8" t="s">
        <v>62</v>
      </c>
    </row>
    <row r="10" customFormat="false" ht="15" hidden="false" customHeight="true" outlineLevel="0" collapsed="false">
      <c r="A10" s="6" t="s">
        <v>63</v>
      </c>
      <c r="B10" s="6" t="s">
        <v>64</v>
      </c>
      <c r="C10" s="6" t="s">
        <v>34</v>
      </c>
      <c r="D10" s="6" t="s">
        <v>35</v>
      </c>
      <c r="E10" s="5" t="n">
        <v>46221</v>
      </c>
      <c r="F10" s="5" t="n">
        <v>46223</v>
      </c>
      <c r="G10" s="6" t="s">
        <v>65</v>
      </c>
    </row>
    <row r="11" customFormat="false" ht="15" hidden="false" customHeight="true" outlineLevel="0" collapsed="false">
      <c r="A11" s="8" t="s">
        <v>66</v>
      </c>
      <c r="B11" s="8" t="s">
        <v>67</v>
      </c>
      <c r="C11" s="8" t="s">
        <v>39</v>
      </c>
      <c r="D11" s="8" t="s">
        <v>40</v>
      </c>
      <c r="E11" s="7" t="n">
        <v>46221</v>
      </c>
      <c r="F11" s="7" t="n">
        <v>46223</v>
      </c>
      <c r="G11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.2"/>
    <col collapsed="false" customWidth="true" hidden="false" outlineLevel="0" max="2" min="2" style="1" width="23.28"/>
    <col collapsed="false" customWidth="true" hidden="false" outlineLevel="0" max="3" min="3" style="1" width="13.2"/>
    <col collapsed="false" customWidth="true" hidden="false" outlineLevel="0" max="4" min="4" style="1" width="10.97"/>
    <col collapsed="false" customWidth="true" hidden="false" outlineLevel="0" max="5" min="5" style="1" width="17.68"/>
    <col collapsed="false" customWidth="true" hidden="false" outlineLevel="0" max="6" min="6" style="1" width="37.84"/>
  </cols>
  <sheetData>
    <row r="1" customFormat="false" ht="15" hidden="false" customHeight="true" outlineLevel="0" collapsed="false">
      <c r="A1" s="4" t="s">
        <v>6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</row>
    <row r="2" customFormat="false" ht="15" hidden="false" customHeight="true" outlineLevel="0" collapsed="false">
      <c r="A2" s="6" t="s">
        <v>9</v>
      </c>
      <c r="B2" s="5" t="n">
        <v>46219</v>
      </c>
      <c r="C2" s="9" t="n">
        <v>0.354166666666667</v>
      </c>
      <c r="D2" s="9" t="n">
        <v>0.520833333333333</v>
      </c>
      <c r="E2" s="11" t="n">
        <v>3</v>
      </c>
      <c r="F2" s="6" t="s">
        <v>74</v>
      </c>
    </row>
    <row r="3" customFormat="false" ht="15" hidden="false" customHeight="true" outlineLevel="0" collapsed="false">
      <c r="A3" s="8" t="s">
        <v>9</v>
      </c>
      <c r="B3" s="7" t="n">
        <v>46219</v>
      </c>
      <c r="C3" s="10" t="n">
        <v>0.541666666666667</v>
      </c>
      <c r="D3" s="10" t="n">
        <v>0.6875</v>
      </c>
      <c r="E3" s="12" t="n">
        <v>3</v>
      </c>
      <c r="F3" s="8" t="s">
        <v>75</v>
      </c>
    </row>
    <row r="4" customFormat="false" ht="15" hidden="false" customHeight="true" outlineLevel="0" collapsed="false">
      <c r="A4" s="6" t="s">
        <v>9</v>
      </c>
      <c r="B4" s="5" t="n">
        <v>46220</v>
      </c>
      <c r="C4" s="9" t="n">
        <v>0.375</v>
      </c>
      <c r="D4" s="9" t="n">
        <v>0.5</v>
      </c>
      <c r="E4" s="11" t="n">
        <v>2</v>
      </c>
      <c r="F4" s="6" t="s">
        <v>76</v>
      </c>
    </row>
    <row r="5" customFormat="false" ht="15" hidden="false" customHeight="true" outlineLevel="0" collapsed="false">
      <c r="A5" s="8" t="s">
        <v>10</v>
      </c>
      <c r="B5" s="7" t="n">
        <v>46220</v>
      </c>
      <c r="C5" s="10" t="n">
        <v>0.583333333333333</v>
      </c>
      <c r="D5" s="10" t="n">
        <v>0.708333333333333</v>
      </c>
      <c r="E5" s="12" t="n">
        <v>2</v>
      </c>
      <c r="F5" s="8" t="s">
        <v>77</v>
      </c>
    </row>
    <row r="6" customFormat="false" ht="15" hidden="false" customHeight="true" outlineLevel="0" collapsed="false">
      <c r="A6" s="6" t="s">
        <v>11</v>
      </c>
      <c r="B6" s="5" t="n">
        <v>46220</v>
      </c>
      <c r="C6" s="9" t="n">
        <v>0.354166666666667</v>
      </c>
      <c r="D6" s="9" t="n">
        <v>0.520833333333333</v>
      </c>
      <c r="E6" s="11" t="n">
        <v>4</v>
      </c>
      <c r="F6" s="6" t="s">
        <v>78</v>
      </c>
    </row>
    <row r="7" customFormat="false" ht="15" hidden="false" customHeight="true" outlineLevel="0" collapsed="false">
      <c r="A7" s="8" t="s">
        <v>11</v>
      </c>
      <c r="B7" s="7" t="n">
        <v>46223</v>
      </c>
      <c r="C7" s="10" t="n">
        <v>0.375</v>
      </c>
      <c r="D7" s="10" t="n">
        <v>0.5</v>
      </c>
      <c r="E7" s="12" t="n">
        <v>4</v>
      </c>
      <c r="F7" s="8" t="s">
        <v>78</v>
      </c>
    </row>
    <row r="8" customFormat="false" ht="15" hidden="false" customHeight="true" outlineLevel="0" collapsed="false">
      <c r="A8" s="6" t="s">
        <v>12</v>
      </c>
      <c r="B8" s="5" t="n">
        <v>46220</v>
      </c>
      <c r="C8" s="9" t="n">
        <v>0.4375</v>
      </c>
      <c r="D8" s="9" t="n">
        <v>0.520833333333333</v>
      </c>
      <c r="E8" s="11" t="n">
        <v>2</v>
      </c>
      <c r="F8" s="6" t="s">
        <v>79</v>
      </c>
    </row>
    <row r="9" customFormat="false" ht="15" hidden="false" customHeight="true" outlineLevel="0" collapsed="false">
      <c r="A9" s="8" t="s">
        <v>12</v>
      </c>
      <c r="B9" s="7" t="n">
        <v>46221</v>
      </c>
      <c r="C9" s="10" t="n">
        <v>0.541666666666667</v>
      </c>
      <c r="D9" s="10" t="n">
        <v>0.625</v>
      </c>
      <c r="E9" s="12" t="n">
        <v>2</v>
      </c>
      <c r="F9" s="8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16.56"/>
    <col collapsed="false" customWidth="true" hidden="false" outlineLevel="0" max="3" min="3" style="1" width="38.96"/>
    <col collapsed="false" customWidth="true" hidden="false" outlineLevel="0" max="4" min="4" style="1" width="10.97"/>
    <col collapsed="false" customWidth="true" hidden="false" outlineLevel="0" max="5" min="5" style="1" width="71.44"/>
    <col collapsed="false" customWidth="true" hidden="false" outlineLevel="0" max="6" min="6" style="1" width="10.97"/>
    <col collapsed="false" customWidth="true" hidden="false" outlineLevel="0" max="7" min="7" style="1" width="23.28"/>
  </cols>
  <sheetData>
    <row r="1" customFormat="false" ht="15" hidden="false" customHeight="true" outlineLevel="0" collapsed="false">
      <c r="A1" s="4" t="s">
        <v>25</v>
      </c>
      <c r="B1" s="4" t="s">
        <v>80</v>
      </c>
      <c r="C1" s="4" t="s">
        <v>81</v>
      </c>
      <c r="D1" s="4" t="s">
        <v>82</v>
      </c>
      <c r="E1" s="4" t="s">
        <v>83</v>
      </c>
      <c r="F1" s="4" t="s">
        <v>84</v>
      </c>
      <c r="G1" s="4" t="s">
        <v>85</v>
      </c>
    </row>
    <row r="2" customFormat="false" ht="15" hidden="false" customHeight="true" outlineLevel="0" collapsed="false">
      <c r="A2" s="6" t="s">
        <v>37</v>
      </c>
      <c r="B2" s="6" t="s">
        <v>86</v>
      </c>
      <c r="C2" s="6" t="s">
        <v>87</v>
      </c>
      <c r="D2" s="6" t="s">
        <v>88</v>
      </c>
      <c r="E2" s="6" t="s">
        <v>89</v>
      </c>
      <c r="F2" s="6" t="s">
        <v>11</v>
      </c>
      <c r="G2" s="5" t="n">
        <v>46223</v>
      </c>
    </row>
    <row r="3" customFormat="false" ht="15" hidden="false" customHeight="true" outlineLevel="0" collapsed="false">
      <c r="A3" s="8" t="s">
        <v>42</v>
      </c>
      <c r="B3" s="8" t="s">
        <v>90</v>
      </c>
      <c r="C3" s="8" t="s">
        <v>91</v>
      </c>
      <c r="D3" s="8" t="s">
        <v>92</v>
      </c>
      <c r="E3" s="8" t="s">
        <v>93</v>
      </c>
      <c r="F3" s="8" t="s">
        <v>9</v>
      </c>
      <c r="G3" s="7" t="n">
        <v>46220</v>
      </c>
    </row>
    <row r="4" customFormat="false" ht="15" hidden="false" customHeight="true" outlineLevel="0" collapsed="false">
      <c r="A4" s="6" t="s">
        <v>47</v>
      </c>
      <c r="B4" s="6" t="s">
        <v>94</v>
      </c>
      <c r="C4" s="6" t="s">
        <v>95</v>
      </c>
      <c r="D4" s="6" t="s">
        <v>96</v>
      </c>
      <c r="E4" s="6" t="s">
        <v>97</v>
      </c>
      <c r="F4" s="6" t="s">
        <v>98</v>
      </c>
      <c r="G4" s="5" t="n">
        <v>46225</v>
      </c>
    </row>
    <row r="5" customFormat="false" ht="15" hidden="false" customHeight="true" outlineLevel="0" collapsed="false">
      <c r="A5" s="8" t="s">
        <v>52</v>
      </c>
      <c r="B5" s="8" t="s">
        <v>99</v>
      </c>
      <c r="C5" s="8" t="s">
        <v>100</v>
      </c>
      <c r="D5" s="8" t="s">
        <v>92</v>
      </c>
      <c r="E5" s="8" t="s">
        <v>101</v>
      </c>
      <c r="F5" s="8" t="s">
        <v>9</v>
      </c>
      <c r="G5" s="7" t="n">
        <v>46219</v>
      </c>
    </row>
    <row r="6" customFormat="false" ht="15" hidden="false" customHeight="true" outlineLevel="0" collapsed="false">
      <c r="A6" s="6" t="s">
        <v>55</v>
      </c>
      <c r="B6" s="6" t="s">
        <v>86</v>
      </c>
      <c r="C6" s="6" t="s">
        <v>102</v>
      </c>
      <c r="D6" s="6" t="s">
        <v>88</v>
      </c>
      <c r="E6" s="6" t="s">
        <v>103</v>
      </c>
      <c r="F6" s="6" t="s">
        <v>11</v>
      </c>
      <c r="G6" s="5" t="n">
        <v>46220</v>
      </c>
    </row>
    <row r="7" customFormat="false" ht="15" hidden="false" customHeight="true" outlineLevel="0" collapsed="false">
      <c r="A7" s="8" t="s">
        <v>60</v>
      </c>
      <c r="B7" s="8" t="s">
        <v>94</v>
      </c>
      <c r="C7" s="8" t="s">
        <v>62</v>
      </c>
      <c r="D7" s="8" t="s">
        <v>92</v>
      </c>
      <c r="E7" s="8" t="s">
        <v>104</v>
      </c>
      <c r="F7" s="8" t="s">
        <v>10</v>
      </c>
      <c r="G7" s="7" t="n">
        <v>46221</v>
      </c>
    </row>
    <row r="8" customFormat="false" ht="15" hidden="false" customHeight="true" outlineLevel="0" collapsed="false">
      <c r="A8" s="6" t="s">
        <v>63</v>
      </c>
      <c r="B8" s="6" t="s">
        <v>86</v>
      </c>
      <c r="C8" s="6" t="s">
        <v>65</v>
      </c>
      <c r="D8" s="6" t="s">
        <v>88</v>
      </c>
      <c r="E8" s="6" t="s">
        <v>105</v>
      </c>
      <c r="F8" s="6" t="s">
        <v>35</v>
      </c>
      <c r="G8" s="5" t="n">
        <v>46220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33"/>
    <col collapsed="false" customWidth="true" hidden="false" outlineLevel="0" max="2" min="2" style="1" width="10.97"/>
    <col collapsed="false" customWidth="true" hidden="false" outlineLevel="0" max="3" min="3" style="1" width="12.08"/>
    <col collapsed="false" customWidth="true" hidden="false" outlineLevel="0" max="4" min="4" style="1" width="16.56"/>
    <col collapsed="false" customWidth="true" hidden="false" outlineLevel="0" max="5" min="5" style="1" width="24.4"/>
    <col collapsed="false" customWidth="true" hidden="false" outlineLevel="0" max="6" min="6" style="1" width="13.2"/>
    <col collapsed="false" customWidth="true" hidden="false" outlineLevel="0" max="7" min="7" style="1" width="23.28"/>
    <col collapsed="false" customWidth="true" hidden="false" outlineLevel="0" max="8" min="8" style="1" width="13.2"/>
    <col collapsed="false" customWidth="true" hidden="false" outlineLevel="0" max="9" min="9" style="1" width="10.97"/>
    <col collapsed="false" customWidth="true" hidden="false" outlineLevel="0" max="10" min="10" style="1" width="17"/>
    <col collapsed="false" customWidth="true" hidden="false" outlineLevel="0" max="11" min="11" style="1" width="23.28"/>
    <col collapsed="false" customWidth="true" hidden="false" outlineLevel="0" max="12" min="12" style="1" width="48"/>
    <col collapsed="false" customWidth="true" hidden="false" outlineLevel="0" max="13" min="13" style="1" width="42"/>
    <col collapsed="false" customWidth="true" hidden="false" outlineLevel="0" max="14" min="14" style="1" width="13.2"/>
    <col collapsed="false" customWidth="true" hidden="false" outlineLevel="0" max="15" min="15" style="1" width="48"/>
    <col collapsed="false" customWidth="true" hidden="false" outlineLevel="0" max="16" min="16" style="1" width="18.8"/>
    <col collapsed="false" customWidth="true" hidden="false" outlineLevel="0" max="17" min="17" style="1" width="22.16"/>
    <col collapsed="false" customWidth="true" hidden="false" outlineLevel="0" max="18" min="18" style="1" width="45.68"/>
  </cols>
  <sheetData>
    <row r="1" customFormat="false" ht="15" hidden="false" customHeight="true" outlineLevel="0" collapsed="false">
      <c r="A1" s="4" t="s">
        <v>106</v>
      </c>
      <c r="B1" s="4" t="s">
        <v>25</v>
      </c>
      <c r="C1" s="4" t="s">
        <v>107</v>
      </c>
      <c r="D1" s="4" t="s">
        <v>80</v>
      </c>
      <c r="E1" s="4" t="s">
        <v>108</v>
      </c>
      <c r="F1" s="4" t="s">
        <v>6</v>
      </c>
      <c r="G1" s="4" t="s">
        <v>2</v>
      </c>
      <c r="H1" s="4" t="s">
        <v>70</v>
      </c>
      <c r="I1" s="4" t="s">
        <v>71</v>
      </c>
      <c r="J1" s="4" t="s">
        <v>109</v>
      </c>
      <c r="K1" s="4" t="s">
        <v>110</v>
      </c>
      <c r="L1" s="4" t="s">
        <v>72</v>
      </c>
      <c r="M1" s="4" t="s">
        <v>111</v>
      </c>
      <c r="N1" s="4" t="s">
        <v>112</v>
      </c>
      <c r="O1" s="4" t="s">
        <v>113</v>
      </c>
      <c r="P1" s="4" t="s">
        <v>114</v>
      </c>
      <c r="Q1" s="4" t="s">
        <v>115</v>
      </c>
      <c r="R1" s="4" t="s">
        <v>116</v>
      </c>
    </row>
    <row r="2" customFormat="false" ht="15" hidden="false" customHeight="true" outlineLevel="0" collapsed="false">
      <c r="A2" s="6" t="s">
        <v>117</v>
      </c>
      <c r="B2" s="6" t="s">
        <v>52</v>
      </c>
      <c r="C2" s="6" t="s">
        <v>118</v>
      </c>
      <c r="D2" s="6" t="s">
        <v>99</v>
      </c>
      <c r="E2" s="6" t="s">
        <v>119</v>
      </c>
      <c r="F2" s="6" t="s">
        <v>9</v>
      </c>
      <c r="G2" s="5" t="n">
        <v>46219</v>
      </c>
      <c r="H2" s="9" t="n">
        <v>0.375</v>
      </c>
      <c r="I2" s="9" t="n">
        <v>0.4375</v>
      </c>
      <c r="J2" s="11" t="n">
        <f aca="false">(I2-H2)*1440</f>
        <v>90</v>
      </c>
      <c r="K2" s="6" t="s">
        <v>120</v>
      </c>
      <c r="L2" s="11" t="n">
        <f aca="false">SUMIFS(Availability!$E$2:$E$9,Availability!$A$2:$A$9,F2,Availability!$B$2:$B$9,G2)</f>
        <v>6</v>
      </c>
      <c r="M2" s="11" t="n">
        <f aca="false">COUNTIFS($F$2:$F$10,F2,$G$2:$G$10,G2)</f>
        <v>3</v>
      </c>
      <c r="N2" s="11" t="n">
        <v>30</v>
      </c>
      <c r="O2" s="13" t="str">
        <f aca="false">IF(K2&lt;&gt;"Met","Prereq hold",IF(L2=0,"Unavailable",IF(M2&gt;L2,"Over capacity","Clear")))</f>
        <v>Clear</v>
      </c>
      <c r="P2" s="6" t="s">
        <v>121</v>
      </c>
      <c r="Q2" s="6" t="s">
        <v>121</v>
      </c>
      <c r="R2" s="6" t="s">
        <v>122</v>
      </c>
    </row>
    <row r="3" customFormat="false" ht="15" hidden="false" customHeight="true" outlineLevel="0" collapsed="false">
      <c r="A3" s="8" t="s">
        <v>123</v>
      </c>
      <c r="B3" s="8" t="s">
        <v>52</v>
      </c>
      <c r="C3" s="8" t="s">
        <v>124</v>
      </c>
      <c r="D3" s="8" t="s">
        <v>99</v>
      </c>
      <c r="E3" s="8" t="s">
        <v>125</v>
      </c>
      <c r="F3" s="8" t="s">
        <v>9</v>
      </c>
      <c r="G3" s="7" t="n">
        <v>46219</v>
      </c>
      <c r="H3" s="10" t="n">
        <v>0.458333333333333</v>
      </c>
      <c r="I3" s="10" t="n">
        <v>0.489583333333333</v>
      </c>
      <c r="J3" s="12" t="n">
        <f aca="false">(I3-H3)*1440</f>
        <v>45</v>
      </c>
      <c r="K3" s="8" t="s">
        <v>120</v>
      </c>
      <c r="L3" s="12" t="n">
        <f aca="false">SUMIFS(Availability!$E$2:$E$9,Availability!$A$2:$A$9,F3,Availability!$B$2:$B$9,G3)</f>
        <v>6</v>
      </c>
      <c r="M3" s="12" t="n">
        <f aca="false">COUNTIFS($F$2:$F$10,F3,$G$2:$G$10,G3)</f>
        <v>3</v>
      </c>
      <c r="N3" s="12" t="n">
        <v>30</v>
      </c>
      <c r="O3" s="14" t="str">
        <f aca="false">IF(K3&lt;&gt;"Met","Prereq hold",IF(L3=0,"Unavailable",IF(M3&gt;L3,"Over capacity","Clear")))</f>
        <v>Clear</v>
      </c>
      <c r="P3" s="8" t="s">
        <v>121</v>
      </c>
      <c r="Q3" s="8" t="s">
        <v>121</v>
      </c>
      <c r="R3" s="8" t="s">
        <v>126</v>
      </c>
    </row>
    <row r="4" customFormat="false" ht="15" hidden="false" customHeight="true" outlineLevel="0" collapsed="false">
      <c r="A4" s="6" t="s">
        <v>127</v>
      </c>
      <c r="B4" s="6" t="s">
        <v>42</v>
      </c>
      <c r="C4" s="6" t="s">
        <v>128</v>
      </c>
      <c r="D4" s="6" t="s">
        <v>90</v>
      </c>
      <c r="E4" s="6" t="s">
        <v>75</v>
      </c>
      <c r="F4" s="6" t="s">
        <v>9</v>
      </c>
      <c r="G4" s="5" t="n">
        <v>46219</v>
      </c>
      <c r="H4" s="9" t="n">
        <v>0.541666666666667</v>
      </c>
      <c r="I4" s="9" t="n">
        <v>0.625</v>
      </c>
      <c r="J4" s="11" t="n">
        <f aca="false">(I4-H4)*1440</f>
        <v>120</v>
      </c>
      <c r="K4" s="6" t="s">
        <v>120</v>
      </c>
      <c r="L4" s="11" t="n">
        <f aca="false">SUMIFS(Availability!$E$2:$E$9,Availability!$A$2:$A$9,F4,Availability!$B$2:$B$9,G4)</f>
        <v>6</v>
      </c>
      <c r="M4" s="11" t="n">
        <f aca="false">COUNTIFS($F$2:$F$10,F4,$G$2:$G$10,G4)</f>
        <v>3</v>
      </c>
      <c r="N4" s="11" t="n">
        <v>240</v>
      </c>
      <c r="O4" s="13" t="str">
        <f aca="false">IF(K4&lt;&gt;"Met","Prereq hold",IF(L4=0,"Unavailable",IF(M4&gt;L4,"Over capacity","Clear")))</f>
        <v>Clear</v>
      </c>
      <c r="P4" s="6" t="s">
        <v>121</v>
      </c>
      <c r="Q4" s="6" t="s">
        <v>121</v>
      </c>
      <c r="R4" s="6" t="s">
        <v>129</v>
      </c>
    </row>
    <row r="5" customFormat="false" ht="15" hidden="false" customHeight="true" outlineLevel="0" collapsed="false">
      <c r="A5" s="8" t="s">
        <v>130</v>
      </c>
      <c r="B5" s="8" t="s">
        <v>42</v>
      </c>
      <c r="C5" s="8" t="s">
        <v>131</v>
      </c>
      <c r="D5" s="8" t="s">
        <v>90</v>
      </c>
      <c r="E5" s="8" t="s">
        <v>76</v>
      </c>
      <c r="F5" s="8" t="s">
        <v>9</v>
      </c>
      <c r="G5" s="7" t="n">
        <v>46220</v>
      </c>
      <c r="H5" s="10" t="n">
        <v>0.416666666666667</v>
      </c>
      <c r="I5" s="10" t="n">
        <v>0.458333333333333</v>
      </c>
      <c r="J5" s="12" t="n">
        <f aca="false">(I5-H5)*1440</f>
        <v>60</v>
      </c>
      <c r="K5" s="8" t="s">
        <v>120</v>
      </c>
      <c r="L5" s="12" t="n">
        <f aca="false">SUMIFS(Availability!$E$2:$E$9,Availability!$A$2:$A$9,F5,Availability!$B$2:$B$9,G5)</f>
        <v>2</v>
      </c>
      <c r="M5" s="12" t="n">
        <f aca="false">COUNTIFS($F$2:$F$10,F5,$G$2:$G$10,G5)</f>
        <v>1</v>
      </c>
      <c r="N5" s="12" t="n">
        <v>60</v>
      </c>
      <c r="O5" s="14" t="str">
        <f aca="false">IF(K5&lt;&gt;"Met","Prereq hold",IF(L5=0,"Unavailable",IF(M5&gt;L5,"Over capacity","Clear")))</f>
        <v>Clear</v>
      </c>
      <c r="P5" s="8" t="s">
        <v>132</v>
      </c>
      <c r="Q5" s="8" t="s">
        <v>132</v>
      </c>
      <c r="R5" s="8" t="s">
        <v>133</v>
      </c>
    </row>
    <row r="6" customFormat="false" ht="15" hidden="false" customHeight="true" outlineLevel="0" collapsed="false">
      <c r="A6" s="6" t="s">
        <v>134</v>
      </c>
      <c r="B6" s="6" t="s">
        <v>55</v>
      </c>
      <c r="C6" s="6" t="s">
        <v>135</v>
      </c>
      <c r="D6" s="6" t="s">
        <v>86</v>
      </c>
      <c r="E6" s="6" t="s">
        <v>78</v>
      </c>
      <c r="F6" s="6" t="s">
        <v>11</v>
      </c>
      <c r="G6" s="5" t="n">
        <v>46220</v>
      </c>
      <c r="H6" s="9" t="n">
        <v>0.375</v>
      </c>
      <c r="I6" s="9" t="n">
        <v>0.416666666666667</v>
      </c>
      <c r="J6" s="11" t="n">
        <f aca="false">(I6-H6)*1440</f>
        <v>60</v>
      </c>
      <c r="K6" s="6" t="s">
        <v>120</v>
      </c>
      <c r="L6" s="11" t="n">
        <f aca="false">SUMIFS(Availability!$E$2:$E$9,Availability!$A$2:$A$9,F6,Availability!$B$2:$B$9,G6)</f>
        <v>4</v>
      </c>
      <c r="M6" s="11" t="n">
        <f aca="false">COUNTIFS($F$2:$F$10,F6,$G$2:$G$10,G6)</f>
        <v>1</v>
      </c>
      <c r="N6" s="11" t="n">
        <v>60</v>
      </c>
      <c r="O6" s="13" t="str">
        <f aca="false">IF(K6&lt;&gt;"Met","Prereq hold",IF(L6=0,"Unavailable",IF(M6&gt;L6,"Over capacity","Clear")))</f>
        <v>Clear</v>
      </c>
      <c r="P6" s="6" t="s">
        <v>121</v>
      </c>
      <c r="Q6" s="6" t="s">
        <v>121</v>
      </c>
      <c r="R6" s="6" t="s">
        <v>136</v>
      </c>
    </row>
    <row r="7" customFormat="false" ht="15" hidden="false" customHeight="true" outlineLevel="0" collapsed="false">
      <c r="A7" s="8" t="s">
        <v>137</v>
      </c>
      <c r="B7" s="8" t="s">
        <v>63</v>
      </c>
      <c r="C7" s="8" t="s">
        <v>138</v>
      </c>
      <c r="D7" s="8" t="s">
        <v>86</v>
      </c>
      <c r="E7" s="8" t="s">
        <v>139</v>
      </c>
      <c r="F7" s="8" t="s">
        <v>12</v>
      </c>
      <c r="G7" s="7" t="n">
        <v>46220</v>
      </c>
      <c r="H7" s="10" t="n">
        <v>0.458333333333333</v>
      </c>
      <c r="I7" s="10" t="n">
        <v>0.5</v>
      </c>
      <c r="J7" s="12" t="n">
        <f aca="false">(I7-H7)*1440</f>
        <v>60</v>
      </c>
      <c r="K7" s="8" t="s">
        <v>120</v>
      </c>
      <c r="L7" s="12" t="n">
        <f aca="false">SUMIFS(Availability!$E$2:$E$9,Availability!$A$2:$A$9,F7,Availability!$B$2:$B$9,G7)</f>
        <v>2</v>
      </c>
      <c r="M7" s="12" t="n">
        <f aca="false">COUNTIFS($F$2:$F$10,F7,$G$2:$G$10,G7)</f>
        <v>1</v>
      </c>
      <c r="N7" s="12" t="n">
        <v>60</v>
      </c>
      <c r="O7" s="14" t="str">
        <f aca="false">IF(K7&lt;&gt;"Met","Prereq hold",IF(L7=0,"Unavailable",IF(M7&gt;L7,"Over capacity","Clear")))</f>
        <v>Clear</v>
      </c>
      <c r="P7" s="8" t="s">
        <v>121</v>
      </c>
      <c r="Q7" s="8" t="s">
        <v>121</v>
      </c>
      <c r="R7" s="8" t="s">
        <v>140</v>
      </c>
    </row>
    <row r="8" customFormat="false" ht="15" hidden="false" customHeight="true" outlineLevel="0" collapsed="false">
      <c r="A8" s="6" t="s">
        <v>141</v>
      </c>
      <c r="B8" s="6" t="s">
        <v>60</v>
      </c>
      <c r="C8" s="6" t="s">
        <v>142</v>
      </c>
      <c r="D8" s="6" t="s">
        <v>94</v>
      </c>
      <c r="E8" s="6" t="s">
        <v>77</v>
      </c>
      <c r="F8" s="6" t="s">
        <v>10</v>
      </c>
      <c r="G8" s="5" t="n">
        <v>46220</v>
      </c>
      <c r="H8" s="9" t="n">
        <v>0.625</v>
      </c>
      <c r="I8" s="9" t="n">
        <v>0.666666666666667</v>
      </c>
      <c r="J8" s="11" t="n">
        <f aca="false">(I8-H8)*1440</f>
        <v>60</v>
      </c>
      <c r="K8" s="6" t="s">
        <v>120</v>
      </c>
      <c r="L8" s="11" t="n">
        <f aca="false">SUMIFS(Availability!$E$2:$E$9,Availability!$A$2:$A$9,F8,Availability!$B$2:$B$9,G8)</f>
        <v>2</v>
      </c>
      <c r="M8" s="11" t="n">
        <f aca="false">COUNTIFS($F$2:$F$10,F8,$G$2:$G$10,G8)</f>
        <v>1</v>
      </c>
      <c r="N8" s="11" t="n">
        <v>120</v>
      </c>
      <c r="O8" s="13" t="str">
        <f aca="false">IF(K8&lt;&gt;"Met","Prereq hold",IF(L8=0,"Unavailable",IF(M8&gt;L8,"Over capacity","Clear")))</f>
        <v>Clear</v>
      </c>
      <c r="P8" s="6" t="s">
        <v>132</v>
      </c>
      <c r="Q8" s="6" t="s">
        <v>132</v>
      </c>
      <c r="R8" s="6" t="s">
        <v>143</v>
      </c>
    </row>
    <row r="9" customFormat="false" ht="15" hidden="false" customHeight="true" outlineLevel="0" collapsed="false">
      <c r="A9" s="8" t="s">
        <v>144</v>
      </c>
      <c r="B9" s="8" t="s">
        <v>52</v>
      </c>
      <c r="C9" s="8" t="s">
        <v>138</v>
      </c>
      <c r="D9" s="8" t="s">
        <v>86</v>
      </c>
      <c r="E9" s="8" t="s">
        <v>139</v>
      </c>
      <c r="F9" s="8" t="s">
        <v>12</v>
      </c>
      <c r="G9" s="7" t="n">
        <v>46221</v>
      </c>
      <c r="H9" s="10" t="n">
        <v>0.541666666666667</v>
      </c>
      <c r="I9" s="10" t="n">
        <v>0.583333333333333</v>
      </c>
      <c r="J9" s="12" t="n">
        <f aca="false">(I9-H9)*1440</f>
        <v>60</v>
      </c>
      <c r="K9" s="8" t="s">
        <v>120</v>
      </c>
      <c r="L9" s="12" t="n">
        <f aca="false">SUMIFS(Availability!$E$2:$E$9,Availability!$A$2:$A$9,F9,Availability!$B$2:$B$9,G9)</f>
        <v>2</v>
      </c>
      <c r="M9" s="12" t="n">
        <f aca="false">COUNTIFS($F$2:$F$10,F9,$G$2:$G$10,G9)</f>
        <v>1</v>
      </c>
      <c r="N9" s="12" t="n">
        <v>60</v>
      </c>
      <c r="O9" s="14" t="str">
        <f aca="false">IF(K9&lt;&gt;"Met","Prereq hold",IF(L9=0,"Unavailable",IF(M9&gt;L9,"Over capacity","Clear")))</f>
        <v>Clear</v>
      </c>
      <c r="P9" s="8" t="s">
        <v>132</v>
      </c>
      <c r="Q9" s="8" t="s">
        <v>132</v>
      </c>
      <c r="R9" s="8" t="s">
        <v>145</v>
      </c>
    </row>
    <row r="10" customFormat="false" ht="15" hidden="false" customHeight="true" outlineLevel="0" collapsed="false">
      <c r="A10" s="6" t="s">
        <v>146</v>
      </c>
      <c r="B10" s="6" t="s">
        <v>37</v>
      </c>
      <c r="C10" s="6" t="s">
        <v>135</v>
      </c>
      <c r="D10" s="6" t="s">
        <v>86</v>
      </c>
      <c r="E10" s="6" t="s">
        <v>78</v>
      </c>
      <c r="F10" s="6" t="s">
        <v>11</v>
      </c>
      <c r="G10" s="5" t="n">
        <v>46223</v>
      </c>
      <c r="H10" s="9" t="n">
        <v>0.416666666666667</v>
      </c>
      <c r="I10" s="9" t="n">
        <v>0.458333333333333</v>
      </c>
      <c r="J10" s="11" t="n">
        <f aca="false">(I10-H10)*1440</f>
        <v>60</v>
      </c>
      <c r="K10" s="6" t="s">
        <v>120</v>
      </c>
      <c r="L10" s="11" t="n">
        <f aca="false">SUMIFS(Availability!$E$2:$E$9,Availability!$A$2:$A$9,F10,Availability!$B$2:$B$9,G10)</f>
        <v>4</v>
      </c>
      <c r="M10" s="11" t="n">
        <f aca="false">COUNTIFS($F$2:$F$10,F10,$G$2:$G$10,G10)</f>
        <v>1</v>
      </c>
      <c r="N10" s="11" t="n">
        <v>60</v>
      </c>
      <c r="O10" s="13" t="str">
        <f aca="false">IF(K10&lt;&gt;"Met","Prereq hold",IF(L10=0,"Unavailable",IF(M10&gt;L10,"Over capacity","Clear")))</f>
        <v>Clear</v>
      </c>
      <c r="P10" s="6" t="s">
        <v>132</v>
      </c>
      <c r="Q10" s="6" t="s">
        <v>132</v>
      </c>
      <c r="R10" s="6" t="s">
        <v>147</v>
      </c>
    </row>
  </sheetData>
  <conditionalFormatting sqref="O2:O10">
    <cfRule type="expression" priority="2" aboveAverage="0" equalAverage="0" bottom="0" percent="0" rank="0" text="" dxfId="5">
      <formula>O2&lt;&gt;"Clear"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23.28"/>
    <col collapsed="false" customWidth="true" hidden="false" outlineLevel="0" max="3" min="3" style="1" width="12.08"/>
    <col collapsed="false" customWidth="true" hidden="false" outlineLevel="0" max="4" min="4" style="1" width="30"/>
    <col collapsed="false" customWidth="true" hidden="false" outlineLevel="0" max="5" min="5" style="1" width="39"/>
    <col collapsed="false" customWidth="true" hidden="false" outlineLevel="0" max="6" min="6" style="1" width="47"/>
    <col collapsed="false" customWidth="true" hidden="false" outlineLevel="0" max="7" min="7" style="1" width="48"/>
    <col collapsed="false" customWidth="true" hidden="false" outlineLevel="0" max="9" min="8" style="1" width="43.44"/>
  </cols>
  <sheetData>
    <row r="1" customFormat="false" ht="1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29</v>
      </c>
      <c r="E1" s="4" t="s">
        <v>148</v>
      </c>
      <c r="F1" s="4" t="s">
        <v>149</v>
      </c>
      <c r="G1" s="4" t="s">
        <v>114</v>
      </c>
      <c r="H1" s="4" t="s">
        <v>150</v>
      </c>
      <c r="I1" s="4" t="s">
        <v>31</v>
      </c>
    </row>
    <row r="2" customFormat="false" ht="15" hidden="false" customHeight="true" outlineLevel="0" collapsed="false">
      <c r="A2" s="6" t="s">
        <v>32</v>
      </c>
      <c r="B2" s="6" t="s">
        <v>33</v>
      </c>
      <c r="C2" s="6" t="s">
        <v>34</v>
      </c>
      <c r="D2" s="5" t="n">
        <v>46221</v>
      </c>
      <c r="E2" s="11" t="n">
        <f aca="false">COUNTIF(Evidence_Gaps!$A$2:$A$8,A2)</f>
        <v>0</v>
      </c>
      <c r="F2" s="11" t="n">
        <f aca="false">COUNTIF('Scheduled Sessions'!$B$2:$B$10,A2)</f>
        <v>0</v>
      </c>
      <c r="G2" s="6" t="str">
        <f aca="false">IF(E2=0,"No open gap",IF(F2=0,"Unscheduled",IF(F2&lt;E2,"Partially scheduled","Scheduled")))</f>
        <v>No open gap</v>
      </c>
      <c r="H2" s="6" t="s">
        <v>151</v>
      </c>
      <c r="I2" s="6" t="s">
        <v>36</v>
      </c>
    </row>
    <row r="3" customFormat="false" ht="15" hidden="false" customHeight="true" outlineLevel="0" collapsed="false">
      <c r="A3" s="8" t="s">
        <v>37</v>
      </c>
      <c r="B3" s="8" t="s">
        <v>38</v>
      </c>
      <c r="C3" s="8" t="s">
        <v>39</v>
      </c>
      <c r="D3" s="7" t="n">
        <v>46221</v>
      </c>
      <c r="E3" s="12" t="n">
        <f aca="false">COUNTIF(Evidence_Gaps!$A$2:$A$8,A3)</f>
        <v>1</v>
      </c>
      <c r="F3" s="12" t="n">
        <f aca="false">COUNTIF('Scheduled Sessions'!$B$2:$B$10,A3)</f>
        <v>1</v>
      </c>
      <c r="G3" s="8" t="str">
        <f aca="false">IF(E3=0,"No open gap",IF(F3=0,"Unscheduled",IF(F3&lt;E3,"Partially scheduled","Scheduled")))</f>
        <v>Scheduled</v>
      </c>
      <c r="H3" s="8" t="s">
        <v>152</v>
      </c>
      <c r="I3" s="8" t="s">
        <v>41</v>
      </c>
    </row>
    <row r="4" customFormat="false" ht="15" hidden="false" customHeight="true" outlineLevel="0" collapsed="false">
      <c r="A4" s="6" t="s">
        <v>42</v>
      </c>
      <c r="B4" s="6" t="s">
        <v>43</v>
      </c>
      <c r="C4" s="6" t="s">
        <v>44</v>
      </c>
      <c r="D4" s="5" t="n">
        <v>46222</v>
      </c>
      <c r="E4" s="11" t="n">
        <f aca="false">COUNTIF(Evidence_Gaps!$A$2:$A$8,A4)</f>
        <v>1</v>
      </c>
      <c r="F4" s="11" t="n">
        <f aca="false">COUNTIF('Scheduled Sessions'!$B$2:$B$10,A4)</f>
        <v>2</v>
      </c>
      <c r="G4" s="6" t="str">
        <f aca="false">IF(E4=0,"No open gap",IF(F4=0,"Unscheduled",IF(F4&lt;E4,"Partially scheduled","Scheduled")))</f>
        <v>Scheduled</v>
      </c>
      <c r="H4" s="6" t="s">
        <v>153</v>
      </c>
      <c r="I4" s="6" t="s">
        <v>46</v>
      </c>
    </row>
    <row r="5" customFormat="false" ht="15" hidden="false" customHeight="true" outlineLevel="0" collapsed="false">
      <c r="A5" s="8" t="s">
        <v>47</v>
      </c>
      <c r="B5" s="8" t="s">
        <v>48</v>
      </c>
      <c r="C5" s="8" t="s">
        <v>49</v>
      </c>
      <c r="D5" s="7" t="n">
        <v>46222</v>
      </c>
      <c r="E5" s="12" t="n">
        <f aca="false">COUNTIF(Evidence_Gaps!$A$2:$A$8,A5)</f>
        <v>1</v>
      </c>
      <c r="F5" s="12" t="n">
        <f aca="false">COUNTIF('Scheduled Sessions'!$B$2:$B$10,A5)</f>
        <v>0</v>
      </c>
      <c r="G5" s="8" t="str">
        <f aca="false">IF(E5=0,"No open gap",IF(F5=0,"Unscheduled",IF(F5&lt;E5,"Partially scheduled","Scheduled")))</f>
        <v>Unscheduled</v>
      </c>
      <c r="H5" s="8" t="s">
        <v>154</v>
      </c>
      <c r="I5" s="8" t="s">
        <v>51</v>
      </c>
    </row>
    <row r="6" customFormat="false" ht="15" hidden="false" customHeight="true" outlineLevel="0" collapsed="false">
      <c r="A6" s="6" t="s">
        <v>52</v>
      </c>
      <c r="B6" s="6" t="s">
        <v>53</v>
      </c>
      <c r="C6" s="6" t="s">
        <v>34</v>
      </c>
      <c r="D6" s="5" t="n">
        <v>46223</v>
      </c>
      <c r="E6" s="11" t="n">
        <f aca="false">COUNTIF(Evidence_Gaps!$A$2:$A$8,A6)</f>
        <v>1</v>
      </c>
      <c r="F6" s="11" t="n">
        <f aca="false">COUNTIF('Scheduled Sessions'!$B$2:$B$10,A6)</f>
        <v>3</v>
      </c>
      <c r="G6" s="6" t="str">
        <f aca="false">IF(E6=0,"No open gap",IF(F6=0,"Unscheduled",IF(F6&lt;E6,"Partially scheduled","Scheduled")))</f>
        <v>Scheduled</v>
      </c>
      <c r="H6" s="6" t="s">
        <v>153</v>
      </c>
      <c r="I6" s="6" t="s">
        <v>54</v>
      </c>
    </row>
    <row r="7" customFormat="false" ht="15" hidden="false" customHeight="true" outlineLevel="0" collapsed="false">
      <c r="A7" s="8" t="s">
        <v>55</v>
      </c>
      <c r="B7" s="8" t="s">
        <v>56</v>
      </c>
      <c r="C7" s="8" t="s">
        <v>39</v>
      </c>
      <c r="D7" s="7" t="n">
        <v>46223</v>
      </c>
      <c r="E7" s="12" t="n">
        <f aca="false">COUNTIF(Evidence_Gaps!$A$2:$A$8,A7)</f>
        <v>1</v>
      </c>
      <c r="F7" s="12" t="n">
        <f aca="false">COUNTIF('Scheduled Sessions'!$B$2:$B$10,A7)</f>
        <v>1</v>
      </c>
      <c r="G7" s="8" t="str">
        <f aca="false">IF(E7=0,"No open gap",IF(F7=0,"Unscheduled",IF(F7&lt;E7,"Partially scheduled","Scheduled")))</f>
        <v>Scheduled</v>
      </c>
      <c r="H7" s="8" t="s">
        <v>155</v>
      </c>
      <c r="I7" s="8" t="s">
        <v>57</v>
      </c>
    </row>
    <row r="8" customFormat="false" ht="15" hidden="false" customHeight="true" outlineLevel="0" collapsed="false">
      <c r="A8" s="6" t="s">
        <v>58</v>
      </c>
      <c r="B8" s="6" t="s">
        <v>59</v>
      </c>
      <c r="C8" s="6" t="s">
        <v>44</v>
      </c>
      <c r="D8" s="5" t="n">
        <v>46221</v>
      </c>
      <c r="E8" s="11" t="n">
        <f aca="false">COUNTIF(Evidence_Gaps!$A$2:$A$8,A8)</f>
        <v>0</v>
      </c>
      <c r="F8" s="11" t="n">
        <f aca="false">COUNTIF('Scheduled Sessions'!$B$2:$B$10,A8)</f>
        <v>0</v>
      </c>
      <c r="G8" s="6" t="str">
        <f aca="false">IF(E8=0,"No open gap",IF(F8=0,"Unscheduled",IF(F8&lt;E8,"Partially scheduled","Scheduled")))</f>
        <v>No open gap</v>
      </c>
      <c r="H8" s="6" t="s">
        <v>151</v>
      </c>
      <c r="I8" s="6" t="s">
        <v>36</v>
      </c>
    </row>
    <row r="9" customFormat="false" ht="15" hidden="false" customHeight="true" outlineLevel="0" collapsed="false">
      <c r="A9" s="8" t="s">
        <v>60</v>
      </c>
      <c r="B9" s="8" t="s">
        <v>61</v>
      </c>
      <c r="C9" s="8" t="s">
        <v>49</v>
      </c>
      <c r="D9" s="7" t="n">
        <v>46222</v>
      </c>
      <c r="E9" s="12" t="n">
        <f aca="false">COUNTIF(Evidence_Gaps!$A$2:$A$8,A9)</f>
        <v>1</v>
      </c>
      <c r="F9" s="12" t="n">
        <f aca="false">COUNTIF('Scheduled Sessions'!$B$2:$B$10,A9)</f>
        <v>1</v>
      </c>
      <c r="G9" s="8" t="str">
        <f aca="false">IF(E9=0,"No open gap",IF(F9=0,"Unscheduled",IF(F9&lt;E9,"Partially scheduled","Scheduled")))</f>
        <v>Scheduled</v>
      </c>
      <c r="H9" s="8" t="s">
        <v>154</v>
      </c>
      <c r="I9" s="8" t="s">
        <v>62</v>
      </c>
    </row>
    <row r="10" customFormat="false" ht="15" hidden="false" customHeight="true" outlineLevel="0" collapsed="false">
      <c r="A10" s="6" t="s">
        <v>63</v>
      </c>
      <c r="B10" s="6" t="s">
        <v>64</v>
      </c>
      <c r="C10" s="6" t="s">
        <v>34</v>
      </c>
      <c r="D10" s="5" t="n">
        <v>46221</v>
      </c>
      <c r="E10" s="11" t="n">
        <f aca="false">COUNTIF(Evidence_Gaps!$A$2:$A$8,A10)</f>
        <v>1</v>
      </c>
      <c r="F10" s="11" t="n">
        <f aca="false">COUNTIF('Scheduled Sessions'!$B$2:$B$10,A10)</f>
        <v>1</v>
      </c>
      <c r="G10" s="6" t="str">
        <f aca="false">IF(E10=0,"No open gap",IF(F10=0,"Unscheduled",IF(F10&lt;E10,"Partially scheduled","Scheduled")))</f>
        <v>Scheduled</v>
      </c>
      <c r="H10" s="6" t="s">
        <v>155</v>
      </c>
      <c r="I10" s="6" t="s">
        <v>65</v>
      </c>
    </row>
    <row r="11" customFormat="false" ht="15" hidden="false" customHeight="true" outlineLevel="0" collapsed="false">
      <c r="A11" s="8" t="s">
        <v>66</v>
      </c>
      <c r="B11" s="8" t="s">
        <v>67</v>
      </c>
      <c r="C11" s="8" t="s">
        <v>39</v>
      </c>
      <c r="D11" s="7" t="n">
        <v>46221</v>
      </c>
      <c r="E11" s="12" t="n">
        <f aca="false">COUNTIF(Evidence_Gaps!$A$2:$A$8,A11)</f>
        <v>0</v>
      </c>
      <c r="F11" s="12" t="n">
        <f aca="false">COUNTIF('Scheduled Sessions'!$B$2:$B$10,A11)</f>
        <v>0</v>
      </c>
      <c r="G11" s="8" t="str">
        <f aca="false">IF(E11=0,"No open gap",IF(F11=0,"Unscheduled",IF(F11&lt;E11,"Partially scheduled","Scheduled")))</f>
        <v>No open gap</v>
      </c>
      <c r="H11" s="8" t="s">
        <v>151</v>
      </c>
      <c r="I11" s="8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97"/>
    <col collapsed="false" customWidth="true" hidden="false" outlineLevel="0" max="2" min="2" style="1" width="19.92"/>
    <col collapsed="false" customWidth="true" hidden="false" outlineLevel="0" max="3" min="3" style="1" width="56.88"/>
    <col collapsed="false" customWidth="true" hidden="false" outlineLevel="0" max="4" min="4" style="1" width="10.97"/>
    <col collapsed="false" customWidth="true" hidden="false" outlineLevel="0" max="5" min="5" style="1" width="23.28"/>
    <col collapsed="false" customWidth="true" hidden="false" outlineLevel="0" max="6" min="6" style="1" width="17.68"/>
  </cols>
  <sheetData>
    <row r="1" customFormat="false" ht="15" hidden="false" customHeight="true" outlineLevel="0" collapsed="false">
      <c r="A1" s="4" t="s">
        <v>25</v>
      </c>
      <c r="B1" s="4" t="s">
        <v>156</v>
      </c>
      <c r="C1" s="4" t="s">
        <v>83</v>
      </c>
      <c r="D1" s="4" t="s">
        <v>84</v>
      </c>
      <c r="E1" s="4" t="s">
        <v>85</v>
      </c>
      <c r="F1" s="4" t="s">
        <v>157</v>
      </c>
    </row>
    <row r="2" customFormat="false" ht="15" hidden="false" customHeight="true" outlineLevel="0" collapsed="false">
      <c r="A2" s="6" t="s">
        <v>47</v>
      </c>
      <c r="B2" s="6" t="s">
        <v>158</v>
      </c>
      <c r="C2" s="6" t="s">
        <v>159</v>
      </c>
      <c r="D2" s="6" t="s">
        <v>98</v>
      </c>
      <c r="E2" s="5" t="n">
        <v>46225</v>
      </c>
      <c r="F2" s="6" t="s">
        <v>96</v>
      </c>
    </row>
    <row r="3" customFormat="false" ht="15" hidden="false" customHeight="true" outlineLevel="0" collapsed="false">
      <c r="A3" s="8" t="s">
        <v>42</v>
      </c>
      <c r="B3" s="8" t="s">
        <v>160</v>
      </c>
      <c r="C3" s="8" t="s">
        <v>161</v>
      </c>
      <c r="D3" s="8" t="s">
        <v>9</v>
      </c>
      <c r="E3" s="7" t="n">
        <v>46220</v>
      </c>
      <c r="F3" s="8" t="s">
        <v>162</v>
      </c>
    </row>
    <row r="4" customFormat="false" ht="15" hidden="false" customHeight="true" outlineLevel="0" collapsed="false">
      <c r="A4" s="6" t="s">
        <v>60</v>
      </c>
      <c r="B4" s="6" t="s">
        <v>160</v>
      </c>
      <c r="C4" s="6" t="s">
        <v>163</v>
      </c>
      <c r="D4" s="6" t="s">
        <v>10</v>
      </c>
      <c r="E4" s="5" t="n">
        <v>46221</v>
      </c>
      <c r="F4" s="6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88"/>
    <col collapsed="false" customWidth="true" hidden="false" outlineLevel="0" max="2" min="2" style="1" width="48"/>
  </cols>
  <sheetData>
    <row r="1" customFormat="false" ht="15" hidden="false" customHeight="true" outlineLevel="0" collapsed="false">
      <c r="A1" s="4" t="s">
        <v>164</v>
      </c>
      <c r="B1" s="4" t="s">
        <v>165</v>
      </c>
    </row>
    <row r="2" customFormat="false" ht="15" hidden="false" customHeight="true" outlineLevel="0" collapsed="false">
      <c r="A2" s="6" t="s">
        <v>166</v>
      </c>
      <c r="B2" s="11" t="n">
        <f aca="false">COUNTIF('Representative View'!H2:H11,"Ready - pending manager")</f>
        <v>3</v>
      </c>
    </row>
    <row r="3" customFormat="false" ht="15" hidden="false" customHeight="true" outlineLevel="0" collapsed="false">
      <c r="A3" s="8" t="s">
        <v>167</v>
      </c>
      <c r="B3" s="12" t="n">
        <f aca="false">COUNTIF('Representative View'!H2:H11,"Limited exception - staged supervised")</f>
        <v>1</v>
      </c>
    </row>
    <row r="4" customFormat="false" ht="15" hidden="false" customHeight="true" outlineLevel="0" collapsed="false">
      <c r="A4" s="6" t="s">
        <v>3</v>
      </c>
      <c r="B4" s="11" t="n">
        <f aca="false">COUNTIF('Representative View'!H2:H11,"Remediation required")</f>
        <v>2</v>
      </c>
    </row>
    <row r="5" customFormat="false" ht="15" hidden="false" customHeight="true" outlineLevel="0" collapsed="false">
      <c r="A5" s="8" t="s">
        <v>155</v>
      </c>
      <c r="B5" s="12" t="n">
        <f aca="false">COUNTIF('Representative View'!H2:H11,"Pending evidence")</f>
        <v>2</v>
      </c>
    </row>
    <row r="6" customFormat="false" ht="15" hidden="false" customHeight="true" outlineLevel="0" collapsed="false">
      <c r="A6" s="6" t="s">
        <v>96</v>
      </c>
      <c r="B6" s="11" t="n">
        <f aca="false">COUNTIF('Representative View'!H2:H11,"Blocked - unresolved exception")</f>
        <v>2</v>
      </c>
    </row>
    <row r="9" customFormat="false" ht="15" hidden="false" customHeight="true" outlineLevel="0" collapsed="false">
      <c r="A9" s="4" t="s">
        <v>27</v>
      </c>
      <c r="B9" s="4" t="s">
        <v>168</v>
      </c>
    </row>
    <row r="10" customFormat="false" ht="15" hidden="false" customHeight="true" outlineLevel="0" collapsed="false">
      <c r="A10" s="6" t="s">
        <v>34</v>
      </c>
      <c r="B10" s="11" t="n">
        <f aca="false">COUNTIFS('Representative View'!C2:C11,A10,'Representative View'!H2:H11,"&lt;&gt;Ready - pending manager")</f>
        <v>2</v>
      </c>
    </row>
    <row r="11" customFormat="false" ht="15" hidden="false" customHeight="true" outlineLevel="0" collapsed="false">
      <c r="A11" s="8" t="s">
        <v>39</v>
      </c>
      <c r="B11" s="12" t="n">
        <f aca="false">COUNTIFS('Representative View'!C2:C11,A11,'Representative View'!H2:H11,"&lt;&gt;Ready - pending manager")</f>
        <v>2</v>
      </c>
    </row>
    <row r="12" customFormat="false" ht="15" hidden="false" customHeight="true" outlineLevel="0" collapsed="false">
      <c r="A12" s="6" t="s">
        <v>44</v>
      </c>
      <c r="B12" s="11" t="n">
        <f aca="false">COUNTIFS('Representative View'!C2:C11,A12,'Representative View'!H2:H11,"&lt;&gt;Ready - pending manager")</f>
        <v>1</v>
      </c>
    </row>
    <row r="13" customFormat="false" ht="15" hidden="false" customHeight="true" outlineLevel="0" collapsed="false">
      <c r="A13" s="8" t="s">
        <v>49</v>
      </c>
      <c r="B13" s="12" t="n">
        <f aca="false">COUNTIFS('Representative View'!C2:C11,A13,'Representative View'!H2:H11,"&lt;&gt;Ready - pending manager")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.88"/>
    <col collapsed="false" customWidth="true" hidden="false" outlineLevel="0" max="2" min="2" style="1" width="48"/>
    <col collapsed="false" customWidth="true" hidden="false" outlineLevel="0" max="3" min="3" style="1" width="10.97"/>
  </cols>
  <sheetData>
    <row r="1" customFormat="false" ht="15" hidden="false" customHeight="true" outlineLevel="0" collapsed="false">
      <c r="A1" s="4" t="s">
        <v>169</v>
      </c>
      <c r="B1" s="4" t="s">
        <v>170</v>
      </c>
      <c r="C1" s="4" t="s">
        <v>171</v>
      </c>
    </row>
    <row r="2" customFormat="false" ht="15" hidden="false" customHeight="true" outlineLevel="0" collapsed="false">
      <c r="A2" s="6" t="s">
        <v>172</v>
      </c>
      <c r="B2" s="6" t="n">
        <f aca="false">COUNTA('Scheduled Sessions'!A2:A10)</f>
        <v>9</v>
      </c>
      <c r="C2" s="6" t="n">
        <v>9</v>
      </c>
    </row>
    <row r="3" customFormat="false" ht="15" hidden="false" customHeight="true" outlineLevel="0" collapsed="false">
      <c r="A3" s="8" t="s">
        <v>173</v>
      </c>
      <c r="B3" s="8" t="n">
        <f aca="false">COUNTIF('Scheduled Sessions'!O2:O10,"&lt;&gt;Clear")</f>
        <v>0</v>
      </c>
      <c r="C3" s="8" t="n">
        <v>0</v>
      </c>
    </row>
    <row r="4" customFormat="false" ht="15" hidden="false" customHeight="true" outlineLevel="0" collapsed="false">
      <c r="A4" s="6" t="s">
        <v>174</v>
      </c>
      <c r="B4" s="6" t="n">
        <f aca="false">COUNTIF('Schedule Exceptions'!F2:F4,"Blocked")</f>
        <v>1</v>
      </c>
      <c r="C4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2026-07-17T16:01:22Z</dcterms:created>
  <dc:creator>HarborBridge Group Sales Operations</dc:creator>
  <dc:description>Approval-ready training and observation schedule for July 2026 ramp cohort</dc:description>
  <cp:keywords>group sales ramp readiness certification pending approval</cp:keywords>
  <dc:language>en-US</dc:language>
  <cp:lastModifiedBy/>
  <dcterms:modified xsi:type="dcterms:W3CDTF">2026-07-17T16:23:52Z</dcterms:modified>
  <cp:revision>3</cp:revision>
  <dc:subject>Approval-ready training and observation schedule for July 2026 ramp cohort</dc:subject>
  <dc:title>Training Observation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