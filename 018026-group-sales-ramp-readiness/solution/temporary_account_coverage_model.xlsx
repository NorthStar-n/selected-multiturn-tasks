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6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10.xml" ContentType="application/vnd.openxmlformats-officedocument.spreadsheetml.table+xml"/>
  <Override PartName="/xl/tables/table8.xml" ContentType="application/vnd.openxmlformats-officedocument.spreadsheetml.table+xml"/>
  <Override PartName="/xl/tables/table14.xml" ContentType="application/vnd.openxmlformats-officedocument.spreadsheetml.table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xl/tables/table5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age Dashboard" sheetId="1" state="visible" r:id="rId3"/>
    <sheet name="Read_Me" sheetId="2" state="visible" r:id="rId4"/>
    <sheet name="Assumptions" sheetId="3" state="visible" r:id="rId5"/>
    <sheet name="Evidence Rows" sheetId="4" state="visible" r:id="rId6"/>
    <sheet name="Readiness Inputs" sheetId="5" state="visible" r:id="rId7"/>
    <sheet name="Account Records" sheetId="6" state="visible" r:id="rId8"/>
    <sheet name="Coverage Decisions" sheetId="7" state="visible" r:id="rId9"/>
    <sheet name="Scenario Analysis" sheetId="8" state="visible" r:id="rId10"/>
    <sheet name="Exceptions and Escalations" sheetId="9" state="visible" r:id="rId11"/>
    <sheet name="Formula Checks" sheetId="10" state="visible" r:id="rId12"/>
    <sheet name="Owner Load" sheetId="11" state="visible" r:id="rId13"/>
  </sheets>
  <definedNames>
    <definedName function="false" hidden="false" localSheetId="0" name="_xlnm.Print_Area" vbProcedure="false">'Coverage Dashboard'!$A$1:$U$33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<sst xmlns="http://schemas.openxmlformats.org/spreadsheetml/2006/main" count="668" uniqueCount="206">
  <si>
    <t xml:space="preserve">Coverage Dashboard</t>
  </si>
  <si>
    <t xml:space="preserve">Staged account coverage while HB-RAMP-2026-07 remains pending</t>
  </si>
  <si>
    <t xml:space="preserve">Segment</t>
  </si>
  <si>
    <t xml:space="preserve">Eligible</t>
  </si>
  <si>
    <t xml:space="preserve">Limited</t>
  </si>
  <si>
    <t xml:space="preserve">Temporary</t>
  </si>
  <si>
    <t xml:space="preserve">Escalate</t>
  </si>
  <si>
    <t xml:space="preserve">Corporate</t>
  </si>
  <si>
    <t xml:space="preserve">Affinity</t>
  </si>
  <si>
    <t xml:space="preserve">Education</t>
  </si>
  <si>
    <t xml:space="preserve">Meetings</t>
  </si>
  <si>
    <t xml:space="preserve">Allocation_Label</t>
  </si>
  <si>
    <t xml:space="preserve">Quoted value</t>
  </si>
  <si>
    <t xml:space="preserve">Margin estimate</t>
  </si>
  <si>
    <t xml:space="preserve">Service_Deadline</t>
  </si>
  <si>
    <t xml:space="preserve">Temporary or escalated</t>
  </si>
  <si>
    <t xml:space="preserve">Topic</t>
  </si>
  <si>
    <t xml:space="preserve">Detail</t>
  </si>
  <si>
    <t xml:space="preserve">Purpose</t>
  </si>
  <si>
    <t xml:space="preserve">Stage temporary account coverage against readiness and pending manager approval</t>
  </si>
  <si>
    <t xml:space="preserve">Boundary</t>
  </si>
  <si>
    <t xml:space="preserve">No independent customer coverage is approved by this model</t>
  </si>
  <si>
    <t xml:space="preserve">Source refresh</t>
  </si>
  <si>
    <t xml:space="preserve">Cohort, evidence, and account exports refreshed through 2026-07-15</t>
  </si>
  <si>
    <t xml:space="preserve">Assumption</t>
  </si>
  <si>
    <t xml:space="preserve">Value</t>
  </si>
  <si>
    <t xml:space="preserve">Note</t>
  </si>
  <si>
    <t xml:space="preserve">Today</t>
  </si>
  <si>
    <t xml:space="preserve">Used for deadline pressure</t>
  </si>
  <si>
    <t xml:space="preserve">High_Value_Threshold</t>
  </si>
  <si>
    <t xml:space="preserve">Quoted value pressure threshold</t>
  </si>
  <si>
    <t xml:space="preserve">Limited_Exception_Max_Risk</t>
  </si>
  <si>
    <t xml:space="preserve">Standard</t>
  </si>
  <si>
    <t xml:space="preserve">Low and Standard allowed only when exception exists</t>
  </si>
  <si>
    <t xml:space="preserve">Pending_Approval_State</t>
  </si>
  <si>
    <t xml:space="preserve">HB-RAMP-2026-07 pending</t>
  </si>
  <si>
    <t xml:space="preserve">Manager signature required before execution</t>
  </si>
  <si>
    <t xml:space="preserve">Rep_ID</t>
  </si>
  <si>
    <t xml:space="preserve">Competency_ID</t>
  </si>
  <si>
    <t xml:space="preserve">Evidence_Status</t>
  </si>
  <si>
    <t xml:space="preserve">REP-2701</t>
  </si>
  <si>
    <t xml:space="preserve">GS-C01</t>
  </si>
  <si>
    <t xml:space="preserve">Complete</t>
  </si>
  <si>
    <t xml:space="preserve">GS-C02</t>
  </si>
  <si>
    <t xml:space="preserve">GS-C03</t>
  </si>
  <si>
    <t xml:space="preserve">GS-C04</t>
  </si>
  <si>
    <t xml:space="preserve">GS-C05</t>
  </si>
  <si>
    <t xml:space="preserve">GS-C06</t>
  </si>
  <si>
    <t xml:space="preserve">GS-C07</t>
  </si>
  <si>
    <t xml:space="preserve">REP-2702</t>
  </si>
  <si>
    <t xml:space="preserve">Approved Exception</t>
  </si>
  <si>
    <t xml:space="preserve">REP-2703</t>
  </si>
  <si>
    <t xml:space="preserve">Failed</t>
  </si>
  <si>
    <t xml:space="preserve">Open</t>
  </si>
  <si>
    <t xml:space="preserve">REP-2704</t>
  </si>
  <si>
    <t xml:space="preserve">Blocked</t>
  </si>
  <si>
    <t xml:space="preserve">REP-2705</t>
  </si>
  <si>
    <t xml:space="preserve">REP-2706</t>
  </si>
  <si>
    <t xml:space="preserve">REP-2707</t>
  </si>
  <si>
    <t xml:space="preserve">REP-2708</t>
  </si>
  <si>
    <t xml:space="preserve">REP-2709</t>
  </si>
  <si>
    <t xml:space="preserve">REP-2710</t>
  </si>
  <si>
    <t xml:space="preserve">Representative_Name</t>
  </si>
  <si>
    <t xml:space="preserve">Complete_Count</t>
  </si>
  <si>
    <t xml:space="preserve">Approved_Exception_Count</t>
  </si>
  <si>
    <t xml:space="preserve">Failed_Count</t>
  </si>
  <si>
    <t xml:space="preserve">Open_or_Blocked_Count</t>
  </si>
  <si>
    <t xml:space="preserve">Readiness_Status</t>
  </si>
  <si>
    <t xml:space="preserve">Maya Chen</t>
  </si>
  <si>
    <t xml:space="preserve">Jordan Patel</t>
  </si>
  <si>
    <t xml:space="preserve">Sofia Ramirez</t>
  </si>
  <si>
    <t xml:space="preserve">Ethan Brooks</t>
  </si>
  <si>
    <t xml:space="preserve">Priya Nair</t>
  </si>
  <si>
    <t xml:space="preserve">Liam O'Neill</t>
  </si>
  <si>
    <t xml:space="preserve">Ava Thompson</t>
  </si>
  <si>
    <t xml:space="preserve">Noah Kim</t>
  </si>
  <si>
    <t xml:space="preserve">Isabella Reed</t>
  </si>
  <si>
    <t xml:space="preserve">Marcus Lee</t>
  </si>
  <si>
    <t xml:space="preserve">Account_ID</t>
  </si>
  <si>
    <t xml:space="preserve">Opportunity_ID</t>
  </si>
  <si>
    <t xml:space="preserve">Account_Name</t>
  </si>
  <si>
    <t xml:space="preserve">Territory_Code</t>
  </si>
  <si>
    <t xml:space="preserve">Expected_Departure_Window</t>
  </si>
  <si>
    <t xml:space="preserve">Quoted_Value</t>
  </si>
  <si>
    <t xml:space="preserve">Margin_Estimate</t>
  </si>
  <si>
    <t xml:space="preserve">Customer_Action_Due</t>
  </si>
  <si>
    <t xml:space="preserve">Temporary_Owner_ID</t>
  </si>
  <si>
    <t xml:space="preserve">Proposed_Rep_ID</t>
  </si>
  <si>
    <t xml:space="preserve">Coverage_Risk_Band</t>
  </si>
  <si>
    <t xml:space="preserve">ACC-1001</t>
  </si>
  <si>
    <t xml:space="preserve">OPP-7001</t>
  </si>
  <si>
    <t xml:space="preserve">Finch Biotech Leadership Offsite</t>
  </si>
  <si>
    <t xml:space="preserve">COR-W</t>
  </si>
  <si>
    <t xml:space="preserve">Finalize revised air quote</t>
  </si>
  <si>
    <t xml:space="preserve">SEN-801</t>
  </si>
  <si>
    <t xml:space="preserve">ACC-1002</t>
  </si>
  <si>
    <t xml:space="preserve">OPP-7002</t>
  </si>
  <si>
    <t xml:space="preserve">K-12 History Tours</t>
  </si>
  <si>
    <t xml:space="preserve">EDU-MW</t>
  </si>
  <si>
    <t xml:space="preserve">Send deposit terms summary</t>
  </si>
  <si>
    <t xml:space="preserve">SUP-410</t>
  </si>
  <si>
    <t xml:space="preserve">ACC-1003</t>
  </si>
  <si>
    <t xml:space="preserve">OPP-7003</t>
  </si>
  <si>
    <t xml:space="preserve">Allied Nurses Association</t>
  </si>
  <si>
    <t xml:space="preserve">AFF-E</t>
  </si>
  <si>
    <t xml:space="preserve">Confirm roster change policy</t>
  </si>
  <si>
    <t xml:space="preserve">Low</t>
  </si>
  <si>
    <t xml:space="preserve">ACC-1004</t>
  </si>
  <si>
    <t xml:space="preserve">OPP-7004</t>
  </si>
  <si>
    <t xml:space="preserve">Beacon Summit 2026</t>
  </si>
  <si>
    <t xml:space="preserve">MTG-NE</t>
  </si>
  <si>
    <t xml:space="preserve">Customer awaiting attrition clause</t>
  </si>
  <si>
    <t xml:space="preserve">High</t>
  </si>
  <si>
    <t xml:space="preserve">ACC-1005</t>
  </si>
  <si>
    <t xml:space="preserve">OPP-7005</t>
  </si>
  <si>
    <t xml:space="preserve">Northstar Sales Kickoff</t>
  </si>
  <si>
    <t xml:space="preserve">COR-NW</t>
  </si>
  <si>
    <t xml:space="preserve">Update deposit follow-up in CRM</t>
  </si>
  <si>
    <t xml:space="preserve">ACC-1006</t>
  </si>
  <si>
    <t xml:space="preserve">OPP-7006</t>
  </si>
  <si>
    <t xml:space="preserve">Citywide Choir Travel</t>
  </si>
  <si>
    <t xml:space="preserve">AFF-PA</t>
  </si>
  <si>
    <t xml:space="preserve">Return group airfare options</t>
  </si>
  <si>
    <t xml:space="preserve">SEN-802</t>
  </si>
  <si>
    <t xml:space="preserve">ACC-1007</t>
  </si>
  <si>
    <t xml:space="preserve">OPP-7007</t>
  </si>
  <si>
    <t xml:space="preserve">Metro Prep Spain Exchange</t>
  </si>
  <si>
    <t xml:space="preserve">EDU-S</t>
  </si>
  <si>
    <t xml:space="preserve">Confirm hotel block count</t>
  </si>
  <si>
    <t xml:space="preserve">SUP-412</t>
  </si>
  <si>
    <t xml:space="preserve">ACC-1008</t>
  </si>
  <si>
    <t xml:space="preserve">OPP-7008</t>
  </si>
  <si>
    <t xml:space="preserve">CloudArc Roadshow</t>
  </si>
  <si>
    <t xml:space="preserve">COR-NE</t>
  </si>
  <si>
    <t xml:space="preserve">Prepare revision 2 quote</t>
  </si>
  <si>
    <t xml:space="preserve">ACC-1009</t>
  </si>
  <si>
    <t xml:space="preserve">OPP-7009</t>
  </si>
  <si>
    <t xml:space="preserve">Greenline Alumni Cruise Air</t>
  </si>
  <si>
    <t xml:space="preserve">AFF-N</t>
  </si>
  <si>
    <t xml:space="preserve">Confirm final passenger threshold</t>
  </si>
  <si>
    <t xml:space="preserve">ACC-1010</t>
  </si>
  <si>
    <t xml:space="preserve">OPP-7010</t>
  </si>
  <si>
    <t xml:space="preserve">Sterling Pharma Congress</t>
  </si>
  <si>
    <t xml:space="preserve">MTG-W</t>
  </si>
  <si>
    <t xml:space="preserve">Compliance language due before proposal</t>
  </si>
  <si>
    <t xml:space="preserve">ACC-1011</t>
  </si>
  <si>
    <t xml:space="preserve">OPP-7011</t>
  </si>
  <si>
    <t xml:space="preserve">Meridian Incentive Trip</t>
  </si>
  <si>
    <t xml:space="preserve">Schedule stakeholder review</t>
  </si>
  <si>
    <t xml:space="preserve">ACC-1012</t>
  </si>
  <si>
    <t xml:space="preserve">OPP-7012</t>
  </si>
  <si>
    <t xml:space="preserve">Harbor Teachers Union</t>
  </si>
  <si>
    <t xml:space="preserve">Send ground-transfer options</t>
  </si>
  <si>
    <t xml:space="preserve">ACC-1013</t>
  </si>
  <si>
    <t xml:space="preserve">OPP-7013</t>
  </si>
  <si>
    <t xml:space="preserve">Civic Leaders Forum</t>
  </si>
  <si>
    <t xml:space="preserve">Venue attrition question open</t>
  </si>
  <si>
    <t xml:space="preserve">ACC-1014</t>
  </si>
  <si>
    <t xml:space="preserve">OPP-7014</t>
  </si>
  <si>
    <t xml:space="preserve">Fusion Fitness Retreat</t>
  </si>
  <si>
    <t xml:space="preserve">Confirm deposit reminder</t>
  </si>
  <si>
    <t xml:space="preserve">ACC-1015</t>
  </si>
  <si>
    <t xml:space="preserve">OPP-7015</t>
  </si>
  <si>
    <t xml:space="preserve">Apex Partners Summit</t>
  </si>
  <si>
    <t xml:space="preserve">Update CRM quote revision history</t>
  </si>
  <si>
    <t xml:space="preserve">ACC-1016</t>
  </si>
  <si>
    <t xml:space="preserve">OPP-7016</t>
  </si>
  <si>
    <t xml:space="preserve">Pacific STEM Exchange</t>
  </si>
  <si>
    <t xml:space="preserve">Hold customer call until terms retest</t>
  </si>
  <si>
    <t xml:space="preserve">Eligible_For_Handoff</t>
  </si>
  <si>
    <t xml:space="preserve">Risk_Score</t>
  </si>
  <si>
    <t xml:space="preserve">Allocation_Status</t>
  </si>
  <si>
    <t xml:space="preserve">Next_Action</t>
  </si>
  <si>
    <t xml:space="preserve">Scenario_Name</t>
  </si>
  <si>
    <t xml:space="preserve">Accounts handed off</t>
  </si>
  <si>
    <t xml:space="preserve">Open escalations</t>
  </si>
  <si>
    <t xml:space="preserve">Temporary coverage value</t>
  </si>
  <si>
    <t xml:space="preserve">Temp coverage ($100K)</t>
  </si>
  <si>
    <t xml:space="preserve">No handoff</t>
  </si>
  <si>
    <t xml:space="preserve">Eligible-only handoff</t>
  </si>
  <si>
    <t xml:space="preserve">Limited-exception handoff</t>
  </si>
  <si>
    <t xml:space="preserve">Average risk score</t>
  </si>
  <si>
    <t xml:space="preserve">Current_Owner_ID</t>
  </si>
  <si>
    <t xml:space="preserve">Remain temporary coverage</t>
  </si>
  <si>
    <t xml:space="preserve">Carry next action until readiness or manager approval changes</t>
  </si>
  <si>
    <t xml:space="preserve">Escalate to supervisor</t>
  </si>
  <si>
    <t xml:space="preserve">Check</t>
  </si>
  <si>
    <t xml:space="preserve">Formula_Result</t>
  </si>
  <si>
    <t xml:space="preserve">Expected</t>
  </si>
  <si>
    <t xml:space="preserve">Active accounts</t>
  </si>
  <si>
    <t xml:space="preserve">Eligible staged</t>
  </si>
  <si>
    <t xml:space="preserve">Limited staged</t>
  </si>
  <si>
    <t xml:space="preserve">Temporary coverage</t>
  </si>
  <si>
    <t xml:space="preserve">Supervisor escalation</t>
  </si>
  <si>
    <t xml:space="preserve">Quoted value total</t>
  </si>
  <si>
    <t xml:space="preserve">Limited scenario temp plus escalation value</t>
  </si>
  <si>
    <t xml:space="preserve">Owner_ID</t>
  </si>
  <si>
    <t xml:space="preserve">Owner_Name</t>
  </si>
  <si>
    <t xml:space="preserve">Capacity limit</t>
  </si>
  <si>
    <t xml:space="preserve">Planned accounts</t>
  </si>
  <si>
    <t xml:space="preserve">Variance_To_Capacity</t>
  </si>
  <si>
    <t xml:space="preserve">Capacity_Status</t>
  </si>
  <si>
    <t xml:space="preserve">Clara Moore</t>
  </si>
  <si>
    <t xml:space="preserve">Ben Harrow</t>
  </si>
  <si>
    <t xml:space="preserve">Alicia Benton</t>
  </si>
  <si>
    <t xml:space="preserve">Nolan Price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</si>
</sst>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yyyy\-mm\-dd"/>
    <numFmt numFmtId="167" formatCode="0"/>
    <numFmt numFmtId="168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1"/>
      <color rgb="FF596B72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B5C4A"/>
        <bgColor rgb="FF1F4E78"/>
      </patternFill>
    </fill>
    <fill>
      <patternFill patternType="solid">
        <fgColor rgb="FFF3EADB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0BD"/>
      </left>
      <right style="thin">
        <color rgb="FFD9D0BD"/>
      </right>
      <top style="thin">
        <color rgb="FFD9D0BD"/>
      </top>
      <bottom style="thin">
        <color rgb="FFD9D0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B5C4A"/>
          <bgColor rgb="FF000000"/>
        </patternFill>
      </fill>
    </dxf>
    <dxf>
      <fill>
        <patternFill patternType="solid">
          <fgColor rgb="FFF3EAD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96B72"/>
      <rgbColor rgb="FF800080"/>
      <rgbColor rgb="FF3A7D8C"/>
      <rgbColor rgb="FFB3B3B3"/>
      <rgbColor rgb="FF878787"/>
      <rgbColor rgb="FF9999FF"/>
      <rgbColor rgb="FFBE4B48"/>
      <rgbColor rgb="FFF3EAD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D9D0BD"/>
      <rgbColor rgb="FF4F81BD"/>
      <rgbColor rgb="FF33CCCC"/>
      <rgbColor rgb="FF9BBB59"/>
      <rgbColor rgb="FFFFCC00"/>
      <rgbColor rgb="FFD9822B"/>
      <rgbColor rgb="FFFF6600"/>
      <rgbColor rgb="FF6B5B95"/>
      <rgbColor rgb="FF969696"/>
      <rgbColor rgb="FF0B5C4A"/>
      <rgbColor rgb="FF2E7D5B"/>
      <rgbColor rgb="FF003300"/>
      <rgbColor rgb="FF333300"/>
      <rgbColor rgb="FF993300"/>
      <rgbColor rgb="FFC0504D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Account Allocation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"Eligible handoff"</c:f>
              <c:strCache>
                <c:ptCount val="1"/>
                <c:pt idx="0">
                  <c:v>Eligible handoff</c:v>
                </c:pt>
              </c:strCache>
            </c:strRef>
          </c:tx>
          <c:spPr>
            <a:solidFill>
              <a:srgbClr val="1f4e78"/>
            </a:solidFill>
            <a:ln w="9360">
              <a:solidFill>
                <a:srgbClr val="1f4e78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'Coverage Dashboard'!$A$6:$A$9</c:f>
              <c:strCache>
                <c:ptCount val="4"/>
                <c:pt idx="0">
                  <c:v>Corporate</c:v>
                </c:pt>
                <c:pt idx="1">
                  <c:v>Affinity</c:v>
                </c:pt>
                <c:pt idx="2">
                  <c:v>Education</c:v>
                </c:pt>
                <c:pt idx="3">
                  <c:v>Meetings</c:v>
                </c:pt>
              </c:strCache>
            </c:strRef>
          </c:cat>
          <c:val>
            <c:numRef>
              <c:f>'Coverage Dashboard'!$B$6:$B$9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"Limited exception"</c:f>
              <c:strCache>
                <c:ptCount val="1"/>
                <c:pt idx="0">
                  <c:v>Limited exception</c:v>
                </c:pt>
              </c:strCache>
            </c:strRef>
          </c:tx>
          <c:spPr>
            <a:solidFill>
              <a:srgbClr val="2e7d5b"/>
            </a:solidFill>
            <a:ln w="9360">
              <a:solidFill>
                <a:srgbClr val="2e7d5b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'Coverage Dashboard'!$A$6:$A$9</c:f>
              <c:strCache>
                <c:ptCount val="4"/>
                <c:pt idx="0">
                  <c:v>Corporate</c:v>
                </c:pt>
                <c:pt idx="1">
                  <c:v>Affinity</c:v>
                </c:pt>
                <c:pt idx="2">
                  <c:v>Education</c:v>
                </c:pt>
                <c:pt idx="3">
                  <c:v>Meetings</c:v>
                </c:pt>
              </c:strCache>
            </c:strRef>
          </c:cat>
          <c:val>
            <c:numRef>
              <c:f>'Coverage Dashboard'!$C$6:$C$9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2"/>
          <c:order val="2"/>
          <c:tx>
            <c:strRef>
              <c:f>"Temporary coverage"</c:f>
              <c:strCache>
                <c:ptCount val="1"/>
                <c:pt idx="0">
                  <c:v>Temporary coverage</c:v>
                </c:pt>
              </c:strCache>
            </c:strRef>
          </c:tx>
          <c:spPr>
            <a:solidFill>
              <a:srgbClr val="d9822b"/>
            </a:solidFill>
            <a:ln w="9360">
              <a:solidFill>
                <a:srgbClr val="d9822b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'Coverage Dashboard'!$A$6:$A$9</c:f>
              <c:strCache>
                <c:ptCount val="4"/>
                <c:pt idx="0">
                  <c:v>Corporate</c:v>
                </c:pt>
                <c:pt idx="1">
                  <c:v>Affinity</c:v>
                </c:pt>
                <c:pt idx="2">
                  <c:v>Education</c:v>
                </c:pt>
                <c:pt idx="3">
                  <c:v>Meetings</c:v>
                </c:pt>
              </c:strCache>
            </c:strRef>
          </c:cat>
          <c:val>
            <c:numRef>
              <c:f>'Coverage Dashboard'!$D$6:$D$9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</c:ser>
        <c:ser>
          <c:idx val="3"/>
          <c:order val="3"/>
          <c:tx>
            <c:strRef>
              <c:f>"Escalate"</c:f>
              <c:strCache>
                <c:ptCount val="1"/>
                <c:pt idx="0">
                  <c:v>Escalate</c:v>
                </c:pt>
              </c:strCache>
            </c:strRef>
          </c:tx>
          <c:spPr>
            <a:solidFill>
              <a:srgbClr val="6b5b95"/>
            </a:solidFill>
            <a:ln w="9360">
              <a:solidFill>
                <a:srgbClr val="6b5b95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'Coverage Dashboard'!$A$6:$A$9</c:f>
              <c:strCache>
                <c:ptCount val="4"/>
                <c:pt idx="0">
                  <c:v>Corporate</c:v>
                </c:pt>
                <c:pt idx="1">
                  <c:v>Affinity</c:v>
                </c:pt>
                <c:pt idx="2">
                  <c:v>Education</c:v>
                </c:pt>
                <c:pt idx="3">
                  <c:v>Meetings</c:v>
                </c:pt>
              </c:strCache>
            </c:strRef>
          </c:cat>
          <c:val>
            <c:numRef>
              <c:f>'Coverage Dashboard'!$E$6:$E$9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</c:numCache>
            </c:numRef>
          </c:val>
        </c:ser>
        <c:gapWidth val="150"/>
        <c:overlap val="100"/>
        <c:axId val="47471831"/>
        <c:axId val="93475192"/>
      </c:barChart>
      <c:catAx>
        <c:axId val="4747183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475192"/>
        <c:crosses val="autoZero"/>
        <c:auto val="1"/>
        <c:lblAlgn val="ctr"/>
        <c:lblOffset val="100"/>
        <c:noMultiLvlLbl val="0"/>
      </c:catAx>
      <c:valAx>
        <c:axId val="934751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Accounts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4718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Value and Margin by Allocation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"Quoted value"</c:f>
              <c:strCache>
                <c:ptCount val="1"/>
                <c:pt idx="0">
                  <c:v>Quoted value</c:v>
                </c:pt>
              </c:strCache>
            </c:strRef>
          </c:tx>
          <c:spPr>
            <a:solidFill>
              <a:srgbClr val="2e7d5b"/>
            </a:solidFill>
            <a:ln w="0">
              <a:solidFill>
                <a:srgbClr val="2e7d5b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'Coverage Dashboard'!$A$14:$A$17</c:f>
              <c:strCache>
                <c:ptCount val="4"/>
                <c:pt idx="0">
                  <c:v>Eligible</c:v>
                </c:pt>
                <c:pt idx="1">
                  <c:v>Limited</c:v>
                </c:pt>
                <c:pt idx="2">
                  <c:v>Temporary</c:v>
                </c:pt>
                <c:pt idx="3">
                  <c:v>Escalate</c:v>
                </c:pt>
              </c:strCache>
            </c:strRef>
          </c:cat>
          <c:val>
            <c:numRef>
              <c:f>'Coverage Dashboard'!$B$14:$B$17</c:f>
              <c:numCache>
                <c:formatCode>\$#,##0</c:formatCode>
                <c:ptCount val="4"/>
                <c:pt idx="0">
                  <c:v>483000</c:v>
                </c:pt>
                <c:pt idx="1">
                  <c:v>113000</c:v>
                </c:pt>
                <c:pt idx="2">
                  <c:v>707000</c:v>
                </c:pt>
                <c:pt idx="3">
                  <c:v>639000</c:v>
                </c:pt>
              </c:numCache>
            </c:numRef>
          </c:val>
        </c:ser>
        <c:gapWidth val="150"/>
        <c:overlap val="0"/>
        <c:axId val="17352869"/>
        <c:axId val="2712257"/>
      </c:barChart>
      <c:lineChart>
        <c:grouping val="standard"/>
        <c:varyColors val="0"/>
        <c:ser>
          <c:idx val="1"/>
          <c:order val="1"/>
          <c:tx>
            <c:strRef>
              <c:f>"Margin estimate"</c:f>
              <c:strCache>
                <c:ptCount val="1"/>
                <c:pt idx="0">
                  <c:v>Margin estimate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'Coverage Dashboard'!$A$14:$A$17</c:f>
              <c:strCache>
                <c:ptCount val="4"/>
                <c:pt idx="0">
                  <c:v>Eligible</c:v>
                </c:pt>
                <c:pt idx="1">
                  <c:v>Limited</c:v>
                </c:pt>
                <c:pt idx="2">
                  <c:v>Temporary</c:v>
                </c:pt>
                <c:pt idx="3">
                  <c:v>Escalate</c:v>
                </c:pt>
              </c:strCache>
            </c:strRef>
          </c:cat>
          <c:val>
            <c:numRef>
              <c:f>'Coverage Dashboard'!$C$14:$C$17</c:f>
              <c:numCache>
                <c:formatCode>\$#,##0</c:formatCode>
                <c:ptCount val="4"/>
                <c:pt idx="0">
                  <c:v>78260</c:v>
                </c:pt>
                <c:pt idx="1">
                  <c:v>15330</c:v>
                </c:pt>
                <c:pt idx="2">
                  <c:v>117960</c:v>
                </c:pt>
                <c:pt idx="3">
                  <c:v>128410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4370492"/>
        <c:axId val="33648240"/>
      </c:lineChart>
      <c:catAx>
        <c:axId val="1735286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12257"/>
        <c:crosses val="autoZero"/>
        <c:auto val="1"/>
        <c:lblAlgn val="ctr"/>
        <c:lblOffset val="100"/>
        <c:noMultiLvlLbl val="0"/>
      </c:catAx>
      <c:valAx>
        <c:axId val="27122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352869"/>
        <c:crosses val="autoZero"/>
        <c:crossBetween val="between"/>
      </c:valAx>
      <c:catAx>
        <c:axId val="94370492"/>
        <c:scaling>
          <c:orientation val="minMax"/>
        </c:scaling>
        <c:delete val="0"/>
        <c:axPos val="t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648240"/>
        <c:crosses val="autoZero"/>
        <c:auto val="1"/>
        <c:lblAlgn val="ctr"/>
        <c:lblOffset val="100"/>
        <c:noMultiLvlLbl val="0"/>
      </c:catAx>
      <c:valAx>
        <c:axId val="33648240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Margin 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3704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Deadline Pressure Before Approval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"Temporary or escalated"</c:f>
              <c:strCache>
                <c:ptCount val="1"/>
                <c:pt idx="0">
                  <c:v>Temporary or escalated</c:v>
                </c:pt>
              </c:strCache>
            </c:strRef>
          </c:tx>
          <c:spPr>
            <a:solidFill>
              <a:srgbClr val="d9822b"/>
            </a:solidFill>
            <a:ln w="28440">
              <a:solidFill>
                <a:srgbClr val="d9822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'Coverage Dashboard'!$A$22:$A$25</c:f>
              <c:strCache>
                <c:ptCount val="4"/>
                <c:pt idx="0">
                  <c:v>2026-07-17</c:v>
                </c:pt>
                <c:pt idx="1">
                  <c:v>2026-07-18</c:v>
                </c:pt>
                <c:pt idx="2">
                  <c:v>2026-07-19</c:v>
                </c:pt>
                <c:pt idx="3">
                  <c:v>2026-07-20</c:v>
                </c:pt>
              </c:strCache>
            </c:strRef>
          </c:cat>
          <c:val>
            <c:numRef>
              <c:f>'Coverage Dashboard'!$B$22:$B$25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6193464"/>
        <c:axId val="85054583"/>
      </c:lineChart>
      <c:catAx>
        <c:axId val="46193464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054583"/>
        <c:crosses val="autoZero"/>
        <c:auto val="1"/>
        <c:lblAlgn val="ctr"/>
        <c:lblOffset val="100"/>
        <c:noMultiLvlLbl val="0"/>
      </c:catAx>
      <c:valAx>
        <c:axId val="850545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Accounts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19346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Owner Load After Staged Handoffs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"Capacity limit"</c:f>
              <c:strCache>
                <c:ptCount val="1"/>
                <c:pt idx="0">
                  <c:v>Capacity limit</c:v>
                </c:pt>
              </c:strCache>
            </c:strRef>
          </c:tx>
          <c:spPr>
            <a:solidFill>
              <a:srgbClr val="6b5b95"/>
            </a:solidFill>
            <a:ln w="9360">
              <a:solidFill>
                <a:srgbClr val="6b5b95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'Owner Load'!$A$2:$A$5</c:f>
              <c:strCache>
                <c:ptCount val="4"/>
                <c:pt idx="0">
                  <c:v>SEN-801</c:v>
                </c:pt>
                <c:pt idx="1">
                  <c:v>SEN-802</c:v>
                </c:pt>
                <c:pt idx="2">
                  <c:v>SUP-410</c:v>
                </c:pt>
                <c:pt idx="3">
                  <c:v>SUP-412</c:v>
                </c:pt>
              </c:strCache>
            </c:strRef>
          </c:cat>
          <c:val>
            <c:numRef>
              <c:f>'Owner Load'!$C$2:$C$5</c:f>
              <c:numCache>
                <c:formatCode>0</c:formatCode>
                <c:ptCount val="4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</c:numCache>
            </c:numRef>
          </c:val>
        </c:ser>
        <c:ser>
          <c:idx val="1"/>
          <c:order val="1"/>
          <c:tx>
            <c:strRef>
              <c:f>"Planned accounts"</c:f>
              <c:strCache>
                <c:ptCount val="1"/>
                <c:pt idx="0">
                  <c:v>Planned accounts</c:v>
                </c:pt>
              </c:strCache>
            </c:strRef>
          </c:tx>
          <c:spPr>
            <a:solidFill>
              <a:srgbClr val="3a7d8c"/>
            </a:solidFill>
            <a:ln w="9360">
              <a:solidFill>
                <a:srgbClr val="3a7d8c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'Owner Load'!$A$2:$A$5</c:f>
              <c:strCache>
                <c:ptCount val="4"/>
                <c:pt idx="0">
                  <c:v>SEN-801</c:v>
                </c:pt>
                <c:pt idx="1">
                  <c:v>SEN-802</c:v>
                </c:pt>
                <c:pt idx="2">
                  <c:v>SUP-410</c:v>
                </c:pt>
                <c:pt idx="3">
                  <c:v>SUP-412</c:v>
                </c:pt>
              </c:strCache>
            </c:strRef>
          </c:cat>
          <c:val>
            <c:numRef>
              <c:f>'Owner Load'!$D$2:$D$5</c:f>
              <c:numCache>
                <c:formatCode>0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2</c:v>
                </c:pt>
              </c:numCache>
            </c:numRef>
          </c:val>
        </c:ser>
        <c:gapWidth val="150"/>
        <c:overlap val="0"/>
        <c:axId val="48771833"/>
        <c:axId val="53289506"/>
      </c:barChart>
      <c:catAx>
        <c:axId val="4877183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289506"/>
        <c:crosses val="autoZero"/>
        <c:auto val="1"/>
        <c:lblAlgn val="ctr"/>
        <c:lblOffset val="100"/>
        <c:noMultiLvlLbl val="0"/>
      </c:catAx>
      <c:valAx>
        <c:axId val="532895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Accounts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7718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Coverage Risk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"Average risk score"</c:f>
              <c:strCache>
                <c:ptCount val="1"/>
                <c:pt idx="0">
                  <c:v>Average risk score</c:v>
                </c:pt>
              </c:strCache>
            </c:strRef>
          </c:tx>
          <c:spPr>
            <a:solidFill>
              <a:srgbClr val="2e7d5b"/>
            </a:solidFill>
            <a:ln w="9360">
              <a:solidFill>
                <a:srgbClr val="2e7d5b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'Scenario Analysis'!$A$9:$A$12</c:f>
              <c:strCache>
                <c:ptCount val="4"/>
                <c:pt idx="0">
                  <c:v>Corporate</c:v>
                </c:pt>
                <c:pt idx="1">
                  <c:v>Affinity</c:v>
                </c:pt>
                <c:pt idx="2">
                  <c:v>Education</c:v>
                </c:pt>
                <c:pt idx="3">
                  <c:v>Meetings</c:v>
                </c:pt>
              </c:strCache>
            </c:strRef>
          </c:cat>
          <c:val>
            <c:numRef>
              <c:f>'Scenario Analysis'!$B$9:$B$12</c:f>
              <c:numCache>
                <c:formatCode>0.0</c:formatCode>
                <c:ptCount val="4"/>
                <c:pt idx="0">
                  <c:v>5.2</c:v>
                </c:pt>
                <c:pt idx="1">
                  <c:v>3.5</c:v>
                </c:pt>
                <c:pt idx="2">
                  <c:v>3.5</c:v>
                </c:pt>
                <c:pt idx="3">
                  <c:v>7.33333333333333</c:v>
                </c:pt>
              </c:numCache>
            </c:numRef>
          </c:val>
        </c:ser>
        <c:gapWidth val="150"/>
        <c:overlap val="0"/>
        <c:axId val="23937705"/>
        <c:axId val="38865679"/>
      </c:barChart>
      <c:catAx>
        <c:axId val="2393770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865679"/>
        <c:crosses val="autoZero"/>
        <c:auto val="1"/>
        <c:lblAlgn val="ctr"/>
        <c:lblOffset val="100"/>
        <c:noMultiLvlLbl val="0"/>
      </c:catAx>
      <c:valAx>
        <c:axId val="388656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Risk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9377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Scenario Comparison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"Accounts handed off"</c:f>
              <c:strCache>
                <c:ptCount val="1"/>
                <c:pt idx="0">
                  <c:v>Accounts handed off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'Scenario Analysis'!$A$2:$A$4</c:f>
              <c:strCache>
                <c:ptCount val="3"/>
                <c:pt idx="0">
                  <c:v>No handoff</c:v>
                </c:pt>
                <c:pt idx="1">
                  <c:v>Eligible-only handoff</c:v>
                </c:pt>
                <c:pt idx="2">
                  <c:v>Limited-exception handoff</c:v>
                </c:pt>
              </c:strCache>
            </c:strRef>
          </c:cat>
          <c:val>
            <c:numRef>
              <c:f>'Scenario Analysis'!$B$2:$B$4</c:f>
              <c:numCache>
                <c:formatCode>0</c:formatCode>
                <c:ptCount val="3"/>
                <c:pt idx="0">
                  <c:v>0</c:v>
                </c:pt>
                <c:pt idx="1">
                  <c:v>5</c:v>
                </c:pt>
                <c:pt idx="2">
                  <c:v>7</c:v>
                </c:pt>
              </c:numCache>
            </c:numRef>
          </c:val>
        </c:ser>
        <c:ser>
          <c:idx val="1"/>
          <c:order val="1"/>
          <c:tx>
            <c:strRef>
              <c:f>"Open escalations"</c:f>
              <c:strCache>
                <c:ptCount val="1"/>
                <c:pt idx="0">
                  <c:v>Open escalations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'Scenario Analysis'!$A$2:$A$4</c:f>
              <c:strCache>
                <c:ptCount val="3"/>
                <c:pt idx="0">
                  <c:v>No handoff</c:v>
                </c:pt>
                <c:pt idx="1">
                  <c:v>Eligible-only handoff</c:v>
                </c:pt>
                <c:pt idx="2">
                  <c:v>Limited-exception handoff</c:v>
                </c:pt>
              </c:strCache>
            </c:strRef>
          </c:cat>
          <c:val>
            <c:numRef>
              <c:f>'Scenario Analysis'!$C$2:$C$4</c:f>
              <c:numCache>
                <c:formatCode>0</c:formatCode>
                <c:ptCount val="3"/>
                <c:pt idx="0">
                  <c:v>3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</c:ser>
        <c:ser>
          <c:idx val="2"/>
          <c:order val="2"/>
          <c:tx>
            <c:strRef>
              <c:f>"Temporary coverage ($100K)"</c:f>
              <c:strCache>
                <c:ptCount val="1"/>
                <c:pt idx="0">
                  <c:v>Temporary coverage ($100K)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'Scenario Analysis'!$A$2:$A$4</c:f>
              <c:strCache>
                <c:ptCount val="3"/>
                <c:pt idx="0">
                  <c:v>No handoff</c:v>
                </c:pt>
                <c:pt idx="1">
                  <c:v>Eligible-only handoff</c:v>
                </c:pt>
                <c:pt idx="2">
                  <c:v>Limited-exception handoff</c:v>
                </c:pt>
              </c:strCache>
            </c:strRef>
          </c:cat>
          <c:val>
            <c:numRef>
              <c:f>'Scenario Analysis'!$E$2:$E$4</c:f>
              <c:numCache>
                <c:formatCode>0.0</c:formatCode>
                <c:ptCount val="3"/>
                <c:pt idx="0">
                  <c:v>19.42</c:v>
                </c:pt>
                <c:pt idx="1">
                  <c:v>14.59</c:v>
                </c:pt>
                <c:pt idx="2">
                  <c:v>13.46</c:v>
                </c:pt>
              </c:numCache>
            </c:numRef>
          </c:val>
        </c:ser>
        <c:gapWidth val="150"/>
        <c:overlap val="0"/>
        <c:axId val="14266829"/>
        <c:axId val="41335849"/>
      </c:barChart>
      <c:catAx>
        <c:axId val="142668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335849"/>
        <c:crosses val="autoZero"/>
        <c:auto val="1"/>
        <c:lblAlgn val="ctr"/>
        <c:lblOffset val="100"/>
        <c:noMultiLvlLbl val="0"/>
      </c:catAx>
      <c:valAx>
        <c:axId val="4133584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Accounts / $100K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2668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0</xdr:rowOff>
    </xdr:from>
    <xdr:to>
      <xdr:col>13</xdr:col>
      <xdr:colOff>218160</xdr:colOff>
      <xdr:row>16</xdr:row>
      <xdr:rowOff>42480</xdr:rowOff>
    </xdr:to>
    <xdr:graphicFrame>
      <xdr:nvGraphicFramePr>
        <xdr:cNvPr id="0" name="Chart 1"/>
        <xdr:cNvGraphicFramePr/>
      </xdr:nvGraphicFramePr>
      <xdr:xfrm>
        <a:off x="25395480" y="628560"/>
        <a:ext cx="4498920" cy="251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3</xdr:row>
      <xdr:rowOff>0</xdr:rowOff>
    </xdr:from>
    <xdr:to>
      <xdr:col>20</xdr:col>
      <xdr:colOff>218520</xdr:colOff>
      <xdr:row>16</xdr:row>
      <xdr:rowOff>42480</xdr:rowOff>
    </xdr:to>
    <xdr:graphicFrame>
      <xdr:nvGraphicFramePr>
        <xdr:cNvPr id="1" name="Chart 2"/>
        <xdr:cNvGraphicFramePr/>
      </xdr:nvGraphicFramePr>
      <xdr:xfrm>
        <a:off x="29676240" y="628560"/>
        <a:ext cx="4498920" cy="251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19</xdr:row>
      <xdr:rowOff>0</xdr:rowOff>
    </xdr:from>
    <xdr:to>
      <xdr:col>13</xdr:col>
      <xdr:colOff>218160</xdr:colOff>
      <xdr:row>32</xdr:row>
      <xdr:rowOff>42480</xdr:rowOff>
    </xdr:to>
    <xdr:graphicFrame>
      <xdr:nvGraphicFramePr>
        <xdr:cNvPr id="2" name="Chart 3"/>
        <xdr:cNvGraphicFramePr/>
      </xdr:nvGraphicFramePr>
      <xdr:xfrm>
        <a:off x="25395480" y="3676680"/>
        <a:ext cx="4498920" cy="251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0</xdr:colOff>
      <xdr:row>19</xdr:row>
      <xdr:rowOff>0</xdr:rowOff>
    </xdr:from>
    <xdr:to>
      <xdr:col>20</xdr:col>
      <xdr:colOff>218520</xdr:colOff>
      <xdr:row>32</xdr:row>
      <xdr:rowOff>42480</xdr:rowOff>
    </xdr:to>
    <xdr:graphicFrame>
      <xdr:nvGraphicFramePr>
        <xdr:cNvPr id="3" name="Chart 4"/>
        <xdr:cNvGraphicFramePr/>
      </xdr:nvGraphicFramePr>
      <xdr:xfrm>
        <a:off x="29676240" y="3676680"/>
        <a:ext cx="4498920" cy="251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19</xdr:row>
      <xdr:rowOff>0</xdr:rowOff>
    </xdr:from>
    <xdr:to>
      <xdr:col>13</xdr:col>
      <xdr:colOff>506880</xdr:colOff>
      <xdr:row>33</xdr:row>
      <xdr:rowOff>31680</xdr:rowOff>
    </xdr:to>
    <xdr:graphicFrame>
      <xdr:nvGraphicFramePr>
        <xdr:cNvPr id="4" name="Chart 1"/>
        <xdr:cNvGraphicFramePr/>
      </xdr:nvGraphicFramePr>
      <xdr:xfrm>
        <a:off x="13815000" y="3619440"/>
        <a:ext cx="5398920" cy="26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0</xdr:row>
      <xdr:rowOff>0</xdr:rowOff>
    </xdr:from>
    <xdr:to>
      <xdr:col>13</xdr:col>
      <xdr:colOff>506880</xdr:colOff>
      <xdr:row>14</xdr:row>
      <xdr:rowOff>32040</xdr:rowOff>
    </xdr:to>
    <xdr:graphicFrame>
      <xdr:nvGraphicFramePr>
        <xdr:cNvPr id="5" name="Chart 2"/>
        <xdr:cNvGraphicFramePr/>
      </xdr:nvGraphicFramePr>
      <xdr:xfrm>
        <a:off x="13815000" y="0"/>
        <a:ext cx="5398920" cy="26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ccount_Records" displayName="Account_Records" ref="A1:M17" headerRowCount="1" totalsRowCount="0" totalsRowShown="0">
  <autoFilter ref="A1:M17"/>
  <tableColumns count="13">
    <tableColumn id="1" name="Account_ID"/>
    <tableColumn id="2" name="Opportunity_ID"/>
    <tableColumn id="3" name="Account_Name"/>
    <tableColumn id="4" name="Segment"/>
    <tableColumn id="5" name="Territory_Code"/>
    <tableColumn id="6" name="Expected_Departure_Window"/>
    <tableColumn id="7" name="Quoted_Value"/>
    <tableColumn id="8" name="Margin_Estimate"/>
    <tableColumn id="9" name="Service_Deadline"/>
    <tableColumn id="10" name="Customer_Action_Due"/>
    <tableColumn id="11" name="Temporary_Owner_ID"/>
    <tableColumn id="12" name="Proposed_Rep_ID"/>
    <tableColumn id="13" name="Coverage_Risk_Band"/>
  </tableColumns>
</table>
</file>

<file path=xl/tables/table2.xml><?xml version="1.0" encoding="utf-8"?>
<table xmlns="http://schemas.openxmlformats.org/spreadsheetml/2006/main" id="2" name="Allocation_By_Segment" displayName="Allocation_By_Segment" ref="A5:E9" headerRowCount="1" totalsRowCount="0" totalsRowShown="0">
  <autoFilter ref="A5:E9"/>
  <tableColumns count="5">
    <tableColumn id="1" name="Segment"/>
    <tableColumn id="2" name="Eligible"/>
    <tableColumn id="3" name="Limited"/>
    <tableColumn id="4" name="Temporary"/>
    <tableColumn id="5" name="Escalate"/>
  </tableColumns>
</table>
</file>

<file path=xl/tables/table3.xml><?xml version="1.0" encoding="utf-8"?>
<table xmlns="http://schemas.openxmlformats.org/spreadsheetml/2006/main" id="3" name="Coverage_Assumptions" displayName="Coverage_Assumptions" ref="A1:C5" headerRowCount="1" totalsRowCount="0" totalsRowShown="0">
  <autoFilter ref="A1:C5"/>
  <tableColumns count="3">
    <tableColumn id="1" name="Assumption"/>
    <tableColumn id="2" name="Value"/>
    <tableColumn id="3" name="Note"/>
  </tableColumns>
</table>
</file>

<file path=xl/tables/table4.xml><?xml version="1.0" encoding="utf-8"?>
<table xmlns="http://schemas.openxmlformats.org/spreadsheetml/2006/main" id="4" name="Coverage_Checks" displayName="Coverage_Checks" ref="A1:C8" headerRowCount="1" totalsRowCount="0" totalsRowShown="0">
  <autoFilter ref="A1:C8"/>
  <tableColumns count="3">
    <tableColumn id="1" name="Check"/>
    <tableColumn id="2" name="Formula_Result"/>
    <tableColumn id="3" name="Expected"/>
  </tableColumns>
</table>
</file>

<file path=xl/tables/table5.xml><?xml version="1.0" encoding="utf-8"?>
<table xmlns="http://schemas.openxmlformats.org/spreadsheetml/2006/main" id="5" name="Coverage_Decisions" displayName="Coverage_Decisions" ref="A1:N17" headerRowCount="1" totalsRowCount="0" totalsRowShown="0">
  <autoFilter ref="A1:N17"/>
  <tableColumns count="14">
    <tableColumn id="1" name="Account_ID"/>
    <tableColumn id="2" name="Opportunity_ID"/>
    <tableColumn id="3" name="Segment"/>
    <tableColumn id="4" name="Temporary_Owner_ID"/>
    <tableColumn id="5" name="Proposed_Rep_ID"/>
    <tableColumn id="6" name="Coverage_Risk_Band"/>
    <tableColumn id="7" name="Service_Deadline"/>
    <tableColumn id="8" name="Quoted_Value"/>
    <tableColumn id="9" name="Margin_Estimate"/>
    <tableColumn id="10" name="Readiness_Status"/>
    <tableColumn id="11" name="Eligible_For_Handoff"/>
    <tableColumn id="12" name="Risk_Score"/>
    <tableColumn id="13" name="Allocation_Status"/>
    <tableColumn id="14" name="Next_Action"/>
  </tableColumns>
</table>
</file>

<file path=xl/tables/table6.xml><?xml version="1.0" encoding="utf-8"?>
<table xmlns="http://schemas.openxmlformats.org/spreadsheetml/2006/main" id="6" name="Coverage_Exceptions" displayName="Coverage_Exceptions" ref="A1:H10" headerRowCount="1" totalsRowCount="0" totalsRowShown="0">
  <autoFilter ref="A1:H10"/>
  <tableColumns count="8">
    <tableColumn id="1" name="Account_ID"/>
    <tableColumn id="2" name="Opportunity_ID"/>
    <tableColumn id="3" name="Proposed_Rep_ID"/>
    <tableColumn id="4" name="Allocation_Status"/>
    <tableColumn id="5" name="Current_Owner_ID"/>
    <tableColumn id="6" name="Service_Deadline"/>
    <tableColumn id="7" name="Customer_Action_Due"/>
    <tableColumn id="8" name="Next_Action"/>
  </tableColumns>
</table>
</file>

<file path=xl/tables/table7.xml><?xml version="1.0" encoding="utf-8"?>
<table xmlns="http://schemas.openxmlformats.org/spreadsheetml/2006/main" id="7" name="Coverage_Read_Me" displayName="Coverage_Read_Me" ref="A1:B4" headerRowCount="1" totalsRowCount="0" totalsRowShown="0">
  <autoFilter ref="A1:B4"/>
  <tableColumns count="2">
    <tableColumn id="1" name="Topic"/>
    <tableColumn id="2" name="Detail"/>
  </tableColumns>
</table>
</file>

<file path=xl/tables/table8.xml><?xml version="1.0" encoding="utf-8"?>
<table xmlns="http://schemas.openxmlformats.org/spreadsheetml/2006/main" id="8" name="Deadline_Pressure" displayName="Deadline_Pressure" ref="A21:B25" headerRowCount="1" totalsRowCount="0" totalsRowShown="0">
  <autoFilter ref="A21:B25"/>
  <tableColumns count="2">
    <tableColumn id="1" name="Service_Deadline"/>
    <tableColumn id="2" name="Temporary or escalated"/>
  </tableColumns>
</table>
</file>

<file path=xl/tables/table9.xml><?xml version="1.0" encoding="utf-8"?>
<table xmlns="http://schemas.openxmlformats.org/spreadsheetml/2006/main" id="9" name="Evidence_Rows" displayName="Evidence_Rows" ref="A1:C71" headerRowCount="1" totalsRowCount="0" totalsRowShown="0">
  <autoFilter ref="A1:C71"/>
  <tableColumns count="3">
    <tableColumn id="1" name="Rep_ID"/>
    <tableColumn id="2" name="Competency_ID"/>
    <tableColumn id="3" name="Evidence_Status"/>
  </tableColumns>
</table>
</file>

<file path=xl/tables/table10.xml><?xml version="1.0" encoding="utf-8"?>
<table xmlns="http://schemas.openxmlformats.org/spreadsheetml/2006/main" id="10" name="Owner_Load" displayName="Owner_Load" ref="A1:F5" headerRowCount="1" totalsRowCount="0" totalsRowShown="0">
  <autoFilter ref="A1:F5"/>
  <tableColumns count="6">
    <tableColumn id="1" name="Owner_ID"/>
    <tableColumn id="2" name="Owner_Name"/>
    <tableColumn id="3" name="Capacity limit"/>
    <tableColumn id="4" name="Planned accounts"/>
    <tableColumn id="5" name="Variance_To_Capacity"/>
    <tableColumn id="6" name="Capacity_Status"/>
  </tableColumns>
</table>
</file>

<file path=xl/tables/table11.xml><?xml version="1.0" encoding="utf-8"?>
<table xmlns="http://schemas.openxmlformats.org/spreadsheetml/2006/main" id="11" name="Readiness_Inputs" displayName="Readiness_Inputs" ref="A1:H11" headerRowCount="1" totalsRowCount="0" totalsRowShown="0">
  <autoFilter ref="A1:H11"/>
  <tableColumns count="8">
    <tableColumn id="1" name="Rep_ID"/>
    <tableColumn id="2" name="Representative_Name"/>
    <tableColumn id="3" name="Segment"/>
    <tableColumn id="4" name="Complete_Count"/>
    <tableColumn id="5" name="Approved_Exception_Count"/>
    <tableColumn id="6" name="Failed_Count"/>
    <tableColumn id="7" name="Open_or_Blocked_Count"/>
    <tableColumn id="8" name="Readiness_Status"/>
  </tableColumns>
</table>
</file>

<file path=xl/tables/table12.xml><?xml version="1.0" encoding="utf-8"?>
<table xmlns="http://schemas.openxmlformats.org/spreadsheetml/2006/main" id="12" name="Risk_By_Segment" displayName="Risk_By_Segment" ref="A8:B12" headerRowCount="1" totalsRowCount="0" totalsRowShown="0">
  <autoFilter ref="A8:B12"/>
  <tableColumns count="2">
    <tableColumn id="1" name="Segment"/>
    <tableColumn id="2" name="Average risk score"/>
  </tableColumns>
</table>
</file>

<file path=xl/tables/table13.xml><?xml version="1.0" encoding="utf-8"?>
<table xmlns="http://schemas.openxmlformats.org/spreadsheetml/2006/main" id="13" name="Scenario_Summary" displayName="Scenario_Summary" ref="A1:D4" headerRowCount="1" totalsRowCount="0" totalsRowShown="0">
  <autoFilter ref="A1:D4"/>
  <tableColumns count="4">
    <tableColumn id="1" name="Scenario_Name"/>
    <tableColumn id="2" name="Accounts handed off"/>
    <tableColumn id="3" name="Open escalations"/>
    <tableColumn id="4" name="Temporary coverage value"/>
  </tableColumns>
</table>
</file>

<file path=xl/tables/table14.xml><?xml version="1.0" encoding="utf-8"?>
<table xmlns="http://schemas.openxmlformats.org/spreadsheetml/2006/main" id="14" name="Value_At_Risk" displayName="Value_At_Risk" ref="A13:C17" headerRowCount="1" totalsRowCount="0" totalsRowShown="0">
  <autoFilter ref="A13:C17"/>
  <tableColumns count="3">
    <tableColumn id="1" name="Allocation_Label"/>
    <tableColumn id="2" name="Quoted value"/>
    <tableColumn id="3" name="Margin estima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2.xml"/><Relationship Id="rId3" Type="http://schemas.openxmlformats.org/officeDocument/2006/relationships/table" Target="../tables/table8.xml"/><Relationship Id="rId4" Type="http://schemas.openxmlformats.org/officeDocument/2006/relationships/table" Target="../tables/table14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2.xml"/><Relationship Id="rId3" Type="http://schemas.openxmlformats.org/officeDocument/2006/relationships/table" Target="../tables/table1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1" width="70.32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5" customFormat="false" ht="15" hidden="false" customHeight="true" outlineLevel="0" collapsed="false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</row>
    <row r="6" customFormat="false" ht="15" hidden="false" customHeight="true" outlineLevel="0" collapsed="false">
      <c r="A6" s="5" t="s">
        <v>7</v>
      </c>
      <c r="B6" s="5" t="n">
        <f aca="false">COUNTIFS('Coverage Decisions'!$C$2:$C$17,A6,'Coverage Decisions'!$M$2:$M$17,"Staged eligible handoff - pending approval")</f>
        <v>2</v>
      </c>
      <c r="C6" s="5" t="n">
        <f aca="false">COUNTIFS('Coverage Decisions'!$C$2:$C$17,A6,'Coverage Decisions'!$M$2:$M$17,"Staged limited supervised - exception approved")</f>
        <v>0</v>
      </c>
      <c r="D6" s="5" t="n">
        <f aca="false">COUNTIFS('Coverage Decisions'!$C$2:$C$17,A6,'Coverage Decisions'!$M$2:$M$17,"Remain temporary coverage")</f>
        <v>3</v>
      </c>
      <c r="E6" s="5" t="n">
        <f aca="false">COUNTIFS('Coverage Decisions'!$C$2:$C$17,A6,'Coverage Decisions'!$M$2:$M$17,"Escalate to supervisor")</f>
        <v>0</v>
      </c>
    </row>
    <row r="7" customFormat="false" ht="15" hidden="false" customHeight="true" outlineLevel="0" collapsed="false">
      <c r="A7" s="6" t="s">
        <v>8</v>
      </c>
      <c r="B7" s="6" t="n">
        <f aca="false">COUNTIFS('Coverage Decisions'!$C$2:$C$17,A7,'Coverage Decisions'!$M$2:$M$17,"Staged eligible handoff - pending approval")</f>
        <v>1</v>
      </c>
      <c r="C7" s="6" t="n">
        <f aca="false">COUNTIFS('Coverage Decisions'!$C$2:$C$17,A7,'Coverage Decisions'!$M$2:$M$17,"Staged limited supervised - exception approved")</f>
        <v>2</v>
      </c>
      <c r="D7" s="6" t="n">
        <f aca="false">COUNTIFS('Coverage Decisions'!$C$2:$C$17,A7,'Coverage Decisions'!$M$2:$M$17,"Remain temporary coverage")</f>
        <v>1</v>
      </c>
      <c r="E7" s="6" t="n">
        <f aca="false">COUNTIFS('Coverage Decisions'!$C$2:$C$17,A7,'Coverage Decisions'!$M$2:$M$17,"Escalate to supervisor")</f>
        <v>0</v>
      </c>
    </row>
    <row r="8" customFormat="false" ht="15" hidden="false" customHeight="true" outlineLevel="0" collapsed="false">
      <c r="A8" s="5" t="s">
        <v>9</v>
      </c>
      <c r="B8" s="5" t="n">
        <f aca="false">COUNTIFS('Coverage Decisions'!$C$2:$C$17,A8,'Coverage Decisions'!$M$2:$M$17,"Staged eligible handoff - pending approval")</f>
        <v>2</v>
      </c>
      <c r="C8" s="5" t="n">
        <f aca="false">COUNTIFS('Coverage Decisions'!$C$2:$C$17,A8,'Coverage Decisions'!$M$2:$M$17,"Staged limited supervised - exception approved")</f>
        <v>0</v>
      </c>
      <c r="D8" s="5" t="n">
        <f aca="false">COUNTIFS('Coverage Decisions'!$C$2:$C$17,A8,'Coverage Decisions'!$M$2:$M$17,"Remain temporary coverage")</f>
        <v>2</v>
      </c>
      <c r="E8" s="5" t="n">
        <f aca="false">COUNTIFS('Coverage Decisions'!$C$2:$C$17,A8,'Coverage Decisions'!$M$2:$M$17,"Escalate to supervisor")</f>
        <v>0</v>
      </c>
    </row>
    <row r="9" customFormat="false" ht="15" hidden="false" customHeight="true" outlineLevel="0" collapsed="false">
      <c r="A9" s="6" t="s">
        <v>10</v>
      </c>
      <c r="B9" s="6" t="n">
        <f aca="false">COUNTIFS('Coverage Decisions'!$C$2:$C$17,A9,'Coverage Decisions'!$M$2:$M$17,"Staged eligible handoff - pending approval")</f>
        <v>0</v>
      </c>
      <c r="C9" s="6" t="n">
        <f aca="false">COUNTIFS('Coverage Decisions'!$C$2:$C$17,A9,'Coverage Decisions'!$M$2:$M$17,"Staged limited supervised - exception approved")</f>
        <v>0</v>
      </c>
      <c r="D9" s="6" t="n">
        <f aca="false">COUNTIFS('Coverage Decisions'!$C$2:$C$17,A9,'Coverage Decisions'!$M$2:$M$17,"Remain temporary coverage")</f>
        <v>0</v>
      </c>
      <c r="E9" s="6" t="n">
        <f aca="false">COUNTIFS('Coverage Decisions'!$C$2:$C$17,A9,'Coverage Decisions'!$M$2:$M$17,"Escalate to supervisor")</f>
        <v>3</v>
      </c>
    </row>
    <row r="13" customFormat="false" ht="15" hidden="false" customHeight="true" outlineLevel="0" collapsed="false">
      <c r="A13" s="4" t="s">
        <v>11</v>
      </c>
      <c r="B13" s="4" t="s">
        <v>12</v>
      </c>
      <c r="C13" s="4" t="s">
        <v>13</v>
      </c>
    </row>
    <row r="14" customFormat="false" ht="15" hidden="false" customHeight="true" outlineLevel="0" collapsed="false">
      <c r="A14" s="5" t="s">
        <v>3</v>
      </c>
      <c r="B14" s="7" t="n">
        <f aca="false">SUMIF('Coverage Decisions'!M2:M17,"Staged eligible handoff - pending approval",'Coverage Decisions'!H2:H17)</f>
        <v>483000</v>
      </c>
      <c r="C14" s="7" t="n">
        <f aca="false">SUMIF('Coverage Decisions'!M2:M17,"Staged eligible handoff - pending approval",'Coverage Decisions'!I2:I17)</f>
        <v>78260</v>
      </c>
    </row>
    <row r="15" customFormat="false" ht="15" hidden="false" customHeight="true" outlineLevel="0" collapsed="false">
      <c r="A15" s="6" t="s">
        <v>4</v>
      </c>
      <c r="B15" s="8" t="n">
        <f aca="false">SUMIF('Coverage Decisions'!M2:M17,"Staged limited supervised - exception approved",'Coverage Decisions'!H2:H17)</f>
        <v>113000</v>
      </c>
      <c r="C15" s="8" t="n">
        <f aca="false">SUMIF('Coverage Decisions'!M2:M17,"Staged limited supervised - exception approved",'Coverage Decisions'!I2:I17)</f>
        <v>15330</v>
      </c>
    </row>
    <row r="16" customFormat="false" ht="15" hidden="false" customHeight="true" outlineLevel="0" collapsed="false">
      <c r="A16" s="5" t="s">
        <v>5</v>
      </c>
      <c r="B16" s="7" t="n">
        <f aca="false">SUMIF('Coverage Decisions'!M2:M17,"Remain temporary coverage",'Coverage Decisions'!H2:H17)</f>
        <v>707000</v>
      </c>
      <c r="C16" s="7" t="n">
        <f aca="false">SUMIF('Coverage Decisions'!M2:M17,"Remain temporary coverage",'Coverage Decisions'!I2:I17)</f>
        <v>117960</v>
      </c>
    </row>
    <row r="17" customFormat="false" ht="15" hidden="false" customHeight="true" outlineLevel="0" collapsed="false">
      <c r="A17" s="6" t="s">
        <v>6</v>
      </c>
      <c r="B17" s="8" t="n">
        <f aca="false">SUMIF('Coverage Decisions'!M2:M17,"Escalate to supervisor",'Coverage Decisions'!H2:H17)</f>
        <v>639000</v>
      </c>
      <c r="C17" s="8" t="n">
        <f aca="false">SUMIF('Coverage Decisions'!M2:M17,"Escalate to supervisor",'Coverage Decisions'!I2:I17)</f>
        <v>128410</v>
      </c>
    </row>
    <row r="21" customFormat="false" ht="15" hidden="false" customHeight="true" outlineLevel="0" collapsed="false">
      <c r="A21" s="4" t="s">
        <v>14</v>
      </c>
      <c r="B21" s="4" t="s">
        <v>15</v>
      </c>
    </row>
    <row r="22" customFormat="false" ht="15" hidden="false" customHeight="true" outlineLevel="0" collapsed="false">
      <c r="A22" s="9" t="n">
        <v>46220</v>
      </c>
      <c r="B22" s="5" t="n">
        <f aca="false">COUNTIFS('Coverage Decisions'!$G$2:$G$17,A22,'Coverage Decisions'!$M$2:$M$17,"Remain temporary coverage")+COUNTIFS('Coverage Decisions'!$G$2:$G$17,A22,'Coverage Decisions'!$M$2:$M$17,"Escalate to supervisor")</f>
        <v>2</v>
      </c>
    </row>
    <row r="23" customFormat="false" ht="15" hidden="false" customHeight="true" outlineLevel="0" collapsed="false">
      <c r="A23" s="10" t="n">
        <v>46221</v>
      </c>
      <c r="B23" s="6" t="n">
        <f aca="false">COUNTIFS('Coverage Decisions'!$G$2:$G$17,A23,'Coverage Decisions'!$M$2:$M$17,"Remain temporary coverage")+COUNTIFS('Coverage Decisions'!$G$2:$G$17,A23,'Coverage Decisions'!$M$2:$M$17,"Escalate to supervisor")</f>
        <v>3</v>
      </c>
    </row>
    <row r="24" customFormat="false" ht="15" hidden="false" customHeight="true" outlineLevel="0" collapsed="false">
      <c r="A24" s="9" t="n">
        <v>46222</v>
      </c>
      <c r="B24" s="5" t="n">
        <f aca="false">COUNTIFS('Coverage Decisions'!$G$2:$G$17,A24,'Coverage Decisions'!$M$2:$M$17,"Remain temporary coverage")+COUNTIFS('Coverage Decisions'!$G$2:$G$17,A24,'Coverage Decisions'!$M$2:$M$17,"Escalate to supervisor")</f>
        <v>2</v>
      </c>
    </row>
    <row r="25" customFormat="false" ht="15" hidden="false" customHeight="true" outlineLevel="0" collapsed="false">
      <c r="A25" s="10" t="n">
        <v>46223</v>
      </c>
      <c r="B25" s="6" t="n">
        <f aca="false">COUNTIFS('Coverage Decisions'!$G$2:$G$17,A25,'Coverage Decisions'!$M$2:$M$17,"Remain temporary coverage")+COUNTIFS('Coverage Decisions'!$G$2:$G$17,A25,'Coverage Decisions'!$M$2:$M$17,"Escalate to supervisor")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7.68"/>
    <col collapsed="false" customWidth="true" hidden="false" outlineLevel="0" max="2" min="2" style="1" width="90.48"/>
  </cols>
  <sheetData>
    <row r="1" customFormat="false" ht="15" hidden="false" customHeight="true" outlineLevel="0" collapsed="false">
      <c r="A1" s="4" t="s">
        <v>16</v>
      </c>
      <c r="B1" s="4" t="s">
        <v>17</v>
      </c>
    </row>
    <row r="2" customFormat="false" ht="15" hidden="false" customHeight="true" outlineLevel="0" collapsed="false">
      <c r="A2" s="5" t="s">
        <v>18</v>
      </c>
      <c r="B2" s="5" t="s">
        <v>19</v>
      </c>
    </row>
    <row r="3" customFormat="false" ht="15" hidden="false" customHeight="true" outlineLevel="0" collapsed="false">
      <c r="A3" s="6" t="s">
        <v>20</v>
      </c>
      <c r="B3" s="6" t="s">
        <v>21</v>
      </c>
    </row>
    <row r="4" customFormat="false" ht="15" hidden="false" customHeight="true" outlineLevel="0" collapsed="false">
      <c r="A4" s="5" t="s">
        <v>22</v>
      </c>
      <c r="B4" s="5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1.11"/>
    <col collapsed="false" customWidth="true" hidden="false" outlineLevel="0" max="2" min="2" style="1" width="27.76"/>
    <col collapsed="false" customWidth="true" hidden="false" outlineLevel="0" max="3" min="3" style="1" width="59.12"/>
  </cols>
  <sheetData>
    <row r="1" customFormat="false" ht="15" hidden="false" customHeight="true" outlineLevel="0" collapsed="false">
      <c r="A1" s="4" t="s">
        <v>24</v>
      </c>
      <c r="B1" s="4" t="s">
        <v>25</v>
      </c>
      <c r="C1" s="4" t="s">
        <v>26</v>
      </c>
    </row>
    <row r="2" customFormat="false" ht="15" hidden="false" customHeight="true" outlineLevel="0" collapsed="false">
      <c r="A2" s="5" t="s">
        <v>27</v>
      </c>
      <c r="B2" s="9" t="n">
        <v>46220</v>
      </c>
      <c r="C2" s="5" t="s">
        <v>28</v>
      </c>
    </row>
    <row r="3" customFormat="false" ht="15" hidden="false" customHeight="true" outlineLevel="0" collapsed="false">
      <c r="A3" s="6" t="s">
        <v>29</v>
      </c>
      <c r="B3" s="8" t="n">
        <v>150000</v>
      </c>
      <c r="C3" s="6" t="s">
        <v>30</v>
      </c>
    </row>
    <row r="4" customFormat="false" ht="15" hidden="false" customHeight="true" outlineLevel="0" collapsed="false">
      <c r="A4" s="5" t="s">
        <v>31</v>
      </c>
      <c r="B4" s="5" t="s">
        <v>32</v>
      </c>
      <c r="C4" s="5" t="s">
        <v>33</v>
      </c>
    </row>
    <row r="5" customFormat="false" ht="15" hidden="false" customHeight="true" outlineLevel="0" collapsed="false">
      <c r="A5" s="6" t="s">
        <v>34</v>
      </c>
      <c r="B5" s="6" t="s">
        <v>35</v>
      </c>
      <c r="C5" s="6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.97"/>
    <col collapsed="false" customWidth="true" hidden="false" outlineLevel="0" max="2" min="2" style="1" width="16.56"/>
    <col collapsed="false" customWidth="true" hidden="false" outlineLevel="0" max="3" min="3" style="1" width="22.16"/>
  </cols>
  <sheetData>
    <row r="1" customFormat="false" ht="15" hidden="false" customHeight="true" outlineLevel="0" collapsed="false">
      <c r="A1" s="4" t="s">
        <v>37</v>
      </c>
      <c r="B1" s="4" t="s">
        <v>38</v>
      </c>
      <c r="C1" s="4" t="s">
        <v>39</v>
      </c>
    </row>
    <row r="2" customFormat="false" ht="15" hidden="false" customHeight="true" outlineLevel="0" collapsed="false">
      <c r="A2" s="5" t="s">
        <v>40</v>
      </c>
      <c r="B2" s="5" t="s">
        <v>41</v>
      </c>
      <c r="C2" s="5" t="s">
        <v>42</v>
      </c>
    </row>
    <row r="3" customFormat="false" ht="15" hidden="false" customHeight="true" outlineLevel="0" collapsed="false">
      <c r="A3" s="6" t="s">
        <v>40</v>
      </c>
      <c r="B3" s="6" t="s">
        <v>43</v>
      </c>
      <c r="C3" s="6" t="s">
        <v>42</v>
      </c>
    </row>
    <row r="4" customFormat="false" ht="15" hidden="false" customHeight="true" outlineLevel="0" collapsed="false">
      <c r="A4" s="5" t="s">
        <v>40</v>
      </c>
      <c r="B4" s="5" t="s">
        <v>44</v>
      </c>
      <c r="C4" s="5" t="s">
        <v>42</v>
      </c>
    </row>
    <row r="5" customFormat="false" ht="15" hidden="false" customHeight="true" outlineLevel="0" collapsed="false">
      <c r="A5" s="6" t="s">
        <v>40</v>
      </c>
      <c r="B5" s="6" t="s">
        <v>45</v>
      </c>
      <c r="C5" s="6" t="s">
        <v>42</v>
      </c>
    </row>
    <row r="6" customFormat="false" ht="15" hidden="false" customHeight="true" outlineLevel="0" collapsed="false">
      <c r="A6" s="5" t="s">
        <v>40</v>
      </c>
      <c r="B6" s="5" t="s">
        <v>46</v>
      </c>
      <c r="C6" s="5" t="s">
        <v>42</v>
      </c>
    </row>
    <row r="7" customFormat="false" ht="15" hidden="false" customHeight="true" outlineLevel="0" collapsed="false">
      <c r="A7" s="6" t="s">
        <v>40</v>
      </c>
      <c r="B7" s="6" t="s">
        <v>47</v>
      </c>
      <c r="C7" s="6" t="s">
        <v>42</v>
      </c>
    </row>
    <row r="8" customFormat="false" ht="15" hidden="false" customHeight="true" outlineLevel="0" collapsed="false">
      <c r="A8" s="5" t="s">
        <v>40</v>
      </c>
      <c r="B8" s="5" t="s">
        <v>48</v>
      </c>
      <c r="C8" s="5" t="s">
        <v>42</v>
      </c>
    </row>
    <row r="9" customFormat="false" ht="15" hidden="false" customHeight="true" outlineLevel="0" collapsed="false">
      <c r="A9" s="6" t="s">
        <v>49</v>
      </c>
      <c r="B9" s="6" t="s">
        <v>41</v>
      </c>
      <c r="C9" s="6" t="s">
        <v>42</v>
      </c>
    </row>
    <row r="10" customFormat="false" ht="15" hidden="false" customHeight="true" outlineLevel="0" collapsed="false">
      <c r="A10" s="5" t="s">
        <v>49</v>
      </c>
      <c r="B10" s="5" t="s">
        <v>43</v>
      </c>
      <c r="C10" s="5" t="s">
        <v>42</v>
      </c>
    </row>
    <row r="11" customFormat="false" ht="15" hidden="false" customHeight="true" outlineLevel="0" collapsed="false">
      <c r="A11" s="6" t="s">
        <v>49</v>
      </c>
      <c r="B11" s="6" t="s">
        <v>44</v>
      </c>
      <c r="C11" s="6" t="s">
        <v>42</v>
      </c>
    </row>
    <row r="12" customFormat="false" ht="15" hidden="false" customHeight="true" outlineLevel="0" collapsed="false">
      <c r="A12" s="5" t="s">
        <v>49</v>
      </c>
      <c r="B12" s="5" t="s">
        <v>45</v>
      </c>
      <c r="C12" s="5" t="s">
        <v>42</v>
      </c>
    </row>
    <row r="13" customFormat="false" ht="15" hidden="false" customHeight="true" outlineLevel="0" collapsed="false">
      <c r="A13" s="6" t="s">
        <v>49</v>
      </c>
      <c r="B13" s="6" t="s">
        <v>46</v>
      </c>
      <c r="C13" s="6" t="s">
        <v>42</v>
      </c>
    </row>
    <row r="14" customFormat="false" ht="15" hidden="false" customHeight="true" outlineLevel="0" collapsed="false">
      <c r="A14" s="5" t="s">
        <v>49</v>
      </c>
      <c r="B14" s="5" t="s">
        <v>47</v>
      </c>
      <c r="C14" s="5" t="s">
        <v>42</v>
      </c>
    </row>
    <row r="15" customFormat="false" ht="15" hidden="false" customHeight="true" outlineLevel="0" collapsed="false">
      <c r="A15" s="6" t="s">
        <v>49</v>
      </c>
      <c r="B15" s="6" t="s">
        <v>48</v>
      </c>
      <c r="C15" s="6" t="s">
        <v>50</v>
      </c>
    </row>
    <row r="16" customFormat="false" ht="15" hidden="false" customHeight="true" outlineLevel="0" collapsed="false">
      <c r="A16" s="5" t="s">
        <v>51</v>
      </c>
      <c r="B16" s="5" t="s">
        <v>41</v>
      </c>
      <c r="C16" s="5" t="s">
        <v>42</v>
      </c>
    </row>
    <row r="17" customFormat="false" ht="15" hidden="false" customHeight="true" outlineLevel="0" collapsed="false">
      <c r="A17" s="6" t="s">
        <v>51</v>
      </c>
      <c r="B17" s="6" t="s">
        <v>43</v>
      </c>
      <c r="C17" s="6" t="s">
        <v>42</v>
      </c>
    </row>
    <row r="18" customFormat="false" ht="15" hidden="false" customHeight="true" outlineLevel="0" collapsed="false">
      <c r="A18" s="5" t="s">
        <v>51</v>
      </c>
      <c r="B18" s="5" t="s">
        <v>44</v>
      </c>
      <c r="C18" s="5" t="s">
        <v>52</v>
      </c>
    </row>
    <row r="19" customFormat="false" ht="15" hidden="false" customHeight="true" outlineLevel="0" collapsed="false">
      <c r="A19" s="6" t="s">
        <v>51</v>
      </c>
      <c r="B19" s="6" t="s">
        <v>45</v>
      </c>
      <c r="C19" s="6" t="s">
        <v>42</v>
      </c>
    </row>
    <row r="20" customFormat="false" ht="15" hidden="false" customHeight="true" outlineLevel="0" collapsed="false">
      <c r="A20" s="5" t="s">
        <v>51</v>
      </c>
      <c r="B20" s="5" t="s">
        <v>46</v>
      </c>
      <c r="C20" s="5" t="s">
        <v>42</v>
      </c>
    </row>
    <row r="21" customFormat="false" ht="15" hidden="false" customHeight="true" outlineLevel="0" collapsed="false">
      <c r="A21" s="6" t="s">
        <v>51</v>
      </c>
      <c r="B21" s="6" t="s">
        <v>47</v>
      </c>
      <c r="C21" s="6" t="s">
        <v>42</v>
      </c>
    </row>
    <row r="22" customFormat="false" ht="15" hidden="false" customHeight="true" outlineLevel="0" collapsed="false">
      <c r="A22" s="5" t="s">
        <v>51</v>
      </c>
      <c r="B22" s="5" t="s">
        <v>48</v>
      </c>
      <c r="C22" s="5" t="s">
        <v>53</v>
      </c>
    </row>
    <row r="23" customFormat="false" ht="15" hidden="false" customHeight="true" outlineLevel="0" collapsed="false">
      <c r="A23" s="6" t="s">
        <v>54</v>
      </c>
      <c r="B23" s="6" t="s">
        <v>41</v>
      </c>
      <c r="C23" s="6" t="s">
        <v>42</v>
      </c>
    </row>
    <row r="24" customFormat="false" ht="15" hidden="false" customHeight="true" outlineLevel="0" collapsed="false">
      <c r="A24" s="5" t="s">
        <v>54</v>
      </c>
      <c r="B24" s="5" t="s">
        <v>43</v>
      </c>
      <c r="C24" s="5" t="s">
        <v>42</v>
      </c>
    </row>
    <row r="25" customFormat="false" ht="15" hidden="false" customHeight="true" outlineLevel="0" collapsed="false">
      <c r="A25" s="6" t="s">
        <v>54</v>
      </c>
      <c r="B25" s="6" t="s">
        <v>44</v>
      </c>
      <c r="C25" s="6" t="s">
        <v>42</v>
      </c>
    </row>
    <row r="26" customFormat="false" ht="15" hidden="false" customHeight="true" outlineLevel="0" collapsed="false">
      <c r="A26" s="5" t="s">
        <v>54</v>
      </c>
      <c r="B26" s="5" t="s">
        <v>45</v>
      </c>
      <c r="C26" s="5" t="s">
        <v>55</v>
      </c>
    </row>
    <row r="27" customFormat="false" ht="15" hidden="false" customHeight="true" outlineLevel="0" collapsed="false">
      <c r="A27" s="6" t="s">
        <v>54</v>
      </c>
      <c r="B27" s="6" t="s">
        <v>46</v>
      </c>
      <c r="C27" s="6" t="s">
        <v>42</v>
      </c>
    </row>
    <row r="28" customFormat="false" ht="15" hidden="false" customHeight="true" outlineLevel="0" collapsed="false">
      <c r="A28" s="5" t="s">
        <v>54</v>
      </c>
      <c r="B28" s="5" t="s">
        <v>47</v>
      </c>
      <c r="C28" s="5" t="s">
        <v>53</v>
      </c>
    </row>
    <row r="29" customFormat="false" ht="15" hidden="false" customHeight="true" outlineLevel="0" collapsed="false">
      <c r="A29" s="6" t="s">
        <v>54</v>
      </c>
      <c r="B29" s="6" t="s">
        <v>48</v>
      </c>
      <c r="C29" s="6" t="s">
        <v>53</v>
      </c>
    </row>
    <row r="30" customFormat="false" ht="15" hidden="false" customHeight="true" outlineLevel="0" collapsed="false">
      <c r="A30" s="5" t="s">
        <v>56</v>
      </c>
      <c r="B30" s="5" t="s">
        <v>41</v>
      </c>
      <c r="C30" s="5" t="s">
        <v>42</v>
      </c>
    </row>
    <row r="31" customFormat="false" ht="15" hidden="false" customHeight="true" outlineLevel="0" collapsed="false">
      <c r="A31" s="6" t="s">
        <v>56</v>
      </c>
      <c r="B31" s="6" t="s">
        <v>43</v>
      </c>
      <c r="C31" s="6" t="s">
        <v>42</v>
      </c>
    </row>
    <row r="32" customFormat="false" ht="15" hidden="false" customHeight="true" outlineLevel="0" collapsed="false">
      <c r="A32" s="5" t="s">
        <v>56</v>
      </c>
      <c r="B32" s="5" t="s">
        <v>44</v>
      </c>
      <c r="C32" s="5" t="s">
        <v>42</v>
      </c>
    </row>
    <row r="33" customFormat="false" ht="15" hidden="false" customHeight="true" outlineLevel="0" collapsed="false">
      <c r="A33" s="6" t="s">
        <v>56</v>
      </c>
      <c r="B33" s="6" t="s">
        <v>45</v>
      </c>
      <c r="C33" s="6" t="s">
        <v>42</v>
      </c>
    </row>
    <row r="34" customFormat="false" ht="15" hidden="false" customHeight="true" outlineLevel="0" collapsed="false">
      <c r="A34" s="5" t="s">
        <v>56</v>
      </c>
      <c r="B34" s="5" t="s">
        <v>46</v>
      </c>
      <c r="C34" s="5" t="s">
        <v>52</v>
      </c>
    </row>
    <row r="35" customFormat="false" ht="15" hidden="false" customHeight="true" outlineLevel="0" collapsed="false">
      <c r="A35" s="6" t="s">
        <v>56</v>
      </c>
      <c r="B35" s="6" t="s">
        <v>47</v>
      </c>
      <c r="C35" s="6" t="s">
        <v>42</v>
      </c>
    </row>
    <row r="36" customFormat="false" ht="15" hidden="false" customHeight="true" outlineLevel="0" collapsed="false">
      <c r="A36" s="5" t="s">
        <v>56</v>
      </c>
      <c r="B36" s="5" t="s">
        <v>48</v>
      </c>
      <c r="C36" s="5" t="s">
        <v>42</v>
      </c>
    </row>
    <row r="37" customFormat="false" ht="15" hidden="false" customHeight="true" outlineLevel="0" collapsed="false">
      <c r="A37" s="6" t="s">
        <v>57</v>
      </c>
      <c r="B37" s="6" t="s">
        <v>41</v>
      </c>
      <c r="C37" s="6" t="s">
        <v>42</v>
      </c>
    </row>
    <row r="38" customFormat="false" ht="15" hidden="false" customHeight="true" outlineLevel="0" collapsed="false">
      <c r="A38" s="5" t="s">
        <v>57</v>
      </c>
      <c r="B38" s="5" t="s">
        <v>43</v>
      </c>
      <c r="C38" s="5" t="s">
        <v>42</v>
      </c>
    </row>
    <row r="39" customFormat="false" ht="15" hidden="false" customHeight="true" outlineLevel="0" collapsed="false">
      <c r="A39" s="6" t="s">
        <v>57</v>
      </c>
      <c r="B39" s="6" t="s">
        <v>44</v>
      </c>
      <c r="C39" s="6" t="s">
        <v>42</v>
      </c>
    </row>
    <row r="40" customFormat="false" ht="15" hidden="false" customHeight="true" outlineLevel="0" collapsed="false">
      <c r="A40" s="5" t="s">
        <v>57</v>
      </c>
      <c r="B40" s="5" t="s">
        <v>45</v>
      </c>
      <c r="C40" s="5" t="s">
        <v>42</v>
      </c>
    </row>
    <row r="41" customFormat="false" ht="15" hidden="false" customHeight="true" outlineLevel="0" collapsed="false">
      <c r="A41" s="6" t="s">
        <v>57</v>
      </c>
      <c r="B41" s="6" t="s">
        <v>46</v>
      </c>
      <c r="C41" s="6" t="s">
        <v>42</v>
      </c>
    </row>
    <row r="42" customFormat="false" ht="15" hidden="false" customHeight="true" outlineLevel="0" collapsed="false">
      <c r="A42" s="5" t="s">
        <v>57</v>
      </c>
      <c r="B42" s="5" t="s">
        <v>47</v>
      </c>
      <c r="C42" s="5" t="s">
        <v>42</v>
      </c>
    </row>
    <row r="43" customFormat="false" ht="15" hidden="false" customHeight="true" outlineLevel="0" collapsed="false">
      <c r="A43" s="6" t="s">
        <v>57</v>
      </c>
      <c r="B43" s="6" t="s">
        <v>48</v>
      </c>
      <c r="C43" s="6" t="s">
        <v>53</v>
      </c>
    </row>
    <row r="44" customFormat="false" ht="15" hidden="false" customHeight="true" outlineLevel="0" collapsed="false">
      <c r="A44" s="5" t="s">
        <v>58</v>
      </c>
      <c r="B44" s="5" t="s">
        <v>41</v>
      </c>
      <c r="C44" s="5" t="s">
        <v>42</v>
      </c>
    </row>
    <row r="45" customFormat="false" ht="15" hidden="false" customHeight="true" outlineLevel="0" collapsed="false">
      <c r="A45" s="6" t="s">
        <v>58</v>
      </c>
      <c r="B45" s="6" t="s">
        <v>43</v>
      </c>
      <c r="C45" s="6" t="s">
        <v>42</v>
      </c>
    </row>
    <row r="46" customFormat="false" ht="15" hidden="false" customHeight="true" outlineLevel="0" collapsed="false">
      <c r="A46" s="5" t="s">
        <v>58</v>
      </c>
      <c r="B46" s="5" t="s">
        <v>44</v>
      </c>
      <c r="C46" s="5" t="s">
        <v>42</v>
      </c>
    </row>
    <row r="47" customFormat="false" ht="15" hidden="false" customHeight="true" outlineLevel="0" collapsed="false">
      <c r="A47" s="6" t="s">
        <v>58</v>
      </c>
      <c r="B47" s="6" t="s">
        <v>45</v>
      </c>
      <c r="C47" s="6" t="s">
        <v>42</v>
      </c>
    </row>
    <row r="48" customFormat="false" ht="15" hidden="false" customHeight="true" outlineLevel="0" collapsed="false">
      <c r="A48" s="5" t="s">
        <v>58</v>
      </c>
      <c r="B48" s="5" t="s">
        <v>46</v>
      </c>
      <c r="C48" s="5" t="s">
        <v>42</v>
      </c>
    </row>
    <row r="49" customFormat="false" ht="15" hidden="false" customHeight="true" outlineLevel="0" collapsed="false">
      <c r="A49" s="6" t="s">
        <v>58</v>
      </c>
      <c r="B49" s="6" t="s">
        <v>47</v>
      </c>
      <c r="C49" s="6" t="s">
        <v>42</v>
      </c>
    </row>
    <row r="50" customFormat="false" ht="15" hidden="false" customHeight="true" outlineLevel="0" collapsed="false">
      <c r="A50" s="5" t="s">
        <v>58</v>
      </c>
      <c r="B50" s="5" t="s">
        <v>48</v>
      </c>
      <c r="C50" s="5" t="s">
        <v>42</v>
      </c>
    </row>
    <row r="51" customFormat="false" ht="15" hidden="false" customHeight="true" outlineLevel="0" collapsed="false">
      <c r="A51" s="6" t="s">
        <v>59</v>
      </c>
      <c r="B51" s="6" t="s">
        <v>41</v>
      </c>
      <c r="C51" s="6" t="s">
        <v>42</v>
      </c>
    </row>
    <row r="52" customFormat="false" ht="15" hidden="false" customHeight="true" outlineLevel="0" collapsed="false">
      <c r="A52" s="5" t="s">
        <v>59</v>
      </c>
      <c r="B52" s="5" t="s">
        <v>43</v>
      </c>
      <c r="C52" s="5" t="s">
        <v>42</v>
      </c>
    </row>
    <row r="53" customFormat="false" ht="15" hidden="false" customHeight="true" outlineLevel="0" collapsed="false">
      <c r="A53" s="6" t="s">
        <v>59</v>
      </c>
      <c r="B53" s="6" t="s">
        <v>44</v>
      </c>
      <c r="C53" s="6" t="s">
        <v>42</v>
      </c>
    </row>
    <row r="54" customFormat="false" ht="15" hidden="false" customHeight="true" outlineLevel="0" collapsed="false">
      <c r="A54" s="5" t="s">
        <v>59</v>
      </c>
      <c r="B54" s="5" t="s">
        <v>45</v>
      </c>
      <c r="C54" s="5" t="s">
        <v>52</v>
      </c>
    </row>
    <row r="55" customFormat="false" ht="15" hidden="false" customHeight="true" outlineLevel="0" collapsed="false">
      <c r="A55" s="6" t="s">
        <v>59</v>
      </c>
      <c r="B55" s="6" t="s">
        <v>46</v>
      </c>
      <c r="C55" s="6" t="s">
        <v>42</v>
      </c>
    </row>
    <row r="56" customFormat="false" ht="15" hidden="false" customHeight="true" outlineLevel="0" collapsed="false">
      <c r="A56" s="5" t="s">
        <v>59</v>
      </c>
      <c r="B56" s="5" t="s">
        <v>47</v>
      </c>
      <c r="C56" s="5" t="s">
        <v>42</v>
      </c>
    </row>
    <row r="57" customFormat="false" ht="15" hidden="false" customHeight="true" outlineLevel="0" collapsed="false">
      <c r="A57" s="6" t="s">
        <v>59</v>
      </c>
      <c r="B57" s="6" t="s">
        <v>48</v>
      </c>
      <c r="C57" s="6" t="s">
        <v>53</v>
      </c>
    </row>
    <row r="58" customFormat="false" ht="15" hidden="false" customHeight="true" outlineLevel="0" collapsed="false">
      <c r="A58" s="5" t="s">
        <v>60</v>
      </c>
      <c r="B58" s="5" t="s">
        <v>41</v>
      </c>
      <c r="C58" s="5" t="s">
        <v>42</v>
      </c>
    </row>
    <row r="59" customFormat="false" ht="15" hidden="false" customHeight="true" outlineLevel="0" collapsed="false">
      <c r="A59" s="6" t="s">
        <v>60</v>
      </c>
      <c r="B59" s="6" t="s">
        <v>43</v>
      </c>
      <c r="C59" s="6" t="s">
        <v>42</v>
      </c>
    </row>
    <row r="60" customFormat="false" ht="15" hidden="false" customHeight="true" outlineLevel="0" collapsed="false">
      <c r="A60" s="5" t="s">
        <v>60</v>
      </c>
      <c r="B60" s="5" t="s">
        <v>44</v>
      </c>
      <c r="C60" s="5" t="s">
        <v>42</v>
      </c>
    </row>
    <row r="61" customFormat="false" ht="15" hidden="false" customHeight="true" outlineLevel="0" collapsed="false">
      <c r="A61" s="6" t="s">
        <v>60</v>
      </c>
      <c r="B61" s="6" t="s">
        <v>45</v>
      </c>
      <c r="C61" s="6" t="s">
        <v>42</v>
      </c>
    </row>
    <row r="62" customFormat="false" ht="15" hidden="false" customHeight="true" outlineLevel="0" collapsed="false">
      <c r="A62" s="5" t="s">
        <v>60</v>
      </c>
      <c r="B62" s="5" t="s">
        <v>46</v>
      </c>
      <c r="C62" s="5" t="s">
        <v>42</v>
      </c>
    </row>
    <row r="63" customFormat="false" ht="15" hidden="false" customHeight="true" outlineLevel="0" collapsed="false">
      <c r="A63" s="6" t="s">
        <v>60</v>
      </c>
      <c r="B63" s="6" t="s">
        <v>47</v>
      </c>
      <c r="C63" s="6" t="s">
        <v>42</v>
      </c>
    </row>
    <row r="64" customFormat="false" ht="15" hidden="false" customHeight="true" outlineLevel="0" collapsed="false">
      <c r="A64" s="5" t="s">
        <v>60</v>
      </c>
      <c r="B64" s="5" t="s">
        <v>48</v>
      </c>
      <c r="C64" s="5" t="s">
        <v>53</v>
      </c>
    </row>
    <row r="65" customFormat="false" ht="15" hidden="false" customHeight="true" outlineLevel="0" collapsed="false">
      <c r="A65" s="6" t="s">
        <v>61</v>
      </c>
      <c r="B65" s="6" t="s">
        <v>41</v>
      </c>
      <c r="C65" s="6" t="s">
        <v>42</v>
      </c>
    </row>
    <row r="66" customFormat="false" ht="15" hidden="false" customHeight="true" outlineLevel="0" collapsed="false">
      <c r="A66" s="5" t="s">
        <v>61</v>
      </c>
      <c r="B66" s="5" t="s">
        <v>43</v>
      </c>
      <c r="C66" s="5" t="s">
        <v>42</v>
      </c>
    </row>
    <row r="67" customFormat="false" ht="15" hidden="false" customHeight="true" outlineLevel="0" collapsed="false">
      <c r="A67" s="6" t="s">
        <v>61</v>
      </c>
      <c r="B67" s="6" t="s">
        <v>44</v>
      </c>
      <c r="C67" s="6" t="s">
        <v>42</v>
      </c>
    </row>
    <row r="68" customFormat="false" ht="15" hidden="false" customHeight="true" outlineLevel="0" collapsed="false">
      <c r="A68" s="5" t="s">
        <v>61</v>
      </c>
      <c r="B68" s="5" t="s">
        <v>45</v>
      </c>
      <c r="C68" s="5" t="s">
        <v>42</v>
      </c>
    </row>
    <row r="69" customFormat="false" ht="15" hidden="false" customHeight="true" outlineLevel="0" collapsed="false">
      <c r="A69" s="6" t="s">
        <v>61</v>
      </c>
      <c r="B69" s="6" t="s">
        <v>46</v>
      </c>
      <c r="C69" s="6" t="s">
        <v>42</v>
      </c>
    </row>
    <row r="70" customFormat="false" ht="15" hidden="false" customHeight="true" outlineLevel="0" collapsed="false">
      <c r="A70" s="5" t="s">
        <v>61</v>
      </c>
      <c r="B70" s="5" t="s">
        <v>47</v>
      </c>
      <c r="C70" s="5" t="s">
        <v>42</v>
      </c>
    </row>
    <row r="71" customFormat="false" ht="15" hidden="false" customHeight="true" outlineLevel="0" collapsed="false">
      <c r="A71" s="6" t="s">
        <v>61</v>
      </c>
      <c r="B71" s="6" t="s">
        <v>48</v>
      </c>
      <c r="C71" s="6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.97"/>
    <col collapsed="false" customWidth="true" hidden="false" outlineLevel="0" max="2" min="2" style="1" width="23.28"/>
    <col collapsed="false" customWidth="true" hidden="false" outlineLevel="0" max="3" min="3" style="1" width="12.08"/>
    <col collapsed="false" customWidth="true" hidden="false" outlineLevel="0" max="8" min="4" style="1" width="48"/>
  </cols>
  <sheetData>
    <row r="1" customFormat="false" ht="15" hidden="false" customHeight="true" outlineLevel="0" collapsed="false">
      <c r="A1" s="4" t="s">
        <v>37</v>
      </c>
      <c r="B1" s="4" t="s">
        <v>62</v>
      </c>
      <c r="C1" s="4" t="s">
        <v>2</v>
      </c>
      <c r="D1" s="4" t="s">
        <v>63</v>
      </c>
      <c r="E1" s="4" t="s">
        <v>64</v>
      </c>
      <c r="F1" s="4" t="s">
        <v>65</v>
      </c>
      <c r="G1" s="4" t="s">
        <v>66</v>
      </c>
      <c r="H1" s="4" t="s">
        <v>67</v>
      </c>
    </row>
    <row r="2" customFormat="false" ht="15" hidden="false" customHeight="true" outlineLevel="0" collapsed="false">
      <c r="A2" s="5" t="s">
        <v>40</v>
      </c>
      <c r="B2" s="5" t="s">
        <v>68</v>
      </c>
      <c r="C2" s="5" t="s">
        <v>7</v>
      </c>
      <c r="D2" s="11" t="n">
        <f aca="false">COUNTIFS('Evidence Rows'!$A$2:$A$71,A2,'Evidence Rows'!$C$2:$C$71,"Complete")</f>
        <v>7</v>
      </c>
      <c r="E2" s="11" t="n">
        <f aca="false">COUNTIFS('Evidence Rows'!$A$2:$A$71,A2,'Evidence Rows'!$C$2:$C$71,"Approved Exception")</f>
        <v>0</v>
      </c>
      <c r="F2" s="11" t="n">
        <f aca="false">COUNTIFS('Evidence Rows'!$A$2:$A$71,A2,'Evidence Rows'!$C$2:$C$71,"Failed")</f>
        <v>0</v>
      </c>
      <c r="G2" s="11" t="n">
        <f aca="false">COUNTIFS('Evidence Rows'!$A$2:$A$71,A2,'Evidence Rows'!$C$2:$C$71,"Open")+COUNTIFS('Evidence Rows'!$A$2:$A$71,A2,'Evidence Rows'!$C$2:$C$71,"Blocked")</f>
        <v>0</v>
      </c>
      <c r="H2" s="5" t="str">
        <f aca="false">IF(COUNTIFS('Evidence Rows'!$A$2:$A$71,A2,'Evidence Rows'!$C$2:$C$71,"Blocked")+COUNTIFS('Evidence Rows'!$A$2:$A$71,A2,'Evidence Rows'!$C$2:$C$71,"Failed",'Evidence Rows'!$B$2:$B$71,"GS-C04")&gt;0,"Blocked - unresolved exception",IF(D2=7,"Ready - pending manager",IF(E2&gt;0,"Limited exception - staged supervised",IF(F2&gt;0,"Remediation required","Pending evidence"))))</f>
        <v>Ready - pending manager</v>
      </c>
    </row>
    <row r="3" customFormat="false" ht="15" hidden="false" customHeight="true" outlineLevel="0" collapsed="false">
      <c r="A3" s="6" t="s">
        <v>49</v>
      </c>
      <c r="B3" s="6" t="s">
        <v>69</v>
      </c>
      <c r="C3" s="6" t="s">
        <v>8</v>
      </c>
      <c r="D3" s="12" t="n">
        <f aca="false">COUNTIFS('Evidence Rows'!$A$2:$A$71,A3,'Evidence Rows'!$C$2:$C$71,"Complete")</f>
        <v>6</v>
      </c>
      <c r="E3" s="12" t="n">
        <f aca="false">COUNTIFS('Evidence Rows'!$A$2:$A$71,A3,'Evidence Rows'!$C$2:$C$71,"Approved Exception")</f>
        <v>1</v>
      </c>
      <c r="F3" s="12" t="n">
        <f aca="false">COUNTIFS('Evidence Rows'!$A$2:$A$71,A3,'Evidence Rows'!$C$2:$C$71,"Failed")</f>
        <v>0</v>
      </c>
      <c r="G3" s="12" t="n">
        <f aca="false">COUNTIFS('Evidence Rows'!$A$2:$A$71,A3,'Evidence Rows'!$C$2:$C$71,"Open")+COUNTIFS('Evidence Rows'!$A$2:$A$71,A3,'Evidence Rows'!$C$2:$C$71,"Blocked")</f>
        <v>0</v>
      </c>
      <c r="H3" s="6" t="str">
        <f aca="false">IF(COUNTIFS('Evidence Rows'!$A$2:$A$71,A3,'Evidence Rows'!$C$2:$C$71,"Blocked")+COUNTIFS('Evidence Rows'!$A$2:$A$71,A3,'Evidence Rows'!$C$2:$C$71,"Failed",'Evidence Rows'!$B$2:$B$71,"GS-C04")&gt;0,"Blocked - unresolved exception",IF(D3=7,"Ready - pending manager",IF(E3&gt;0,"Limited exception - staged supervised",IF(F3&gt;0,"Remediation required","Pending evidence"))))</f>
        <v>Limited exception - staged supervised</v>
      </c>
    </row>
    <row r="4" customFormat="false" ht="15" hidden="false" customHeight="true" outlineLevel="0" collapsed="false">
      <c r="A4" s="5" t="s">
        <v>51</v>
      </c>
      <c r="B4" s="5" t="s">
        <v>70</v>
      </c>
      <c r="C4" s="5" t="s">
        <v>9</v>
      </c>
      <c r="D4" s="11" t="n">
        <f aca="false">COUNTIFS('Evidence Rows'!$A$2:$A$71,A4,'Evidence Rows'!$C$2:$C$71,"Complete")</f>
        <v>5</v>
      </c>
      <c r="E4" s="11" t="n">
        <f aca="false">COUNTIFS('Evidence Rows'!$A$2:$A$71,A4,'Evidence Rows'!$C$2:$C$71,"Approved Exception")</f>
        <v>0</v>
      </c>
      <c r="F4" s="11" t="n">
        <f aca="false">COUNTIFS('Evidence Rows'!$A$2:$A$71,A4,'Evidence Rows'!$C$2:$C$71,"Failed")</f>
        <v>1</v>
      </c>
      <c r="G4" s="11" t="n">
        <f aca="false">COUNTIFS('Evidence Rows'!$A$2:$A$71,A4,'Evidence Rows'!$C$2:$C$71,"Open")+COUNTIFS('Evidence Rows'!$A$2:$A$71,A4,'Evidence Rows'!$C$2:$C$71,"Blocked")</f>
        <v>1</v>
      </c>
      <c r="H4" s="5" t="str">
        <f aca="false">IF(COUNTIFS('Evidence Rows'!$A$2:$A$71,A4,'Evidence Rows'!$C$2:$C$71,"Blocked")+COUNTIFS('Evidence Rows'!$A$2:$A$71,A4,'Evidence Rows'!$C$2:$C$71,"Failed",'Evidence Rows'!$B$2:$B$71,"GS-C04")&gt;0,"Blocked - unresolved exception",IF(D4=7,"Ready - pending manager",IF(E4&gt;0,"Limited exception - staged supervised",IF(F4&gt;0,"Remediation required","Pending evidence"))))</f>
        <v>Remediation required</v>
      </c>
    </row>
    <row r="5" customFormat="false" ht="15" hidden="false" customHeight="true" outlineLevel="0" collapsed="false">
      <c r="A5" s="6" t="s">
        <v>54</v>
      </c>
      <c r="B5" s="6" t="s">
        <v>71</v>
      </c>
      <c r="C5" s="6" t="s">
        <v>10</v>
      </c>
      <c r="D5" s="12" t="n">
        <f aca="false">COUNTIFS('Evidence Rows'!$A$2:$A$71,A5,'Evidence Rows'!$C$2:$C$71,"Complete")</f>
        <v>4</v>
      </c>
      <c r="E5" s="12" t="n">
        <f aca="false">COUNTIFS('Evidence Rows'!$A$2:$A$71,A5,'Evidence Rows'!$C$2:$C$71,"Approved Exception")</f>
        <v>0</v>
      </c>
      <c r="F5" s="12" t="n">
        <f aca="false">COUNTIFS('Evidence Rows'!$A$2:$A$71,A5,'Evidence Rows'!$C$2:$C$71,"Failed")</f>
        <v>0</v>
      </c>
      <c r="G5" s="12" t="n">
        <f aca="false">COUNTIFS('Evidence Rows'!$A$2:$A$71,A5,'Evidence Rows'!$C$2:$C$71,"Open")+COUNTIFS('Evidence Rows'!$A$2:$A$71,A5,'Evidence Rows'!$C$2:$C$71,"Blocked")</f>
        <v>3</v>
      </c>
      <c r="H5" s="6" t="str">
        <f aca="false">IF(COUNTIFS('Evidence Rows'!$A$2:$A$71,A5,'Evidence Rows'!$C$2:$C$71,"Blocked")+COUNTIFS('Evidence Rows'!$A$2:$A$71,A5,'Evidence Rows'!$C$2:$C$71,"Failed",'Evidence Rows'!$B$2:$B$71,"GS-C04")&gt;0,"Blocked - unresolved exception",IF(D5=7,"Ready - pending manager",IF(E5&gt;0,"Limited exception - staged supervised",IF(F5&gt;0,"Remediation required","Pending evidence"))))</f>
        <v>Blocked - unresolved exception</v>
      </c>
    </row>
    <row r="6" customFormat="false" ht="15" hidden="false" customHeight="true" outlineLevel="0" collapsed="false">
      <c r="A6" s="5" t="s">
        <v>56</v>
      </c>
      <c r="B6" s="5" t="s">
        <v>72</v>
      </c>
      <c r="C6" s="5" t="s">
        <v>7</v>
      </c>
      <c r="D6" s="11" t="n">
        <f aca="false">COUNTIFS('Evidence Rows'!$A$2:$A$71,A6,'Evidence Rows'!$C$2:$C$71,"Complete")</f>
        <v>6</v>
      </c>
      <c r="E6" s="11" t="n">
        <f aca="false">COUNTIFS('Evidence Rows'!$A$2:$A$71,A6,'Evidence Rows'!$C$2:$C$71,"Approved Exception")</f>
        <v>0</v>
      </c>
      <c r="F6" s="11" t="n">
        <f aca="false">COUNTIFS('Evidence Rows'!$A$2:$A$71,A6,'Evidence Rows'!$C$2:$C$71,"Failed")</f>
        <v>1</v>
      </c>
      <c r="G6" s="11" t="n">
        <f aca="false">COUNTIFS('Evidence Rows'!$A$2:$A$71,A6,'Evidence Rows'!$C$2:$C$71,"Open")+COUNTIFS('Evidence Rows'!$A$2:$A$71,A6,'Evidence Rows'!$C$2:$C$71,"Blocked")</f>
        <v>0</v>
      </c>
      <c r="H6" s="5" t="str">
        <f aca="false">IF(COUNTIFS('Evidence Rows'!$A$2:$A$71,A6,'Evidence Rows'!$C$2:$C$71,"Blocked")+COUNTIFS('Evidence Rows'!$A$2:$A$71,A6,'Evidence Rows'!$C$2:$C$71,"Failed",'Evidence Rows'!$B$2:$B$71,"GS-C04")&gt;0,"Blocked - unresolved exception",IF(D6=7,"Ready - pending manager",IF(E6&gt;0,"Limited exception - staged supervised",IF(F6&gt;0,"Remediation required","Pending evidence"))))</f>
        <v>Remediation required</v>
      </c>
    </row>
    <row r="7" customFormat="false" ht="15" hidden="false" customHeight="true" outlineLevel="0" collapsed="false">
      <c r="A7" s="6" t="s">
        <v>57</v>
      </c>
      <c r="B7" s="6" t="s">
        <v>73</v>
      </c>
      <c r="C7" s="6" t="s">
        <v>8</v>
      </c>
      <c r="D7" s="12" t="n">
        <f aca="false">COUNTIFS('Evidence Rows'!$A$2:$A$71,A7,'Evidence Rows'!$C$2:$C$71,"Complete")</f>
        <v>6</v>
      </c>
      <c r="E7" s="12" t="n">
        <f aca="false">COUNTIFS('Evidence Rows'!$A$2:$A$71,A7,'Evidence Rows'!$C$2:$C$71,"Approved Exception")</f>
        <v>0</v>
      </c>
      <c r="F7" s="12" t="n">
        <f aca="false">COUNTIFS('Evidence Rows'!$A$2:$A$71,A7,'Evidence Rows'!$C$2:$C$71,"Failed")</f>
        <v>0</v>
      </c>
      <c r="G7" s="12" t="n">
        <f aca="false">COUNTIFS('Evidence Rows'!$A$2:$A$71,A7,'Evidence Rows'!$C$2:$C$71,"Open")+COUNTIFS('Evidence Rows'!$A$2:$A$71,A7,'Evidence Rows'!$C$2:$C$71,"Blocked")</f>
        <v>1</v>
      </c>
      <c r="H7" s="6" t="str">
        <f aca="false">IF(COUNTIFS('Evidence Rows'!$A$2:$A$71,A7,'Evidence Rows'!$C$2:$C$71,"Blocked")+COUNTIFS('Evidence Rows'!$A$2:$A$71,A7,'Evidence Rows'!$C$2:$C$71,"Failed",'Evidence Rows'!$B$2:$B$71,"GS-C04")&gt;0,"Blocked - unresolved exception",IF(D7=7,"Ready - pending manager",IF(E7&gt;0,"Limited exception - staged supervised",IF(F7&gt;0,"Remediation required","Pending evidence"))))</f>
        <v>Pending evidence</v>
      </c>
    </row>
    <row r="8" customFormat="false" ht="15" hidden="false" customHeight="true" outlineLevel="0" collapsed="false">
      <c r="A8" s="5" t="s">
        <v>58</v>
      </c>
      <c r="B8" s="5" t="s">
        <v>74</v>
      </c>
      <c r="C8" s="5" t="s">
        <v>9</v>
      </c>
      <c r="D8" s="11" t="n">
        <f aca="false">COUNTIFS('Evidence Rows'!$A$2:$A$71,A8,'Evidence Rows'!$C$2:$C$71,"Complete")</f>
        <v>7</v>
      </c>
      <c r="E8" s="11" t="n">
        <f aca="false">COUNTIFS('Evidence Rows'!$A$2:$A$71,A8,'Evidence Rows'!$C$2:$C$71,"Approved Exception")</f>
        <v>0</v>
      </c>
      <c r="F8" s="11" t="n">
        <f aca="false">COUNTIFS('Evidence Rows'!$A$2:$A$71,A8,'Evidence Rows'!$C$2:$C$71,"Failed")</f>
        <v>0</v>
      </c>
      <c r="G8" s="11" t="n">
        <f aca="false">COUNTIFS('Evidence Rows'!$A$2:$A$71,A8,'Evidence Rows'!$C$2:$C$71,"Open")+COUNTIFS('Evidence Rows'!$A$2:$A$71,A8,'Evidence Rows'!$C$2:$C$71,"Blocked")</f>
        <v>0</v>
      </c>
      <c r="H8" s="5" t="str">
        <f aca="false">IF(COUNTIFS('Evidence Rows'!$A$2:$A$71,A8,'Evidence Rows'!$C$2:$C$71,"Blocked")+COUNTIFS('Evidence Rows'!$A$2:$A$71,A8,'Evidence Rows'!$C$2:$C$71,"Failed",'Evidence Rows'!$B$2:$B$71,"GS-C04")&gt;0,"Blocked - unresolved exception",IF(D8=7,"Ready - pending manager",IF(E8&gt;0,"Limited exception - staged supervised",IF(F8&gt;0,"Remediation required","Pending evidence"))))</f>
        <v>Ready - pending manager</v>
      </c>
    </row>
    <row r="9" customFormat="false" ht="15" hidden="false" customHeight="true" outlineLevel="0" collapsed="false">
      <c r="A9" s="6" t="s">
        <v>59</v>
      </c>
      <c r="B9" s="6" t="s">
        <v>75</v>
      </c>
      <c r="C9" s="6" t="s">
        <v>10</v>
      </c>
      <c r="D9" s="12" t="n">
        <f aca="false">COUNTIFS('Evidence Rows'!$A$2:$A$71,A9,'Evidence Rows'!$C$2:$C$71,"Complete")</f>
        <v>5</v>
      </c>
      <c r="E9" s="12" t="n">
        <f aca="false">COUNTIFS('Evidence Rows'!$A$2:$A$71,A9,'Evidence Rows'!$C$2:$C$71,"Approved Exception")</f>
        <v>0</v>
      </c>
      <c r="F9" s="12" t="n">
        <f aca="false">COUNTIFS('Evidence Rows'!$A$2:$A$71,A9,'Evidence Rows'!$C$2:$C$71,"Failed")</f>
        <v>1</v>
      </c>
      <c r="G9" s="12" t="n">
        <f aca="false">COUNTIFS('Evidence Rows'!$A$2:$A$71,A9,'Evidence Rows'!$C$2:$C$71,"Open")+COUNTIFS('Evidence Rows'!$A$2:$A$71,A9,'Evidence Rows'!$C$2:$C$71,"Blocked")</f>
        <v>1</v>
      </c>
      <c r="H9" s="6" t="str">
        <f aca="false">IF(COUNTIFS('Evidence Rows'!$A$2:$A$71,A9,'Evidence Rows'!$C$2:$C$71,"Blocked")+COUNTIFS('Evidence Rows'!$A$2:$A$71,A9,'Evidence Rows'!$C$2:$C$71,"Failed",'Evidence Rows'!$B$2:$B$71,"GS-C04")&gt;0,"Blocked - unresolved exception",IF(D9=7,"Ready - pending manager",IF(E9&gt;0,"Limited exception - staged supervised",IF(F9&gt;0,"Remediation required","Pending evidence"))))</f>
        <v>Blocked - unresolved exception</v>
      </c>
    </row>
    <row r="10" customFormat="false" ht="15" hidden="false" customHeight="true" outlineLevel="0" collapsed="false">
      <c r="A10" s="5" t="s">
        <v>60</v>
      </c>
      <c r="B10" s="5" t="s">
        <v>76</v>
      </c>
      <c r="C10" s="5" t="s">
        <v>7</v>
      </c>
      <c r="D10" s="11" t="n">
        <f aca="false">COUNTIFS('Evidence Rows'!$A$2:$A$71,A10,'Evidence Rows'!$C$2:$C$71,"Complete")</f>
        <v>6</v>
      </c>
      <c r="E10" s="11" t="n">
        <f aca="false">COUNTIFS('Evidence Rows'!$A$2:$A$71,A10,'Evidence Rows'!$C$2:$C$71,"Approved Exception")</f>
        <v>0</v>
      </c>
      <c r="F10" s="11" t="n">
        <f aca="false">COUNTIFS('Evidence Rows'!$A$2:$A$71,A10,'Evidence Rows'!$C$2:$C$71,"Failed")</f>
        <v>0</v>
      </c>
      <c r="G10" s="11" t="n">
        <f aca="false">COUNTIFS('Evidence Rows'!$A$2:$A$71,A10,'Evidence Rows'!$C$2:$C$71,"Open")+COUNTIFS('Evidence Rows'!$A$2:$A$71,A10,'Evidence Rows'!$C$2:$C$71,"Blocked")</f>
        <v>1</v>
      </c>
      <c r="H10" s="5" t="str">
        <f aca="false">IF(COUNTIFS('Evidence Rows'!$A$2:$A$71,A10,'Evidence Rows'!$C$2:$C$71,"Blocked")+COUNTIFS('Evidence Rows'!$A$2:$A$71,A10,'Evidence Rows'!$C$2:$C$71,"Failed",'Evidence Rows'!$B$2:$B$71,"GS-C04")&gt;0,"Blocked - unresolved exception",IF(D10=7,"Ready - pending manager",IF(E10&gt;0,"Limited exception - staged supervised",IF(F10&gt;0,"Remediation required","Pending evidence"))))</f>
        <v>Pending evidence</v>
      </c>
    </row>
    <row r="11" customFormat="false" ht="15" hidden="false" customHeight="true" outlineLevel="0" collapsed="false">
      <c r="A11" s="6" t="s">
        <v>61</v>
      </c>
      <c r="B11" s="6" t="s">
        <v>77</v>
      </c>
      <c r="C11" s="6" t="s">
        <v>8</v>
      </c>
      <c r="D11" s="12" t="n">
        <f aca="false">COUNTIFS('Evidence Rows'!$A$2:$A$71,A11,'Evidence Rows'!$C$2:$C$71,"Complete")</f>
        <v>7</v>
      </c>
      <c r="E11" s="12" t="n">
        <f aca="false">COUNTIFS('Evidence Rows'!$A$2:$A$71,A11,'Evidence Rows'!$C$2:$C$71,"Approved Exception")</f>
        <v>0</v>
      </c>
      <c r="F11" s="12" t="n">
        <f aca="false">COUNTIFS('Evidence Rows'!$A$2:$A$71,A11,'Evidence Rows'!$C$2:$C$71,"Failed")</f>
        <v>0</v>
      </c>
      <c r="G11" s="12" t="n">
        <f aca="false">COUNTIFS('Evidence Rows'!$A$2:$A$71,A11,'Evidence Rows'!$C$2:$C$71,"Open")+COUNTIFS('Evidence Rows'!$A$2:$A$71,A11,'Evidence Rows'!$C$2:$C$71,"Blocked")</f>
        <v>0</v>
      </c>
      <c r="H11" s="6" t="str">
        <f aca="false">IF(COUNTIFS('Evidence Rows'!$A$2:$A$71,A11,'Evidence Rows'!$C$2:$C$71,"Blocked")+COUNTIFS('Evidence Rows'!$A$2:$A$71,A11,'Evidence Rows'!$C$2:$C$71,"Failed",'Evidence Rows'!$B$2:$B$71,"GS-C04")&gt;0,"Blocked - unresolved exception",IF(D11=7,"Ready - pending manager",IF(E11&gt;0,"Limited exception - staged supervised",IF(F11&gt;0,"Remediation required","Pending evidence"))))</f>
        <v>Ready - pending manager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.2"/>
    <col collapsed="false" customWidth="true" hidden="false" outlineLevel="0" max="2" min="2" style="1" width="17.68"/>
    <col collapsed="false" customWidth="true" hidden="false" outlineLevel="0" max="3" min="3" style="1" width="37.84"/>
    <col collapsed="false" customWidth="true" hidden="false" outlineLevel="0" max="4" min="4" style="1" width="12.08"/>
    <col collapsed="false" customWidth="true" hidden="false" outlineLevel="0" max="5" min="5" style="1" width="17.68"/>
    <col collapsed="false" customWidth="true" hidden="false" outlineLevel="0" max="6" min="6" style="1" width="30"/>
    <col collapsed="false" customWidth="true" hidden="false" outlineLevel="0" max="7" min="7" style="1" width="15.44"/>
    <col collapsed="false" customWidth="true" hidden="false" outlineLevel="0" max="8" min="8" style="1" width="18.8"/>
    <col collapsed="false" customWidth="true" hidden="false" outlineLevel="0" max="9" min="9" style="1" width="23.28"/>
    <col collapsed="false" customWidth="true" hidden="false" outlineLevel="0" max="10" min="10" style="1" width="45.68"/>
    <col collapsed="false" customWidth="true" hidden="false" outlineLevel="0" max="11" min="11" style="1" width="22.16"/>
    <col collapsed="false" customWidth="true" hidden="false" outlineLevel="0" max="12" min="12" style="1" width="18.8"/>
    <col collapsed="false" customWidth="true" hidden="false" outlineLevel="0" max="13" min="13" style="1" width="22.16"/>
  </cols>
  <sheetData>
    <row r="1" customFormat="false" ht="15" hidden="false" customHeight="true" outlineLevel="0" collapsed="false">
      <c r="A1" s="4" t="s">
        <v>78</v>
      </c>
      <c r="B1" s="4" t="s">
        <v>79</v>
      </c>
      <c r="C1" s="4" t="s">
        <v>80</v>
      </c>
      <c r="D1" s="4" t="s">
        <v>2</v>
      </c>
      <c r="E1" s="4" t="s">
        <v>81</v>
      </c>
      <c r="F1" s="4" t="s">
        <v>82</v>
      </c>
      <c r="G1" s="4" t="s">
        <v>83</v>
      </c>
      <c r="H1" s="4" t="s">
        <v>84</v>
      </c>
      <c r="I1" s="4" t="s">
        <v>14</v>
      </c>
      <c r="J1" s="4" t="s">
        <v>85</v>
      </c>
      <c r="K1" s="4" t="s">
        <v>86</v>
      </c>
      <c r="L1" s="4" t="s">
        <v>87</v>
      </c>
      <c r="M1" s="4" t="s">
        <v>88</v>
      </c>
    </row>
    <row r="2" customFormat="false" ht="15" hidden="false" customHeight="true" outlineLevel="0" collapsed="false">
      <c r="A2" s="5" t="s">
        <v>89</v>
      </c>
      <c r="B2" s="5" t="s">
        <v>90</v>
      </c>
      <c r="C2" s="5" t="s">
        <v>91</v>
      </c>
      <c r="D2" s="5" t="s">
        <v>7</v>
      </c>
      <c r="E2" s="5" t="s">
        <v>92</v>
      </c>
      <c r="F2" s="9" t="n">
        <v>46277</v>
      </c>
      <c r="G2" s="7" t="n">
        <v>125000</v>
      </c>
      <c r="H2" s="7" t="n">
        <v>22500</v>
      </c>
      <c r="I2" s="9" t="n">
        <v>46221</v>
      </c>
      <c r="J2" s="5" t="s">
        <v>93</v>
      </c>
      <c r="K2" s="5" t="s">
        <v>94</v>
      </c>
      <c r="L2" s="5" t="s">
        <v>40</v>
      </c>
      <c r="M2" s="5" t="s">
        <v>32</v>
      </c>
    </row>
    <row r="3" customFormat="false" ht="15" hidden="false" customHeight="true" outlineLevel="0" collapsed="false">
      <c r="A3" s="6" t="s">
        <v>95</v>
      </c>
      <c r="B3" s="6" t="s">
        <v>96</v>
      </c>
      <c r="C3" s="6" t="s">
        <v>97</v>
      </c>
      <c r="D3" s="6" t="s">
        <v>9</v>
      </c>
      <c r="E3" s="6" t="s">
        <v>98</v>
      </c>
      <c r="F3" s="10" t="n">
        <v>46300</v>
      </c>
      <c r="G3" s="8" t="n">
        <v>88000</v>
      </c>
      <c r="H3" s="8" t="n">
        <v>12320</v>
      </c>
      <c r="I3" s="10" t="n">
        <v>46222</v>
      </c>
      <c r="J3" s="6" t="s">
        <v>99</v>
      </c>
      <c r="K3" s="6" t="s">
        <v>100</v>
      </c>
      <c r="L3" s="6" t="s">
        <v>51</v>
      </c>
      <c r="M3" s="6" t="s">
        <v>32</v>
      </c>
    </row>
    <row r="4" customFormat="false" ht="15" hidden="false" customHeight="true" outlineLevel="0" collapsed="false">
      <c r="A4" s="5" t="s">
        <v>101</v>
      </c>
      <c r="B4" s="5" t="s">
        <v>102</v>
      </c>
      <c r="C4" s="5" t="s">
        <v>103</v>
      </c>
      <c r="D4" s="5" t="s">
        <v>8</v>
      </c>
      <c r="E4" s="5" t="s">
        <v>104</v>
      </c>
      <c r="F4" s="9" t="n">
        <v>46262</v>
      </c>
      <c r="G4" s="7" t="n">
        <v>64000</v>
      </c>
      <c r="H4" s="7" t="n">
        <v>8960</v>
      </c>
      <c r="I4" s="9" t="n">
        <v>46221</v>
      </c>
      <c r="J4" s="5" t="s">
        <v>105</v>
      </c>
      <c r="K4" s="5" t="s">
        <v>94</v>
      </c>
      <c r="L4" s="5" t="s">
        <v>49</v>
      </c>
      <c r="M4" s="5" t="s">
        <v>106</v>
      </c>
    </row>
    <row r="5" customFormat="false" ht="15" hidden="false" customHeight="true" outlineLevel="0" collapsed="false">
      <c r="A5" s="6" t="s">
        <v>107</v>
      </c>
      <c r="B5" s="6" t="s">
        <v>108</v>
      </c>
      <c r="C5" s="6" t="s">
        <v>109</v>
      </c>
      <c r="D5" s="6" t="s">
        <v>10</v>
      </c>
      <c r="E5" s="6" t="s">
        <v>110</v>
      </c>
      <c r="F5" s="10" t="n">
        <v>46329</v>
      </c>
      <c r="G5" s="8" t="n">
        <v>210000</v>
      </c>
      <c r="H5" s="8" t="n">
        <v>42000</v>
      </c>
      <c r="I5" s="10" t="n">
        <v>46220</v>
      </c>
      <c r="J5" s="6" t="s">
        <v>111</v>
      </c>
      <c r="K5" s="6" t="s">
        <v>100</v>
      </c>
      <c r="L5" s="6" t="s">
        <v>54</v>
      </c>
      <c r="M5" s="6" t="s">
        <v>112</v>
      </c>
    </row>
    <row r="6" customFormat="false" ht="15" hidden="false" customHeight="true" outlineLevel="0" collapsed="false">
      <c r="A6" s="5" t="s">
        <v>113</v>
      </c>
      <c r="B6" s="5" t="s">
        <v>114</v>
      </c>
      <c r="C6" s="5" t="s">
        <v>115</v>
      </c>
      <c r="D6" s="5" t="s">
        <v>7</v>
      </c>
      <c r="E6" s="5" t="s">
        <v>116</v>
      </c>
      <c r="F6" s="9" t="n">
        <v>46286</v>
      </c>
      <c r="G6" s="7" t="n">
        <v>156000</v>
      </c>
      <c r="H6" s="7" t="n">
        <v>28080</v>
      </c>
      <c r="I6" s="9" t="n">
        <v>46223</v>
      </c>
      <c r="J6" s="5" t="s">
        <v>117</v>
      </c>
      <c r="K6" s="5" t="s">
        <v>94</v>
      </c>
      <c r="L6" s="5" t="s">
        <v>56</v>
      </c>
      <c r="M6" s="5" t="s">
        <v>32</v>
      </c>
    </row>
    <row r="7" customFormat="false" ht="15" hidden="false" customHeight="true" outlineLevel="0" collapsed="false">
      <c r="A7" s="6" t="s">
        <v>118</v>
      </c>
      <c r="B7" s="6" t="s">
        <v>119</v>
      </c>
      <c r="C7" s="6" t="s">
        <v>120</v>
      </c>
      <c r="D7" s="6" t="s">
        <v>8</v>
      </c>
      <c r="E7" s="6" t="s">
        <v>121</v>
      </c>
      <c r="F7" s="10" t="n">
        <v>46256</v>
      </c>
      <c r="G7" s="8" t="n">
        <v>72000</v>
      </c>
      <c r="H7" s="8" t="n">
        <v>10080</v>
      </c>
      <c r="I7" s="10" t="n">
        <v>46221</v>
      </c>
      <c r="J7" s="6" t="s">
        <v>122</v>
      </c>
      <c r="K7" s="6" t="s">
        <v>123</v>
      </c>
      <c r="L7" s="6" t="s">
        <v>57</v>
      </c>
      <c r="M7" s="6" t="s">
        <v>32</v>
      </c>
    </row>
    <row r="8" customFormat="false" ht="15" hidden="false" customHeight="true" outlineLevel="0" collapsed="false">
      <c r="A8" s="5" t="s">
        <v>124</v>
      </c>
      <c r="B8" s="5" t="s">
        <v>125</v>
      </c>
      <c r="C8" s="5" t="s">
        <v>126</v>
      </c>
      <c r="D8" s="5" t="s">
        <v>9</v>
      </c>
      <c r="E8" s="5" t="s">
        <v>127</v>
      </c>
      <c r="F8" s="9" t="n">
        <v>46309</v>
      </c>
      <c r="G8" s="7" t="n">
        <v>93000</v>
      </c>
      <c r="H8" s="7" t="n">
        <v>13950</v>
      </c>
      <c r="I8" s="9" t="n">
        <v>46224</v>
      </c>
      <c r="J8" s="5" t="s">
        <v>128</v>
      </c>
      <c r="K8" s="5" t="s">
        <v>129</v>
      </c>
      <c r="L8" s="5" t="s">
        <v>58</v>
      </c>
      <c r="M8" s="5" t="s">
        <v>32</v>
      </c>
    </row>
    <row r="9" customFormat="false" ht="15" hidden="false" customHeight="true" outlineLevel="0" collapsed="false">
      <c r="A9" s="6" t="s">
        <v>130</v>
      </c>
      <c r="B9" s="6" t="s">
        <v>131</v>
      </c>
      <c r="C9" s="6" t="s">
        <v>132</v>
      </c>
      <c r="D9" s="6" t="s">
        <v>7</v>
      </c>
      <c r="E9" s="6" t="s">
        <v>133</v>
      </c>
      <c r="F9" s="10" t="n">
        <v>46273</v>
      </c>
      <c r="G9" s="8" t="n">
        <v>118000</v>
      </c>
      <c r="H9" s="8" t="n">
        <v>22420</v>
      </c>
      <c r="I9" s="10" t="n">
        <v>46221</v>
      </c>
      <c r="J9" s="6" t="s">
        <v>134</v>
      </c>
      <c r="K9" s="6" t="s">
        <v>100</v>
      </c>
      <c r="L9" s="6" t="s">
        <v>60</v>
      </c>
      <c r="M9" s="6" t="s">
        <v>32</v>
      </c>
    </row>
    <row r="10" customFormat="false" ht="15" hidden="false" customHeight="true" outlineLevel="0" collapsed="false">
      <c r="A10" s="5" t="s">
        <v>135</v>
      </c>
      <c r="B10" s="5" t="s">
        <v>136</v>
      </c>
      <c r="C10" s="5" t="s">
        <v>137</v>
      </c>
      <c r="D10" s="5" t="s">
        <v>8</v>
      </c>
      <c r="E10" s="5" t="s">
        <v>138</v>
      </c>
      <c r="F10" s="9" t="n">
        <v>46295</v>
      </c>
      <c r="G10" s="7" t="n">
        <v>57000</v>
      </c>
      <c r="H10" s="7" t="n">
        <v>7410</v>
      </c>
      <c r="I10" s="9" t="n">
        <v>46225</v>
      </c>
      <c r="J10" s="5" t="s">
        <v>139</v>
      </c>
      <c r="K10" s="5" t="s">
        <v>123</v>
      </c>
      <c r="L10" s="5" t="s">
        <v>61</v>
      </c>
      <c r="M10" s="5" t="s">
        <v>106</v>
      </c>
    </row>
    <row r="11" customFormat="false" ht="15" hidden="false" customHeight="true" outlineLevel="0" collapsed="false">
      <c r="A11" s="6" t="s">
        <v>140</v>
      </c>
      <c r="B11" s="6" t="s">
        <v>141</v>
      </c>
      <c r="C11" s="6" t="s">
        <v>142</v>
      </c>
      <c r="D11" s="6" t="s">
        <v>10</v>
      </c>
      <c r="E11" s="6" t="s">
        <v>143</v>
      </c>
      <c r="F11" s="10" t="n">
        <v>46358</v>
      </c>
      <c r="G11" s="8" t="n">
        <v>245000</v>
      </c>
      <c r="H11" s="8" t="n">
        <v>51450</v>
      </c>
      <c r="I11" s="10" t="n">
        <v>46220</v>
      </c>
      <c r="J11" s="6" t="s">
        <v>144</v>
      </c>
      <c r="K11" s="6" t="s">
        <v>129</v>
      </c>
      <c r="L11" s="6" t="s">
        <v>59</v>
      </c>
      <c r="M11" s="6" t="s">
        <v>112</v>
      </c>
    </row>
    <row r="12" customFormat="false" ht="15" hidden="false" customHeight="true" outlineLevel="0" collapsed="false">
      <c r="A12" s="5" t="s">
        <v>145</v>
      </c>
      <c r="B12" s="5" t="s">
        <v>146</v>
      </c>
      <c r="C12" s="5" t="s">
        <v>147</v>
      </c>
      <c r="D12" s="5" t="s">
        <v>7</v>
      </c>
      <c r="E12" s="5" t="s">
        <v>92</v>
      </c>
      <c r="F12" s="9" t="n">
        <v>46298</v>
      </c>
      <c r="G12" s="7" t="n">
        <v>132000</v>
      </c>
      <c r="H12" s="7" t="n">
        <v>23760</v>
      </c>
      <c r="I12" s="9" t="n">
        <v>46226</v>
      </c>
      <c r="J12" s="5" t="s">
        <v>148</v>
      </c>
      <c r="K12" s="5" t="s">
        <v>94</v>
      </c>
      <c r="L12" s="5" t="s">
        <v>40</v>
      </c>
      <c r="M12" s="5" t="s">
        <v>32</v>
      </c>
    </row>
    <row r="13" customFormat="false" ht="15" hidden="false" customHeight="true" outlineLevel="0" collapsed="false">
      <c r="A13" s="6" t="s">
        <v>149</v>
      </c>
      <c r="B13" s="6" t="s">
        <v>150</v>
      </c>
      <c r="C13" s="6" t="s">
        <v>151</v>
      </c>
      <c r="D13" s="6" t="s">
        <v>9</v>
      </c>
      <c r="E13" s="6" t="s">
        <v>127</v>
      </c>
      <c r="F13" s="10" t="n">
        <v>46290</v>
      </c>
      <c r="G13" s="8" t="n">
        <v>76000</v>
      </c>
      <c r="H13" s="8" t="n">
        <v>10640</v>
      </c>
      <c r="I13" s="10" t="n">
        <v>46225</v>
      </c>
      <c r="J13" s="6" t="s">
        <v>152</v>
      </c>
      <c r="K13" s="6" t="s">
        <v>129</v>
      </c>
      <c r="L13" s="6" t="s">
        <v>58</v>
      </c>
      <c r="M13" s="6" t="s">
        <v>106</v>
      </c>
    </row>
    <row r="14" customFormat="false" ht="15" hidden="false" customHeight="true" outlineLevel="0" collapsed="false">
      <c r="A14" s="5" t="s">
        <v>153</v>
      </c>
      <c r="B14" s="5" t="s">
        <v>154</v>
      </c>
      <c r="C14" s="5" t="s">
        <v>155</v>
      </c>
      <c r="D14" s="5" t="s">
        <v>10</v>
      </c>
      <c r="E14" s="5" t="s">
        <v>110</v>
      </c>
      <c r="F14" s="9" t="n">
        <v>46344</v>
      </c>
      <c r="G14" s="7" t="n">
        <v>184000</v>
      </c>
      <c r="H14" s="7" t="n">
        <v>34960</v>
      </c>
      <c r="I14" s="9" t="n">
        <v>46222</v>
      </c>
      <c r="J14" s="5" t="s">
        <v>156</v>
      </c>
      <c r="K14" s="5" t="s">
        <v>129</v>
      </c>
      <c r="L14" s="5" t="s">
        <v>54</v>
      </c>
      <c r="M14" s="5" t="s">
        <v>112</v>
      </c>
    </row>
    <row r="15" customFormat="false" ht="15" hidden="false" customHeight="true" outlineLevel="0" collapsed="false">
      <c r="A15" s="6" t="s">
        <v>157</v>
      </c>
      <c r="B15" s="6" t="s">
        <v>158</v>
      </c>
      <c r="C15" s="6" t="s">
        <v>159</v>
      </c>
      <c r="D15" s="6" t="s">
        <v>8</v>
      </c>
      <c r="E15" s="6" t="s">
        <v>104</v>
      </c>
      <c r="F15" s="10" t="n">
        <v>46265</v>
      </c>
      <c r="G15" s="8" t="n">
        <v>49000</v>
      </c>
      <c r="H15" s="8" t="n">
        <v>6370</v>
      </c>
      <c r="I15" s="10" t="n">
        <v>46224</v>
      </c>
      <c r="J15" s="6" t="s">
        <v>160</v>
      </c>
      <c r="K15" s="6" t="s">
        <v>123</v>
      </c>
      <c r="L15" s="6" t="s">
        <v>49</v>
      </c>
      <c r="M15" s="6" t="s">
        <v>106</v>
      </c>
    </row>
    <row r="16" customFormat="false" ht="15" hidden="false" customHeight="true" outlineLevel="0" collapsed="false">
      <c r="A16" s="5" t="s">
        <v>161</v>
      </c>
      <c r="B16" s="5" t="s">
        <v>162</v>
      </c>
      <c r="C16" s="5" t="s">
        <v>163</v>
      </c>
      <c r="D16" s="5" t="s">
        <v>7</v>
      </c>
      <c r="E16" s="5" t="s">
        <v>116</v>
      </c>
      <c r="F16" s="9" t="n">
        <v>46305</v>
      </c>
      <c r="G16" s="7" t="n">
        <v>171000</v>
      </c>
      <c r="H16" s="7" t="n">
        <v>30780</v>
      </c>
      <c r="I16" s="9" t="n">
        <v>46221</v>
      </c>
      <c r="J16" s="5" t="s">
        <v>164</v>
      </c>
      <c r="K16" s="5" t="s">
        <v>100</v>
      </c>
      <c r="L16" s="5" t="s">
        <v>56</v>
      </c>
      <c r="M16" s="5" t="s">
        <v>32</v>
      </c>
    </row>
    <row r="17" customFormat="false" ht="15" hidden="false" customHeight="true" outlineLevel="0" collapsed="false">
      <c r="A17" s="6" t="s">
        <v>165</v>
      </c>
      <c r="B17" s="6" t="s">
        <v>166</v>
      </c>
      <c r="C17" s="6" t="s">
        <v>167</v>
      </c>
      <c r="D17" s="6" t="s">
        <v>9</v>
      </c>
      <c r="E17" s="6" t="s">
        <v>98</v>
      </c>
      <c r="F17" s="10" t="n">
        <v>46315</v>
      </c>
      <c r="G17" s="8" t="n">
        <v>102000</v>
      </c>
      <c r="H17" s="8" t="n">
        <v>14280</v>
      </c>
      <c r="I17" s="10" t="n">
        <v>46223</v>
      </c>
      <c r="J17" s="6" t="s">
        <v>168</v>
      </c>
      <c r="K17" s="6" t="s">
        <v>123</v>
      </c>
      <c r="L17" s="6" t="s">
        <v>51</v>
      </c>
      <c r="M17" s="6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.2"/>
    <col collapsed="false" customWidth="true" hidden="false" outlineLevel="0" max="2" min="2" style="1" width="17.68"/>
    <col collapsed="false" customWidth="true" hidden="false" outlineLevel="0" max="3" min="3" style="1" width="12.08"/>
    <col collapsed="false" customWidth="true" hidden="false" outlineLevel="0" max="4" min="4" style="1" width="22.16"/>
    <col collapsed="false" customWidth="true" hidden="false" outlineLevel="0" max="5" min="5" style="1" width="18.8"/>
    <col collapsed="false" customWidth="true" hidden="false" outlineLevel="0" max="6" min="6" style="1" width="22.16"/>
    <col collapsed="false" customWidth="true" hidden="false" outlineLevel="0" max="7" min="7" style="1" width="23.28"/>
    <col collapsed="false" customWidth="true" hidden="false" outlineLevel="0" max="8" min="8" style="1" width="15.44"/>
    <col collapsed="false" customWidth="true" hidden="false" outlineLevel="0" max="9" min="9" style="1" width="18.8"/>
    <col collapsed="false" customWidth="true" hidden="false" outlineLevel="0" max="14" min="10" style="1" width="48"/>
  </cols>
  <sheetData>
    <row r="1" customFormat="false" ht="15" hidden="false" customHeight="true" outlineLevel="0" collapsed="false">
      <c r="A1" s="4" t="s">
        <v>78</v>
      </c>
      <c r="B1" s="4" t="s">
        <v>79</v>
      </c>
      <c r="C1" s="4" t="s">
        <v>2</v>
      </c>
      <c r="D1" s="4" t="s">
        <v>86</v>
      </c>
      <c r="E1" s="4" t="s">
        <v>87</v>
      </c>
      <c r="F1" s="4" t="s">
        <v>88</v>
      </c>
      <c r="G1" s="4" t="s">
        <v>14</v>
      </c>
      <c r="H1" s="4" t="s">
        <v>83</v>
      </c>
      <c r="I1" s="4" t="s">
        <v>84</v>
      </c>
      <c r="J1" s="4" t="s">
        <v>67</v>
      </c>
      <c r="K1" s="4" t="s">
        <v>169</v>
      </c>
      <c r="L1" s="4" t="s">
        <v>170</v>
      </c>
      <c r="M1" s="4" t="s">
        <v>171</v>
      </c>
      <c r="N1" s="4" t="s">
        <v>172</v>
      </c>
    </row>
    <row r="2" customFormat="false" ht="15" hidden="false" customHeight="true" outlineLevel="0" collapsed="false">
      <c r="A2" s="5" t="s">
        <v>89</v>
      </c>
      <c r="B2" s="5" t="s">
        <v>90</v>
      </c>
      <c r="C2" s="5" t="s">
        <v>7</v>
      </c>
      <c r="D2" s="5" t="s">
        <v>94</v>
      </c>
      <c r="E2" s="5" t="s">
        <v>40</v>
      </c>
      <c r="F2" s="5" t="s">
        <v>32</v>
      </c>
      <c r="G2" s="9" t="n">
        <v>46221</v>
      </c>
      <c r="H2" s="7" t="n">
        <v>125000</v>
      </c>
      <c r="I2" s="7" t="n">
        <v>22500</v>
      </c>
      <c r="J2" s="5" t="str">
        <f aca="false">VLOOKUP(E2,'Readiness Inputs'!$A$2:$H$11,8,FALSE())</f>
        <v>Ready - pending manager</v>
      </c>
      <c r="K2" s="5" t="str">
        <f aca="false">IF(J2="Ready - pending manager","Yes",IF(AND(J2="Limited exception - staged supervised",F2&lt;&gt;"High"),"Limited","No"))</f>
        <v>Yes</v>
      </c>
      <c r="L2" s="11" t="n">
        <f aca="false">IF(F2="High",5,IF(F2="Standard",3,1))+IF(G2&lt;=DATE(2026,7,18),2,0)+IF(H2&gt;=Assumptions!$B$2,1,0)</f>
        <v>6</v>
      </c>
      <c r="M2" s="5" t="str">
        <f aca="false">IF(J2="Ready - pending manager","Staged eligible handoff - pending approval",IF(AND(J2="Limited exception - staged supervised",F2&lt;&gt;"High"),"Staged limited supervised - exception approved",IF(OR(J2="Blocked - unresolved exception",F2="High"),"Escalate to supervisor","Remain temporary coverage")))</f>
        <v>Staged eligible handoff - pending approval</v>
      </c>
      <c r="N2" s="5" t="str">
        <f aca="false">IF(M2="Staged eligible handoff - pending approval","Stage supervisor-reviewed handoff after manager approval",IF(M2="Staged limited supervised - exception approved","Senior rep reviews every customer response",IF(M2="Escalate to supervisor","Supervisor retains customer response", "Temporary owner keeps coverage until evidence closes")))</f>
        <v>Stage supervisor-reviewed handoff after manager approval</v>
      </c>
    </row>
    <row r="3" customFormat="false" ht="15" hidden="false" customHeight="true" outlineLevel="0" collapsed="false">
      <c r="A3" s="6" t="s">
        <v>95</v>
      </c>
      <c r="B3" s="6" t="s">
        <v>96</v>
      </c>
      <c r="C3" s="6" t="s">
        <v>9</v>
      </c>
      <c r="D3" s="6" t="s">
        <v>100</v>
      </c>
      <c r="E3" s="6" t="s">
        <v>51</v>
      </c>
      <c r="F3" s="6" t="s">
        <v>32</v>
      </c>
      <c r="G3" s="10" t="n">
        <v>46222</v>
      </c>
      <c r="H3" s="8" t="n">
        <v>88000</v>
      </c>
      <c r="I3" s="8" t="n">
        <v>12320</v>
      </c>
      <c r="J3" s="6" t="str">
        <f aca="false">VLOOKUP(E3,'Readiness Inputs'!$A$2:$H$11,8,FALSE())</f>
        <v>Remediation required</v>
      </c>
      <c r="K3" s="6" t="str">
        <f aca="false">IF(J3="Ready - pending manager","Yes",IF(AND(J3="Limited exception - staged supervised",F3&lt;&gt;"High"),"Limited","No"))</f>
        <v>No</v>
      </c>
      <c r="L3" s="12" t="n">
        <f aca="false">IF(F3="High",5,IF(F3="Standard",3,1))+IF(G3&lt;=DATE(2026,7,18),2,0)+IF(H3&gt;=Assumptions!$B$2,1,0)</f>
        <v>4</v>
      </c>
      <c r="M3" s="6" t="str">
        <f aca="false">IF(J3="Ready - pending manager","Staged eligible handoff - pending approval",IF(AND(J3="Limited exception - staged supervised",F3&lt;&gt;"High"),"Staged limited supervised - exception approved",IF(OR(J3="Blocked - unresolved exception",F3="High"),"Escalate to supervisor","Remain temporary coverage")))</f>
        <v>Remain temporary coverage</v>
      </c>
      <c r="N3" s="6" t="str">
        <f aca="false">IF(M3="Staged eligible handoff - pending approval","Stage supervisor-reviewed handoff after manager approval",IF(M3="Staged limited supervised - exception approved","Senior rep reviews every customer response",IF(M3="Escalate to supervisor","Supervisor retains customer response", "Temporary owner keeps coverage until evidence closes")))</f>
        <v>Temporary owner keeps coverage until evidence closes</v>
      </c>
    </row>
    <row r="4" customFormat="false" ht="15" hidden="false" customHeight="true" outlineLevel="0" collapsed="false">
      <c r="A4" s="5" t="s">
        <v>101</v>
      </c>
      <c r="B4" s="5" t="s">
        <v>102</v>
      </c>
      <c r="C4" s="5" t="s">
        <v>8</v>
      </c>
      <c r="D4" s="5" t="s">
        <v>94</v>
      </c>
      <c r="E4" s="5" t="s">
        <v>49</v>
      </c>
      <c r="F4" s="5" t="s">
        <v>106</v>
      </c>
      <c r="G4" s="9" t="n">
        <v>46221</v>
      </c>
      <c r="H4" s="7" t="n">
        <v>64000</v>
      </c>
      <c r="I4" s="7" t="n">
        <v>8960</v>
      </c>
      <c r="J4" s="5" t="str">
        <f aca="false">VLOOKUP(E4,'Readiness Inputs'!$A$2:$H$11,8,FALSE())</f>
        <v>Limited exception - staged supervised</v>
      </c>
      <c r="K4" s="5" t="str">
        <f aca="false">IF(J4="Ready - pending manager","Yes",IF(AND(J4="Limited exception - staged supervised",F4&lt;&gt;"High"),"Limited","No"))</f>
        <v>Limited</v>
      </c>
      <c r="L4" s="11" t="n">
        <f aca="false">IF(F4="High",5,IF(F4="Standard",3,1))+IF(G4&lt;=DATE(2026,7,18),2,0)+IF(H4&gt;=Assumptions!$B$2,1,0)</f>
        <v>4</v>
      </c>
      <c r="M4" s="5" t="str">
        <f aca="false">IF(J4="Ready - pending manager","Staged eligible handoff - pending approval",IF(AND(J4="Limited exception - staged supervised",F4&lt;&gt;"High"),"Staged limited supervised - exception approved",IF(OR(J4="Blocked - unresolved exception",F4="High"),"Escalate to supervisor","Remain temporary coverage")))</f>
        <v>Staged limited supervised - exception approved</v>
      </c>
      <c r="N4" s="5" t="str">
        <f aca="false">IF(M4="Staged eligible handoff - pending approval","Stage supervisor-reviewed handoff after manager approval",IF(M4="Staged limited supervised - exception approved","Senior rep reviews every customer response",IF(M4="Escalate to supervisor","Supervisor retains customer response", "Temporary owner keeps coverage until evidence closes")))</f>
        <v>Senior rep reviews every customer response</v>
      </c>
    </row>
    <row r="5" customFormat="false" ht="15" hidden="false" customHeight="true" outlineLevel="0" collapsed="false">
      <c r="A5" s="6" t="s">
        <v>107</v>
      </c>
      <c r="B5" s="6" t="s">
        <v>108</v>
      </c>
      <c r="C5" s="6" t="s">
        <v>10</v>
      </c>
      <c r="D5" s="6" t="s">
        <v>100</v>
      </c>
      <c r="E5" s="6" t="s">
        <v>54</v>
      </c>
      <c r="F5" s="6" t="s">
        <v>112</v>
      </c>
      <c r="G5" s="10" t="n">
        <v>46220</v>
      </c>
      <c r="H5" s="8" t="n">
        <v>210000</v>
      </c>
      <c r="I5" s="8" t="n">
        <v>42000</v>
      </c>
      <c r="J5" s="6" t="str">
        <f aca="false">VLOOKUP(E5,'Readiness Inputs'!$A$2:$H$11,8,FALSE())</f>
        <v>Blocked - unresolved exception</v>
      </c>
      <c r="K5" s="6" t="str">
        <f aca="false">IF(J5="Ready - pending manager","Yes",IF(AND(J5="Limited exception - staged supervised",F5&lt;&gt;"High"),"Limited","No"))</f>
        <v>No</v>
      </c>
      <c r="L5" s="12" t="n">
        <f aca="false">IF(F5="High",5,IF(F5="Standard",3,1))+IF(G5&lt;=DATE(2026,7,18),2,0)+IF(H5&gt;=Assumptions!$B$2,1,0)</f>
        <v>8</v>
      </c>
      <c r="M5" s="6" t="str">
        <f aca="false">IF(J5="Ready - pending manager","Staged eligible handoff - pending approval",IF(AND(J5="Limited exception - staged supervised",F5&lt;&gt;"High"),"Staged limited supervised - exception approved",IF(OR(J5="Blocked - unresolved exception",F5="High"),"Escalate to supervisor","Remain temporary coverage")))</f>
        <v>Escalate to supervisor</v>
      </c>
      <c r="N5" s="6" t="str">
        <f aca="false">IF(M5="Staged eligible handoff - pending approval","Stage supervisor-reviewed handoff after manager approval",IF(M5="Staged limited supervised - exception approved","Senior rep reviews every customer response",IF(M5="Escalate to supervisor","Supervisor retains customer response", "Temporary owner keeps coverage until evidence closes")))</f>
        <v>Supervisor retains customer response</v>
      </c>
    </row>
    <row r="6" customFormat="false" ht="15" hidden="false" customHeight="true" outlineLevel="0" collapsed="false">
      <c r="A6" s="5" t="s">
        <v>113</v>
      </c>
      <c r="B6" s="5" t="s">
        <v>114</v>
      </c>
      <c r="C6" s="5" t="s">
        <v>7</v>
      </c>
      <c r="D6" s="5" t="s">
        <v>94</v>
      </c>
      <c r="E6" s="5" t="s">
        <v>56</v>
      </c>
      <c r="F6" s="5" t="s">
        <v>32</v>
      </c>
      <c r="G6" s="9" t="n">
        <v>46223</v>
      </c>
      <c r="H6" s="7" t="n">
        <v>156000</v>
      </c>
      <c r="I6" s="7" t="n">
        <v>28080</v>
      </c>
      <c r="J6" s="5" t="str">
        <f aca="false">VLOOKUP(E6,'Readiness Inputs'!$A$2:$H$11,8,FALSE())</f>
        <v>Remediation required</v>
      </c>
      <c r="K6" s="5" t="str">
        <f aca="false">IF(J6="Ready - pending manager","Yes",IF(AND(J6="Limited exception - staged supervised",F6&lt;&gt;"High"),"Limited","No"))</f>
        <v>No</v>
      </c>
      <c r="L6" s="11" t="n">
        <f aca="false">IF(F6="High",5,IF(F6="Standard",3,1))+IF(G6&lt;=DATE(2026,7,18),2,0)+IF(H6&gt;=Assumptions!$B$2,1,0)</f>
        <v>4</v>
      </c>
      <c r="M6" s="5" t="str">
        <f aca="false">IF(J6="Ready - pending manager","Staged eligible handoff - pending approval",IF(AND(J6="Limited exception - staged supervised",F6&lt;&gt;"High"),"Staged limited supervised - exception approved",IF(OR(J6="Blocked - unresolved exception",F6="High"),"Escalate to supervisor","Remain temporary coverage")))</f>
        <v>Remain temporary coverage</v>
      </c>
      <c r="N6" s="5" t="str">
        <f aca="false">IF(M6="Staged eligible handoff - pending approval","Stage supervisor-reviewed handoff after manager approval",IF(M6="Staged limited supervised - exception approved","Senior rep reviews every customer response",IF(M6="Escalate to supervisor","Supervisor retains customer response", "Temporary owner keeps coverage until evidence closes")))</f>
        <v>Temporary owner keeps coverage until evidence closes</v>
      </c>
    </row>
    <row r="7" customFormat="false" ht="15" hidden="false" customHeight="true" outlineLevel="0" collapsed="false">
      <c r="A7" s="6" t="s">
        <v>118</v>
      </c>
      <c r="B7" s="6" t="s">
        <v>119</v>
      </c>
      <c r="C7" s="6" t="s">
        <v>8</v>
      </c>
      <c r="D7" s="6" t="s">
        <v>123</v>
      </c>
      <c r="E7" s="6" t="s">
        <v>57</v>
      </c>
      <c r="F7" s="6" t="s">
        <v>32</v>
      </c>
      <c r="G7" s="10" t="n">
        <v>46221</v>
      </c>
      <c r="H7" s="8" t="n">
        <v>72000</v>
      </c>
      <c r="I7" s="8" t="n">
        <v>10080</v>
      </c>
      <c r="J7" s="6" t="str">
        <f aca="false">VLOOKUP(E7,'Readiness Inputs'!$A$2:$H$11,8,FALSE())</f>
        <v>Pending evidence</v>
      </c>
      <c r="K7" s="6" t="str">
        <f aca="false">IF(J7="Ready - pending manager","Yes",IF(AND(J7="Limited exception - staged supervised",F7&lt;&gt;"High"),"Limited","No"))</f>
        <v>No</v>
      </c>
      <c r="L7" s="12" t="n">
        <f aca="false">IF(F7="High",5,IF(F7="Standard",3,1))+IF(G7&lt;=DATE(2026,7,18),2,0)+IF(H7&gt;=Assumptions!$B$2,1,0)</f>
        <v>6</v>
      </c>
      <c r="M7" s="6" t="str">
        <f aca="false">IF(J7="Ready - pending manager","Staged eligible handoff - pending approval",IF(AND(J7="Limited exception - staged supervised",F7&lt;&gt;"High"),"Staged limited supervised - exception approved",IF(OR(J7="Blocked - unresolved exception",F7="High"),"Escalate to supervisor","Remain temporary coverage")))</f>
        <v>Remain temporary coverage</v>
      </c>
      <c r="N7" s="6" t="str">
        <f aca="false">IF(M7="Staged eligible handoff - pending approval","Stage supervisor-reviewed handoff after manager approval",IF(M7="Staged limited supervised - exception approved","Senior rep reviews every customer response",IF(M7="Escalate to supervisor","Supervisor retains customer response", "Temporary owner keeps coverage until evidence closes")))</f>
        <v>Temporary owner keeps coverage until evidence closes</v>
      </c>
    </row>
    <row r="8" customFormat="false" ht="15" hidden="false" customHeight="true" outlineLevel="0" collapsed="false">
      <c r="A8" s="5" t="s">
        <v>124</v>
      </c>
      <c r="B8" s="5" t="s">
        <v>125</v>
      </c>
      <c r="C8" s="5" t="s">
        <v>9</v>
      </c>
      <c r="D8" s="5" t="s">
        <v>129</v>
      </c>
      <c r="E8" s="5" t="s">
        <v>58</v>
      </c>
      <c r="F8" s="5" t="s">
        <v>32</v>
      </c>
      <c r="G8" s="9" t="n">
        <v>46224</v>
      </c>
      <c r="H8" s="7" t="n">
        <v>93000</v>
      </c>
      <c r="I8" s="7" t="n">
        <v>13950</v>
      </c>
      <c r="J8" s="5" t="str">
        <f aca="false">VLOOKUP(E8,'Readiness Inputs'!$A$2:$H$11,8,FALSE())</f>
        <v>Ready - pending manager</v>
      </c>
      <c r="K8" s="5" t="str">
        <f aca="false">IF(J8="Ready - pending manager","Yes",IF(AND(J8="Limited exception - staged supervised",F8&lt;&gt;"High"),"Limited","No"))</f>
        <v>Yes</v>
      </c>
      <c r="L8" s="11" t="n">
        <f aca="false">IF(F8="High",5,IF(F8="Standard",3,1))+IF(G8&lt;=DATE(2026,7,18),2,0)+IF(H8&gt;=Assumptions!$B$2,1,0)</f>
        <v>4</v>
      </c>
      <c r="M8" s="5" t="str">
        <f aca="false">IF(J8="Ready - pending manager","Staged eligible handoff - pending approval",IF(AND(J8="Limited exception - staged supervised",F8&lt;&gt;"High"),"Staged limited supervised - exception approved",IF(OR(J8="Blocked - unresolved exception",F8="High"),"Escalate to supervisor","Remain temporary coverage")))</f>
        <v>Staged eligible handoff - pending approval</v>
      </c>
      <c r="N8" s="5" t="str">
        <f aca="false">IF(M8="Staged eligible handoff - pending approval","Stage supervisor-reviewed handoff after manager approval",IF(M8="Staged limited supervised - exception approved","Senior rep reviews every customer response",IF(M8="Escalate to supervisor","Supervisor retains customer response", "Temporary owner keeps coverage until evidence closes")))</f>
        <v>Stage supervisor-reviewed handoff after manager approval</v>
      </c>
    </row>
    <row r="9" customFormat="false" ht="15" hidden="false" customHeight="true" outlineLevel="0" collapsed="false">
      <c r="A9" s="6" t="s">
        <v>130</v>
      </c>
      <c r="B9" s="6" t="s">
        <v>131</v>
      </c>
      <c r="C9" s="6" t="s">
        <v>7</v>
      </c>
      <c r="D9" s="6" t="s">
        <v>100</v>
      </c>
      <c r="E9" s="6" t="s">
        <v>60</v>
      </c>
      <c r="F9" s="6" t="s">
        <v>32</v>
      </c>
      <c r="G9" s="10" t="n">
        <v>46221</v>
      </c>
      <c r="H9" s="8" t="n">
        <v>118000</v>
      </c>
      <c r="I9" s="8" t="n">
        <v>22420</v>
      </c>
      <c r="J9" s="6" t="str">
        <f aca="false">VLOOKUP(E9,'Readiness Inputs'!$A$2:$H$11,8,FALSE())</f>
        <v>Pending evidence</v>
      </c>
      <c r="K9" s="6" t="str">
        <f aca="false">IF(J9="Ready - pending manager","Yes",IF(AND(J9="Limited exception - staged supervised",F9&lt;&gt;"High"),"Limited","No"))</f>
        <v>No</v>
      </c>
      <c r="L9" s="12" t="n">
        <f aca="false">IF(F9="High",5,IF(F9="Standard",3,1))+IF(G9&lt;=DATE(2026,7,18),2,0)+IF(H9&gt;=Assumptions!$B$2,1,0)</f>
        <v>6</v>
      </c>
      <c r="M9" s="6" t="str">
        <f aca="false">IF(J9="Ready - pending manager","Staged eligible handoff - pending approval",IF(AND(J9="Limited exception - staged supervised",F9&lt;&gt;"High"),"Staged limited supervised - exception approved",IF(OR(J9="Blocked - unresolved exception",F9="High"),"Escalate to supervisor","Remain temporary coverage")))</f>
        <v>Remain temporary coverage</v>
      </c>
      <c r="N9" s="6" t="str">
        <f aca="false">IF(M9="Staged eligible handoff - pending approval","Stage supervisor-reviewed handoff after manager approval",IF(M9="Staged limited supervised - exception approved","Senior rep reviews every customer response",IF(M9="Escalate to supervisor","Supervisor retains customer response", "Temporary owner keeps coverage until evidence closes")))</f>
        <v>Temporary owner keeps coverage until evidence closes</v>
      </c>
    </row>
    <row r="10" customFormat="false" ht="15" hidden="false" customHeight="true" outlineLevel="0" collapsed="false">
      <c r="A10" s="5" t="s">
        <v>135</v>
      </c>
      <c r="B10" s="5" t="s">
        <v>136</v>
      </c>
      <c r="C10" s="5" t="s">
        <v>8</v>
      </c>
      <c r="D10" s="5" t="s">
        <v>123</v>
      </c>
      <c r="E10" s="5" t="s">
        <v>61</v>
      </c>
      <c r="F10" s="5" t="s">
        <v>106</v>
      </c>
      <c r="G10" s="9" t="n">
        <v>46225</v>
      </c>
      <c r="H10" s="7" t="n">
        <v>57000</v>
      </c>
      <c r="I10" s="7" t="n">
        <v>7410</v>
      </c>
      <c r="J10" s="5" t="str">
        <f aca="false">VLOOKUP(E10,'Readiness Inputs'!$A$2:$H$11,8,FALSE())</f>
        <v>Ready - pending manager</v>
      </c>
      <c r="K10" s="5" t="str">
        <f aca="false">IF(J10="Ready - pending manager","Yes",IF(AND(J10="Limited exception - staged supervised",F10&lt;&gt;"High"),"Limited","No"))</f>
        <v>Yes</v>
      </c>
      <c r="L10" s="11" t="n">
        <f aca="false">IF(F10="High",5,IF(F10="Standard",3,1))+IF(G10&lt;=DATE(2026,7,18),2,0)+IF(H10&gt;=Assumptions!$B$2,1,0)</f>
        <v>2</v>
      </c>
      <c r="M10" s="5" t="str">
        <f aca="false">IF(J10="Ready - pending manager","Staged eligible handoff - pending approval",IF(AND(J10="Limited exception - staged supervised",F10&lt;&gt;"High"),"Staged limited supervised - exception approved",IF(OR(J10="Blocked - unresolved exception",F10="High"),"Escalate to supervisor","Remain temporary coverage")))</f>
        <v>Staged eligible handoff - pending approval</v>
      </c>
      <c r="N10" s="5" t="str">
        <f aca="false">IF(M10="Staged eligible handoff - pending approval","Stage supervisor-reviewed handoff after manager approval",IF(M10="Staged limited supervised - exception approved","Senior rep reviews every customer response",IF(M10="Escalate to supervisor","Supervisor retains customer response", "Temporary owner keeps coverage until evidence closes")))</f>
        <v>Stage supervisor-reviewed handoff after manager approval</v>
      </c>
    </row>
    <row r="11" customFormat="false" ht="15" hidden="false" customHeight="true" outlineLevel="0" collapsed="false">
      <c r="A11" s="6" t="s">
        <v>140</v>
      </c>
      <c r="B11" s="6" t="s">
        <v>141</v>
      </c>
      <c r="C11" s="6" t="s">
        <v>10</v>
      </c>
      <c r="D11" s="6" t="s">
        <v>129</v>
      </c>
      <c r="E11" s="6" t="s">
        <v>59</v>
      </c>
      <c r="F11" s="6" t="s">
        <v>112</v>
      </c>
      <c r="G11" s="10" t="n">
        <v>46220</v>
      </c>
      <c r="H11" s="8" t="n">
        <v>245000</v>
      </c>
      <c r="I11" s="8" t="n">
        <v>51450</v>
      </c>
      <c r="J11" s="6" t="str">
        <f aca="false">VLOOKUP(E11,'Readiness Inputs'!$A$2:$H$11,8,FALSE())</f>
        <v>Blocked - unresolved exception</v>
      </c>
      <c r="K11" s="6" t="str">
        <f aca="false">IF(J11="Ready - pending manager","Yes",IF(AND(J11="Limited exception - staged supervised",F11&lt;&gt;"High"),"Limited","No"))</f>
        <v>No</v>
      </c>
      <c r="L11" s="12" t="n">
        <f aca="false">IF(F11="High",5,IF(F11="Standard",3,1))+IF(G11&lt;=DATE(2026,7,18),2,0)+IF(H11&gt;=Assumptions!$B$2,1,0)</f>
        <v>8</v>
      </c>
      <c r="M11" s="6" t="str">
        <f aca="false">IF(J11="Ready - pending manager","Staged eligible handoff - pending approval",IF(AND(J11="Limited exception - staged supervised",F11&lt;&gt;"High"),"Staged limited supervised - exception approved",IF(OR(J11="Blocked - unresolved exception",F11="High"),"Escalate to supervisor","Remain temporary coverage")))</f>
        <v>Escalate to supervisor</v>
      </c>
      <c r="N11" s="6" t="str">
        <f aca="false">IF(M11="Staged eligible handoff - pending approval","Stage supervisor-reviewed handoff after manager approval",IF(M11="Staged limited supervised - exception approved","Senior rep reviews every customer response",IF(M11="Escalate to supervisor","Supervisor retains customer response", "Temporary owner keeps coverage until evidence closes")))</f>
        <v>Supervisor retains customer response</v>
      </c>
    </row>
    <row r="12" customFormat="false" ht="15" hidden="false" customHeight="true" outlineLevel="0" collapsed="false">
      <c r="A12" s="5" t="s">
        <v>145</v>
      </c>
      <c r="B12" s="5" t="s">
        <v>146</v>
      </c>
      <c r="C12" s="5" t="s">
        <v>7</v>
      </c>
      <c r="D12" s="5" t="s">
        <v>94</v>
      </c>
      <c r="E12" s="5" t="s">
        <v>40</v>
      </c>
      <c r="F12" s="5" t="s">
        <v>32</v>
      </c>
      <c r="G12" s="9" t="n">
        <v>46226</v>
      </c>
      <c r="H12" s="7" t="n">
        <v>132000</v>
      </c>
      <c r="I12" s="7" t="n">
        <v>23760</v>
      </c>
      <c r="J12" s="5" t="str">
        <f aca="false">VLOOKUP(E12,'Readiness Inputs'!$A$2:$H$11,8,FALSE())</f>
        <v>Ready - pending manager</v>
      </c>
      <c r="K12" s="5" t="str">
        <f aca="false">IF(J12="Ready - pending manager","Yes",IF(AND(J12="Limited exception - staged supervised",F12&lt;&gt;"High"),"Limited","No"))</f>
        <v>Yes</v>
      </c>
      <c r="L12" s="11" t="n">
        <f aca="false">IF(F12="High",5,IF(F12="Standard",3,1))+IF(G12&lt;=DATE(2026,7,18),2,0)+IF(H12&gt;=Assumptions!$B$2,1,0)</f>
        <v>4</v>
      </c>
      <c r="M12" s="5" t="str">
        <f aca="false">IF(J12="Ready - pending manager","Staged eligible handoff - pending approval",IF(AND(J12="Limited exception - staged supervised",F12&lt;&gt;"High"),"Staged limited supervised - exception approved",IF(OR(J12="Blocked - unresolved exception",F12="High"),"Escalate to supervisor","Remain temporary coverage")))</f>
        <v>Staged eligible handoff - pending approval</v>
      </c>
      <c r="N12" s="5" t="str">
        <f aca="false">IF(M12="Staged eligible handoff - pending approval","Stage supervisor-reviewed handoff after manager approval",IF(M12="Staged limited supervised - exception approved","Senior rep reviews every customer response",IF(M12="Escalate to supervisor","Supervisor retains customer response", "Temporary owner keeps coverage until evidence closes")))</f>
        <v>Stage supervisor-reviewed handoff after manager approval</v>
      </c>
    </row>
    <row r="13" customFormat="false" ht="15" hidden="false" customHeight="true" outlineLevel="0" collapsed="false">
      <c r="A13" s="6" t="s">
        <v>149</v>
      </c>
      <c r="B13" s="6" t="s">
        <v>150</v>
      </c>
      <c r="C13" s="6" t="s">
        <v>9</v>
      </c>
      <c r="D13" s="6" t="s">
        <v>129</v>
      </c>
      <c r="E13" s="6" t="s">
        <v>58</v>
      </c>
      <c r="F13" s="6" t="s">
        <v>106</v>
      </c>
      <c r="G13" s="10" t="n">
        <v>46225</v>
      </c>
      <c r="H13" s="8" t="n">
        <v>76000</v>
      </c>
      <c r="I13" s="8" t="n">
        <v>10640</v>
      </c>
      <c r="J13" s="6" t="str">
        <f aca="false">VLOOKUP(E13,'Readiness Inputs'!$A$2:$H$11,8,FALSE())</f>
        <v>Ready - pending manager</v>
      </c>
      <c r="K13" s="6" t="str">
        <f aca="false">IF(J13="Ready - pending manager","Yes",IF(AND(J13="Limited exception - staged supervised",F13&lt;&gt;"High"),"Limited","No"))</f>
        <v>Yes</v>
      </c>
      <c r="L13" s="12" t="n">
        <f aca="false">IF(F13="High",5,IF(F13="Standard",3,1))+IF(G13&lt;=DATE(2026,7,18),2,0)+IF(H13&gt;=Assumptions!$B$2,1,0)</f>
        <v>2</v>
      </c>
      <c r="M13" s="6" t="str">
        <f aca="false">IF(J13="Ready - pending manager","Staged eligible handoff - pending approval",IF(AND(J13="Limited exception - staged supervised",F13&lt;&gt;"High"),"Staged limited supervised - exception approved",IF(OR(J13="Blocked - unresolved exception",F13="High"),"Escalate to supervisor","Remain temporary coverage")))</f>
        <v>Staged eligible handoff - pending approval</v>
      </c>
      <c r="N13" s="6" t="str">
        <f aca="false">IF(M13="Staged eligible handoff - pending approval","Stage supervisor-reviewed handoff after manager approval",IF(M13="Staged limited supervised - exception approved","Senior rep reviews every customer response",IF(M13="Escalate to supervisor","Supervisor retains customer response", "Temporary owner keeps coverage until evidence closes")))</f>
        <v>Stage supervisor-reviewed handoff after manager approval</v>
      </c>
    </row>
    <row r="14" customFormat="false" ht="15" hidden="false" customHeight="true" outlineLevel="0" collapsed="false">
      <c r="A14" s="5" t="s">
        <v>153</v>
      </c>
      <c r="B14" s="5" t="s">
        <v>154</v>
      </c>
      <c r="C14" s="5" t="s">
        <v>10</v>
      </c>
      <c r="D14" s="5" t="s">
        <v>129</v>
      </c>
      <c r="E14" s="5" t="s">
        <v>54</v>
      </c>
      <c r="F14" s="5" t="s">
        <v>112</v>
      </c>
      <c r="G14" s="9" t="n">
        <v>46222</v>
      </c>
      <c r="H14" s="7" t="n">
        <v>184000</v>
      </c>
      <c r="I14" s="7" t="n">
        <v>34960</v>
      </c>
      <c r="J14" s="5" t="str">
        <f aca="false">VLOOKUP(E14,'Readiness Inputs'!$A$2:$H$11,8,FALSE())</f>
        <v>Blocked - unresolved exception</v>
      </c>
      <c r="K14" s="5" t="str">
        <f aca="false">IF(J14="Ready - pending manager","Yes",IF(AND(J14="Limited exception - staged supervised",F14&lt;&gt;"High"),"Limited","No"))</f>
        <v>No</v>
      </c>
      <c r="L14" s="11" t="n">
        <f aca="false">IF(F14="High",5,IF(F14="Standard",3,1))+IF(G14&lt;=DATE(2026,7,18),2,0)+IF(H14&gt;=Assumptions!$B$2,1,0)</f>
        <v>6</v>
      </c>
      <c r="M14" s="5" t="str">
        <f aca="false">IF(J14="Ready - pending manager","Staged eligible handoff - pending approval",IF(AND(J14="Limited exception - staged supervised",F14&lt;&gt;"High"),"Staged limited supervised - exception approved",IF(OR(J14="Blocked - unresolved exception",F14="High"),"Escalate to supervisor","Remain temporary coverage")))</f>
        <v>Escalate to supervisor</v>
      </c>
      <c r="N14" s="5" t="str">
        <f aca="false">IF(M14="Staged eligible handoff - pending approval","Stage supervisor-reviewed handoff after manager approval",IF(M14="Staged limited supervised - exception approved","Senior rep reviews every customer response",IF(M14="Escalate to supervisor","Supervisor retains customer response", "Temporary owner keeps coverage until evidence closes")))</f>
        <v>Supervisor retains customer response</v>
      </c>
    </row>
    <row r="15" customFormat="false" ht="15" hidden="false" customHeight="true" outlineLevel="0" collapsed="false">
      <c r="A15" s="6" t="s">
        <v>157</v>
      </c>
      <c r="B15" s="6" t="s">
        <v>158</v>
      </c>
      <c r="C15" s="6" t="s">
        <v>8</v>
      </c>
      <c r="D15" s="6" t="s">
        <v>123</v>
      </c>
      <c r="E15" s="6" t="s">
        <v>49</v>
      </c>
      <c r="F15" s="6" t="s">
        <v>106</v>
      </c>
      <c r="G15" s="10" t="n">
        <v>46224</v>
      </c>
      <c r="H15" s="8" t="n">
        <v>49000</v>
      </c>
      <c r="I15" s="8" t="n">
        <v>6370</v>
      </c>
      <c r="J15" s="6" t="str">
        <f aca="false">VLOOKUP(E15,'Readiness Inputs'!$A$2:$H$11,8,FALSE())</f>
        <v>Limited exception - staged supervised</v>
      </c>
      <c r="K15" s="6" t="str">
        <f aca="false">IF(J15="Ready - pending manager","Yes",IF(AND(J15="Limited exception - staged supervised",F15&lt;&gt;"High"),"Limited","No"))</f>
        <v>Limited</v>
      </c>
      <c r="L15" s="12" t="n">
        <f aca="false">IF(F15="High",5,IF(F15="Standard",3,1))+IF(G15&lt;=DATE(2026,7,18),2,0)+IF(H15&gt;=Assumptions!$B$2,1,0)</f>
        <v>2</v>
      </c>
      <c r="M15" s="6" t="str">
        <f aca="false">IF(J15="Ready - pending manager","Staged eligible handoff - pending approval",IF(AND(J15="Limited exception - staged supervised",F15&lt;&gt;"High"),"Staged limited supervised - exception approved",IF(OR(J15="Blocked - unresolved exception",F15="High"),"Escalate to supervisor","Remain temporary coverage")))</f>
        <v>Staged limited supervised - exception approved</v>
      </c>
      <c r="N15" s="6" t="str">
        <f aca="false">IF(M15="Staged eligible handoff - pending approval","Stage supervisor-reviewed handoff after manager approval",IF(M15="Staged limited supervised - exception approved","Senior rep reviews every customer response",IF(M15="Escalate to supervisor","Supervisor retains customer response", "Temporary owner keeps coverage until evidence closes")))</f>
        <v>Senior rep reviews every customer response</v>
      </c>
    </row>
    <row r="16" customFormat="false" ht="15" hidden="false" customHeight="true" outlineLevel="0" collapsed="false">
      <c r="A16" s="5" t="s">
        <v>161</v>
      </c>
      <c r="B16" s="5" t="s">
        <v>162</v>
      </c>
      <c r="C16" s="5" t="s">
        <v>7</v>
      </c>
      <c r="D16" s="5" t="s">
        <v>100</v>
      </c>
      <c r="E16" s="5" t="s">
        <v>56</v>
      </c>
      <c r="F16" s="5" t="s">
        <v>32</v>
      </c>
      <c r="G16" s="9" t="n">
        <v>46221</v>
      </c>
      <c r="H16" s="7" t="n">
        <v>171000</v>
      </c>
      <c r="I16" s="7" t="n">
        <v>30780</v>
      </c>
      <c r="J16" s="5" t="str">
        <f aca="false">VLOOKUP(E16,'Readiness Inputs'!$A$2:$H$11,8,FALSE())</f>
        <v>Remediation required</v>
      </c>
      <c r="K16" s="5" t="str">
        <f aca="false">IF(J16="Ready - pending manager","Yes",IF(AND(J16="Limited exception - staged supervised",F16&lt;&gt;"High"),"Limited","No"))</f>
        <v>No</v>
      </c>
      <c r="L16" s="11" t="n">
        <f aca="false">IF(F16="High",5,IF(F16="Standard",3,1))+IF(G16&lt;=DATE(2026,7,18),2,0)+IF(H16&gt;=Assumptions!$B$2,1,0)</f>
        <v>6</v>
      </c>
      <c r="M16" s="5" t="str">
        <f aca="false">IF(J16="Ready - pending manager","Staged eligible handoff - pending approval",IF(AND(J16="Limited exception - staged supervised",F16&lt;&gt;"High"),"Staged limited supervised - exception approved",IF(OR(J16="Blocked - unresolved exception",F16="High"),"Escalate to supervisor","Remain temporary coverage")))</f>
        <v>Remain temporary coverage</v>
      </c>
      <c r="N16" s="5" t="str">
        <f aca="false">IF(M16="Staged eligible handoff - pending approval","Stage supervisor-reviewed handoff after manager approval",IF(M16="Staged limited supervised - exception approved","Senior rep reviews every customer response",IF(M16="Escalate to supervisor","Supervisor retains customer response", "Temporary owner keeps coverage until evidence closes")))</f>
        <v>Temporary owner keeps coverage until evidence closes</v>
      </c>
    </row>
    <row r="17" customFormat="false" ht="15" hidden="false" customHeight="true" outlineLevel="0" collapsed="false">
      <c r="A17" s="6" t="s">
        <v>165</v>
      </c>
      <c r="B17" s="6" t="s">
        <v>166</v>
      </c>
      <c r="C17" s="6" t="s">
        <v>9</v>
      </c>
      <c r="D17" s="6" t="s">
        <v>123</v>
      </c>
      <c r="E17" s="6" t="s">
        <v>51</v>
      </c>
      <c r="F17" s="6" t="s">
        <v>32</v>
      </c>
      <c r="G17" s="10" t="n">
        <v>46223</v>
      </c>
      <c r="H17" s="8" t="n">
        <v>102000</v>
      </c>
      <c r="I17" s="8" t="n">
        <v>14280</v>
      </c>
      <c r="J17" s="6" t="str">
        <f aca="false">VLOOKUP(E17,'Readiness Inputs'!$A$2:$H$11,8,FALSE())</f>
        <v>Remediation required</v>
      </c>
      <c r="K17" s="6" t="str">
        <f aca="false">IF(J17="Ready - pending manager","Yes",IF(AND(J17="Limited exception - staged supervised",F17&lt;&gt;"High"),"Limited","No"))</f>
        <v>No</v>
      </c>
      <c r="L17" s="12" t="n">
        <f aca="false">IF(F17="High",5,IF(F17="Standard",3,1))+IF(G17&lt;=DATE(2026,7,18),2,0)+IF(H17&gt;=Assumptions!$B$2,1,0)</f>
        <v>4</v>
      </c>
      <c r="M17" s="6" t="str">
        <f aca="false">IF(J17="Ready - pending manager","Staged eligible handoff - pending approval",IF(AND(J17="Limited exception - staged supervised",F17&lt;&gt;"High"),"Staged limited supervised - exception approved",IF(OR(J17="Blocked - unresolved exception",F17="High"),"Escalate to supervisor","Remain temporary coverage")))</f>
        <v>Remain temporary coverage</v>
      </c>
      <c r="N17" s="6" t="str">
        <f aca="false">IF(M17="Staged eligible handoff - pending approval","Stage supervisor-reviewed handoff after manager approval",IF(M17="Staged limited supervised - exception approved","Senior rep reviews every customer response",IF(M17="Escalate to supervisor","Supervisor retains customer response", "Temporary owner keeps coverage until evidence closes")))</f>
        <v>Temporary owner keeps coverage until evidence closes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48"/>
    <col collapsed="false" customWidth="true" hidden="false" outlineLevel="0" max="5" min="5" style="1" width="22"/>
  </cols>
  <sheetData>
    <row r="1" customFormat="false" ht="15" hidden="false" customHeight="true" outlineLevel="0" collapsed="false">
      <c r="A1" s="4" t="s">
        <v>173</v>
      </c>
      <c r="B1" s="4" t="s">
        <v>174</v>
      </c>
      <c r="C1" s="4" t="s">
        <v>175</v>
      </c>
      <c r="D1" s="4" t="s">
        <v>176</v>
      </c>
      <c r="E1" s="13" t="s">
        <v>177</v>
      </c>
    </row>
    <row r="2" customFormat="false" ht="15" hidden="false" customHeight="true" outlineLevel="0" collapsed="false">
      <c r="A2" s="5" t="s">
        <v>178</v>
      </c>
      <c r="B2" s="11" t="n">
        <v>0</v>
      </c>
      <c r="C2" s="11" t="n">
        <f aca="false">COUNTIF('Coverage Decisions'!M2:M17,"Escalate to supervisor")</f>
        <v>3</v>
      </c>
      <c r="D2" s="7" t="n">
        <f aca="false">SUM('Coverage Decisions'!H2:H17)</f>
        <v>1942000</v>
      </c>
      <c r="E2" s="14" t="n">
        <f aca="false">D2/100000</f>
        <v>19.42</v>
      </c>
    </row>
    <row r="3" customFormat="false" ht="15" hidden="false" customHeight="true" outlineLevel="0" collapsed="false">
      <c r="A3" s="6" t="s">
        <v>179</v>
      </c>
      <c r="B3" s="12" t="n">
        <f aca="false">COUNTIF('Coverage Decisions'!M2:M17,"Staged eligible handoff - pending approval")</f>
        <v>5</v>
      </c>
      <c r="C3" s="12" t="n">
        <f aca="false">COUNTIF('Coverage Decisions'!M2:M17,"Escalate to supervisor")</f>
        <v>3</v>
      </c>
      <c r="D3" s="8" t="n">
        <f aca="false">SUMIF('Coverage Decisions'!M2:M17,"&lt;&gt;Staged eligible handoff - pending approval",'Coverage Decisions'!H2:H17)</f>
        <v>1459000</v>
      </c>
      <c r="E3" s="15" t="n">
        <f aca="false">D3/100000</f>
        <v>14.59</v>
      </c>
    </row>
    <row r="4" customFormat="false" ht="15" hidden="false" customHeight="true" outlineLevel="0" collapsed="false">
      <c r="A4" s="5" t="s">
        <v>180</v>
      </c>
      <c r="B4" s="11" t="n">
        <f aca="false">COUNTIF('Coverage Decisions'!M2:M17,"Staged eligible handoff - pending approval")+COUNTIF('Coverage Decisions'!M2:M17,"Staged limited supervised - exception approved")</f>
        <v>7</v>
      </c>
      <c r="C4" s="11" t="n">
        <f aca="false">COUNTIF('Coverage Decisions'!M2:M17,"Escalate to supervisor")</f>
        <v>3</v>
      </c>
      <c r="D4" s="7" t="n">
        <f aca="false">SUMIFS('Coverage Decisions'!H2:H17,'Coverage Decisions'!M2:M17,"Remain temporary coverage")+SUMIFS('Coverage Decisions'!H2:H17,'Coverage Decisions'!M2:M17,"Escalate to supervisor")</f>
        <v>1346000</v>
      </c>
      <c r="E4" s="14" t="n">
        <f aca="false">D4/100000</f>
        <v>13.46</v>
      </c>
    </row>
    <row r="8" customFormat="false" ht="15" hidden="false" customHeight="true" outlineLevel="0" collapsed="false">
      <c r="A8" s="4" t="s">
        <v>2</v>
      </c>
      <c r="B8" s="4" t="s">
        <v>181</v>
      </c>
    </row>
    <row r="9" customFormat="false" ht="15" hidden="false" customHeight="true" outlineLevel="0" collapsed="false">
      <c r="A9" s="6" t="s">
        <v>7</v>
      </c>
      <c r="B9" s="15" t="n">
        <f aca="false">AVERAGEIF('Coverage Decisions'!C2:C17,A9,'Coverage Decisions'!L2:L17)</f>
        <v>5.2</v>
      </c>
    </row>
    <row r="10" customFormat="false" ht="15" hidden="false" customHeight="true" outlineLevel="0" collapsed="false">
      <c r="A10" s="5" t="s">
        <v>8</v>
      </c>
      <c r="B10" s="14" t="n">
        <f aca="false">AVERAGEIF('Coverage Decisions'!C2:C17,A10,'Coverage Decisions'!L2:L17)</f>
        <v>3.5</v>
      </c>
    </row>
    <row r="11" customFormat="false" ht="15" hidden="false" customHeight="true" outlineLevel="0" collapsed="false">
      <c r="A11" s="6" t="s">
        <v>9</v>
      </c>
      <c r="B11" s="15" t="n">
        <f aca="false">AVERAGEIF('Coverage Decisions'!C2:C17,A11,'Coverage Decisions'!L2:L17)</f>
        <v>3.5</v>
      </c>
    </row>
    <row r="12" customFormat="false" ht="15" hidden="false" customHeight="true" outlineLevel="0" collapsed="false">
      <c r="A12" s="5" t="s">
        <v>10</v>
      </c>
      <c r="B12" s="14" t="n">
        <f aca="false">AVERAGEIF('Coverage Decisions'!C2:C17,A12,'Coverage Decisions'!L2:L17)</f>
        <v>7.33333333333333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.2"/>
    <col collapsed="false" customWidth="true" hidden="false" outlineLevel="0" max="2" min="2" style="1" width="17.68"/>
    <col collapsed="false" customWidth="true" hidden="false" outlineLevel="0" max="3" min="3" style="1" width="18.8"/>
    <col collapsed="false" customWidth="true" hidden="false" outlineLevel="0" max="4" min="4" style="1" width="30"/>
    <col collapsed="false" customWidth="true" hidden="false" outlineLevel="0" max="6" min="5" style="1" width="19.92"/>
    <col collapsed="false" customWidth="true" hidden="false" outlineLevel="0" max="7" min="7" style="1" width="45.68"/>
    <col collapsed="false" customWidth="true" hidden="false" outlineLevel="0" max="8" min="8" style="1" width="70.32"/>
  </cols>
  <sheetData>
    <row r="1" customFormat="false" ht="15" hidden="false" customHeight="true" outlineLevel="0" collapsed="false">
      <c r="A1" s="4" t="s">
        <v>78</v>
      </c>
      <c r="B1" s="4" t="s">
        <v>79</v>
      </c>
      <c r="C1" s="4" t="s">
        <v>87</v>
      </c>
      <c r="D1" s="4" t="s">
        <v>171</v>
      </c>
      <c r="E1" s="4" t="s">
        <v>182</v>
      </c>
      <c r="F1" s="4" t="s">
        <v>14</v>
      </c>
      <c r="G1" s="4" t="s">
        <v>85</v>
      </c>
      <c r="H1" s="4" t="s">
        <v>172</v>
      </c>
    </row>
    <row r="2" customFormat="false" ht="15" hidden="false" customHeight="true" outlineLevel="0" collapsed="false">
      <c r="A2" s="5" t="s">
        <v>95</v>
      </c>
      <c r="B2" s="5" t="s">
        <v>96</v>
      </c>
      <c r="C2" s="5" t="s">
        <v>51</v>
      </c>
      <c r="D2" s="5" t="s">
        <v>183</v>
      </c>
      <c r="E2" s="5" t="s">
        <v>100</v>
      </c>
      <c r="F2" s="9" t="n">
        <v>46222</v>
      </c>
      <c r="G2" s="5" t="s">
        <v>99</v>
      </c>
      <c r="H2" s="5" t="s">
        <v>184</v>
      </c>
    </row>
    <row r="3" customFormat="false" ht="15" hidden="false" customHeight="true" outlineLevel="0" collapsed="false">
      <c r="A3" s="6" t="s">
        <v>107</v>
      </c>
      <c r="B3" s="6" t="s">
        <v>108</v>
      </c>
      <c r="C3" s="6" t="s">
        <v>54</v>
      </c>
      <c r="D3" s="6" t="s">
        <v>185</v>
      </c>
      <c r="E3" s="6" t="s">
        <v>100</v>
      </c>
      <c r="F3" s="10" t="n">
        <v>46220</v>
      </c>
      <c r="G3" s="6" t="s">
        <v>111</v>
      </c>
      <c r="H3" s="6" t="s">
        <v>184</v>
      </c>
    </row>
    <row r="4" customFormat="false" ht="15" hidden="false" customHeight="true" outlineLevel="0" collapsed="false">
      <c r="A4" s="5" t="s">
        <v>113</v>
      </c>
      <c r="B4" s="5" t="s">
        <v>114</v>
      </c>
      <c r="C4" s="5" t="s">
        <v>56</v>
      </c>
      <c r="D4" s="5" t="s">
        <v>183</v>
      </c>
      <c r="E4" s="5" t="s">
        <v>94</v>
      </c>
      <c r="F4" s="9" t="n">
        <v>46223</v>
      </c>
      <c r="G4" s="5" t="s">
        <v>117</v>
      </c>
      <c r="H4" s="5" t="s">
        <v>184</v>
      </c>
    </row>
    <row r="5" customFormat="false" ht="15" hidden="false" customHeight="true" outlineLevel="0" collapsed="false">
      <c r="A5" s="6" t="s">
        <v>118</v>
      </c>
      <c r="B5" s="6" t="s">
        <v>119</v>
      </c>
      <c r="C5" s="6" t="s">
        <v>57</v>
      </c>
      <c r="D5" s="6" t="s">
        <v>183</v>
      </c>
      <c r="E5" s="6" t="s">
        <v>123</v>
      </c>
      <c r="F5" s="10" t="n">
        <v>46221</v>
      </c>
      <c r="G5" s="6" t="s">
        <v>122</v>
      </c>
      <c r="H5" s="6" t="s">
        <v>184</v>
      </c>
    </row>
    <row r="6" customFormat="false" ht="15" hidden="false" customHeight="true" outlineLevel="0" collapsed="false">
      <c r="A6" s="5" t="s">
        <v>130</v>
      </c>
      <c r="B6" s="5" t="s">
        <v>131</v>
      </c>
      <c r="C6" s="5" t="s">
        <v>60</v>
      </c>
      <c r="D6" s="5" t="s">
        <v>183</v>
      </c>
      <c r="E6" s="5" t="s">
        <v>100</v>
      </c>
      <c r="F6" s="9" t="n">
        <v>46221</v>
      </c>
      <c r="G6" s="5" t="s">
        <v>134</v>
      </c>
      <c r="H6" s="5" t="s">
        <v>184</v>
      </c>
    </row>
    <row r="7" customFormat="false" ht="15" hidden="false" customHeight="true" outlineLevel="0" collapsed="false">
      <c r="A7" s="6" t="s">
        <v>140</v>
      </c>
      <c r="B7" s="6" t="s">
        <v>141</v>
      </c>
      <c r="C7" s="6" t="s">
        <v>59</v>
      </c>
      <c r="D7" s="6" t="s">
        <v>185</v>
      </c>
      <c r="E7" s="6" t="s">
        <v>129</v>
      </c>
      <c r="F7" s="10" t="n">
        <v>46220</v>
      </c>
      <c r="G7" s="6" t="s">
        <v>144</v>
      </c>
      <c r="H7" s="6" t="s">
        <v>184</v>
      </c>
    </row>
    <row r="8" customFormat="false" ht="15" hidden="false" customHeight="true" outlineLevel="0" collapsed="false">
      <c r="A8" s="5" t="s">
        <v>153</v>
      </c>
      <c r="B8" s="5" t="s">
        <v>154</v>
      </c>
      <c r="C8" s="5" t="s">
        <v>54</v>
      </c>
      <c r="D8" s="5" t="s">
        <v>185</v>
      </c>
      <c r="E8" s="5" t="s">
        <v>129</v>
      </c>
      <c r="F8" s="9" t="n">
        <v>46222</v>
      </c>
      <c r="G8" s="5" t="s">
        <v>156</v>
      </c>
      <c r="H8" s="5" t="s">
        <v>184</v>
      </c>
    </row>
    <row r="9" customFormat="false" ht="15" hidden="false" customHeight="true" outlineLevel="0" collapsed="false">
      <c r="A9" s="6" t="s">
        <v>161</v>
      </c>
      <c r="B9" s="6" t="s">
        <v>162</v>
      </c>
      <c r="C9" s="6" t="s">
        <v>56</v>
      </c>
      <c r="D9" s="6" t="s">
        <v>183</v>
      </c>
      <c r="E9" s="6" t="s">
        <v>100</v>
      </c>
      <c r="F9" s="10" t="n">
        <v>46221</v>
      </c>
      <c r="G9" s="6" t="s">
        <v>164</v>
      </c>
      <c r="H9" s="6" t="s">
        <v>184</v>
      </c>
    </row>
    <row r="10" customFormat="false" ht="15" hidden="false" customHeight="true" outlineLevel="0" collapsed="false">
      <c r="A10" s="5" t="s">
        <v>165</v>
      </c>
      <c r="B10" s="5" t="s">
        <v>166</v>
      </c>
      <c r="C10" s="5" t="s">
        <v>51</v>
      </c>
      <c r="D10" s="5" t="s">
        <v>183</v>
      </c>
      <c r="E10" s="5" t="s">
        <v>123</v>
      </c>
      <c r="F10" s="9" t="n">
        <v>46223</v>
      </c>
      <c r="G10" s="5" t="s">
        <v>168</v>
      </c>
      <c r="H10" s="5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.16"/>
    <col collapsed="false" customWidth="true" hidden="false" outlineLevel="0" max="2" min="2" style="1" width="48"/>
    <col collapsed="false" customWidth="true" hidden="false" outlineLevel="0" max="3" min="3" style="1" width="10.97"/>
  </cols>
  <sheetData>
    <row r="1" customFormat="false" ht="15" hidden="false" customHeight="true" outlineLevel="0" collapsed="false">
      <c r="A1" s="4" t="s">
        <v>186</v>
      </c>
      <c r="B1" s="4" t="s">
        <v>187</v>
      </c>
      <c r="C1" s="4" t="s">
        <v>188</v>
      </c>
    </row>
    <row r="2" customFormat="false" ht="15" hidden="false" customHeight="true" outlineLevel="0" collapsed="false">
      <c r="A2" s="5" t="s">
        <v>189</v>
      </c>
      <c r="B2" s="7" t="n">
        <f aca="false">COUNTA('Coverage Decisions'!A2:A17)</f>
        <v>16</v>
      </c>
      <c r="C2" s="7" t="n">
        <v>16</v>
      </c>
    </row>
    <row r="3" customFormat="false" ht="15" hidden="false" customHeight="true" outlineLevel="0" collapsed="false">
      <c r="A3" s="6" t="s">
        <v>190</v>
      </c>
      <c r="B3" s="8" t="n">
        <f aca="false">COUNTIF('Coverage Decisions'!M2:M17,"Staged eligible handoff - pending approval")</f>
        <v>5</v>
      </c>
      <c r="C3" s="8" t="n">
        <v>5</v>
      </c>
    </row>
    <row r="4" customFormat="false" ht="15" hidden="false" customHeight="true" outlineLevel="0" collapsed="false">
      <c r="A4" s="5" t="s">
        <v>191</v>
      </c>
      <c r="B4" s="7" t="n">
        <f aca="false">COUNTIF('Coverage Decisions'!M2:M17,"Staged limited supervised - exception approved")</f>
        <v>2</v>
      </c>
      <c r="C4" s="7" t="n">
        <v>2</v>
      </c>
    </row>
    <row r="5" customFormat="false" ht="15" hidden="false" customHeight="true" outlineLevel="0" collapsed="false">
      <c r="A5" s="6" t="s">
        <v>192</v>
      </c>
      <c r="B5" s="8" t="n">
        <f aca="false">COUNTIF('Coverage Decisions'!M2:M17,"Remain temporary coverage")</f>
        <v>6</v>
      </c>
      <c r="C5" s="8" t="n">
        <v>6</v>
      </c>
    </row>
    <row r="6" customFormat="false" ht="15" hidden="false" customHeight="true" outlineLevel="0" collapsed="false">
      <c r="A6" s="5" t="s">
        <v>193</v>
      </c>
      <c r="B6" s="7" t="n">
        <f aca="false">COUNTIF('Coverage Decisions'!M2:M17,"Escalate to supervisor")</f>
        <v>3</v>
      </c>
      <c r="C6" s="7" t="n">
        <v>3</v>
      </c>
    </row>
    <row r="7" customFormat="false" ht="15" hidden="false" customHeight="true" outlineLevel="0" collapsed="false">
      <c r="A7" s="6" t="s">
        <v>194</v>
      </c>
      <c r="B7" s="8" t="n">
        <f aca="false">SUM('Coverage Decisions'!H2:H17)</f>
        <v>1942000</v>
      </c>
      <c r="C7" s="8" t="n">
        <v>1942000</v>
      </c>
    </row>
    <row r="8" customFormat="false" ht="15" hidden="false" customHeight="true" outlineLevel="0" collapsed="false">
      <c r="A8" s="5" t="s">
        <v>195</v>
      </c>
      <c r="B8" s="7" t="n">
        <f aca="false">'Scenario Analysis'!D4</f>
        <v>1346000</v>
      </c>
      <c r="C8" s="7" t="n">
        <v>1346000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.97"/>
    <col collapsed="false" customWidth="true" hidden="false" outlineLevel="0" max="2" min="2" style="1" width="16.56"/>
    <col collapsed="false" customWidth="true" hidden="false" outlineLevel="0" max="3" min="3" style="1" width="17.68"/>
    <col collapsed="false" customWidth="true" hidden="false" outlineLevel="0" max="4" min="4" style="1" width="48"/>
    <col collapsed="false" customWidth="true" hidden="false" outlineLevel="0" max="5" min="5" style="1" width="24.4"/>
    <col collapsed="false" customWidth="true" hidden="false" outlineLevel="0" max="6" min="6" style="1" width="45"/>
  </cols>
  <sheetData>
    <row r="1" customFormat="false" ht="15" hidden="false" customHeight="true" outlineLevel="0" collapsed="false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</row>
    <row r="2" customFormat="false" ht="15" hidden="false" customHeight="true" outlineLevel="0" collapsed="false">
      <c r="A2" s="5" t="s">
        <v>94</v>
      </c>
      <c r="B2" s="5" t="s">
        <v>202</v>
      </c>
      <c r="C2" s="11" t="n">
        <v>4</v>
      </c>
      <c r="D2" s="11" t="n">
        <f aca="false">COUNTIFS('Coverage Decisions'!D2:D17,A2,'Coverage Decisions'!M2:M17,"Remain temporary coverage")+COUNTIFS('Coverage Decisions'!D2:D17,A2,'Coverage Decisions'!M2:M17,"Escalate to supervisor")</f>
        <v>1</v>
      </c>
      <c r="E2" s="11" t="n">
        <f aca="false">D2-C2</f>
        <v>-3</v>
      </c>
      <c r="F2" s="5" t="str">
        <f aca="false">IF(E2&gt;0,"Over capacity","Within capacity")</f>
        <v>Within capacity</v>
      </c>
    </row>
    <row r="3" customFormat="false" ht="15" hidden="false" customHeight="true" outlineLevel="0" collapsed="false">
      <c r="A3" s="6" t="s">
        <v>123</v>
      </c>
      <c r="B3" s="6" t="s">
        <v>203</v>
      </c>
      <c r="C3" s="12" t="n">
        <v>4</v>
      </c>
      <c r="D3" s="12" t="n">
        <f aca="false">COUNTIFS('Coverage Decisions'!D2:D17,A3,'Coverage Decisions'!M2:M17,"Remain temporary coverage")+COUNTIFS('Coverage Decisions'!D2:D17,A3,'Coverage Decisions'!M2:M17,"Escalate to supervisor")</f>
        <v>2</v>
      </c>
      <c r="E3" s="12" t="n">
        <f aca="false">D3-C3</f>
        <v>-2</v>
      </c>
      <c r="F3" s="6" t="str">
        <f aca="false">IF(E3&gt;0,"Over capacity","Within capacity")</f>
        <v>Within capacity</v>
      </c>
    </row>
    <row r="4" customFormat="false" ht="15" hidden="false" customHeight="true" outlineLevel="0" collapsed="false">
      <c r="A4" s="5" t="s">
        <v>100</v>
      </c>
      <c r="B4" s="5" t="s">
        <v>204</v>
      </c>
      <c r="C4" s="11" t="n">
        <v>3</v>
      </c>
      <c r="D4" s="11" t="n">
        <f aca="false">COUNTIFS('Coverage Decisions'!D2:D17,A4,'Coverage Decisions'!M2:M17,"Remain temporary coverage")+COUNTIFS('Coverage Decisions'!D2:D17,A4,'Coverage Decisions'!M2:M17,"Escalate to supervisor")</f>
        <v>4</v>
      </c>
      <c r="E4" s="11" t="n">
        <f aca="false">D4-C4</f>
        <v>1</v>
      </c>
      <c r="F4" s="5" t="str">
        <f aca="false">IF(E4&gt;0,"Over capacity","Within capacity")</f>
        <v>Over capacity</v>
      </c>
    </row>
    <row r="5" customFormat="false" ht="15" hidden="false" customHeight="true" outlineLevel="0" collapsed="false">
      <c r="A5" s="6" t="s">
        <v>129</v>
      </c>
      <c r="B5" s="6" t="s">
        <v>205</v>
      </c>
      <c r="C5" s="12" t="n">
        <v>3</v>
      </c>
      <c r="D5" s="12" t="n">
        <f aca="false">COUNTIFS('Coverage Decisions'!D2:D17,A5,'Coverage Decisions'!M2:M17,"Remain temporary coverage")+COUNTIFS('Coverage Decisions'!D2:D17,A5,'Coverage Decisions'!M2:M17,"Escalate to supervisor")</f>
        <v>2</v>
      </c>
      <c r="E5" s="12" t="n">
        <f aca="false">D5-C5</f>
        <v>-1</v>
      </c>
      <c r="F5" s="6" t="str">
        <f aca="false">IF(E5&gt;0,"Over capacity","Within capacity")</f>
        <v>Within capacity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2026-07-17T16:01:23Z</dcterms:created>
  <dc:creator>HarborBridge Group Sales Operations</dc:creator>
  <dc:description>Staged coverage model for July 2026 ramp readiness approval</dc:description>
  <cp:keywords>group sales ramp readiness certification pending approval</cp:keywords>
  <dc:language>en-US</dc:language>
  <cp:lastModifiedBy/>
  <dcterms:modified xsi:type="dcterms:W3CDTF">2026-07-17T16:26:13Z</dcterms:modified>
  <cp:revision>5</cp:revision>
  <dc:subject>Staged coverage model for July 2026 ramp readiness approval</dc:subject>
  <dc:title>Temporary Account Coverage Model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