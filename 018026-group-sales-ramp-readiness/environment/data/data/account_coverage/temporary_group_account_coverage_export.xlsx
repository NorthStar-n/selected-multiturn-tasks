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Commitments" sheetId="3" state="visible" r:id="rId3"/>
    <sheet xmlns:r="http://schemas.openxmlformats.org/officeDocument/2006/relationships" name="Current_Coverage" sheetId="4" state="visible" r:id="rId4"/>
    <sheet xmlns:r="http://schemas.openxmlformats.org/officeDocument/2006/relationships" name="Owner_History" sheetId="5" state="visible" r:id="rId5"/>
    <sheet xmlns:r="http://schemas.openxmlformats.org/officeDocument/2006/relationships" name="Owner_Capacity" sheetId="6" state="visible" r:id="rId6"/>
    <sheet xmlns:r="http://schemas.openxmlformats.org/officeDocument/2006/relationships" name="Checks" sheetId="7" state="visible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B5C4A"/>
      </patternFill>
    </fill>
    <fill>
      <patternFill patternType="solid">
        <fgColor rgb="00F3EADB"/>
      </patternFill>
    </fill>
  </fills>
  <borders count="2">
    <border>
      <left/>
      <right/>
      <top/>
      <bottom/>
      <diagonal/>
    </border>
    <border>
      <left style="thin">
        <color rgb="00D9D0BD"/>
      </left>
      <right style="thin">
        <color rgb="00D9D0BD"/>
      </right>
      <top style="thin">
        <color rgb="00D9D0BD"/>
      </top>
      <bottom style="thin">
        <color rgb="00D9D0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ccounts" displayName="Accounts" ref="A1:M17" headerRowCount="1">
  <autoFilter ref="A1:M17"/>
  <tableColumns count="13">
    <tableColumn id="1" name="Account_ID"/>
    <tableColumn id="2" name="Opportunity_ID"/>
    <tableColumn id="3" name="Account_Name"/>
    <tableColumn id="4" name="Segment"/>
    <tableColumn id="5" name="Territory_Code"/>
    <tableColumn id="6" name="Expected_Departure_Window"/>
    <tableColumn id="7" name="Quoted_Value"/>
    <tableColumn id="8" name="Margin_Estimate"/>
    <tableColumn id="9" name="Service_Deadline"/>
    <tableColumn id="10" name="Customer_Action_Due"/>
    <tableColumn id="11" name="Temporary_Owner_ID"/>
    <tableColumn id="12" name="Proposed_Rep_ID"/>
    <tableColumn id="13" name="Coverage_Risk_Ban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Opportunities" displayName="Opportunities" ref="A1:G17" headerRowCount="1">
  <autoFilter ref="A1:G17"/>
  <tableColumns count="7">
    <tableColumn id="1" name="Opportunity_ID"/>
    <tableColumn id="2" name="Account_ID"/>
    <tableColumn id="3" name="Stage"/>
    <tableColumn id="4" name="Quoted_Value"/>
    <tableColumn id="5" name="Margin_Estimate"/>
    <tableColumn id="6" name="Last_Revision_Date"/>
    <tableColumn id="7" name="Revision_Not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ommitments" displayName="Commitments" ref="A1:E17" headerRowCount="1">
  <autoFilter ref="A1:E17"/>
  <tableColumns count="5">
    <tableColumn id="1" name="Account_ID"/>
    <tableColumn id="2" name="Opportunity_ID"/>
    <tableColumn id="3" name="Service_Deadline"/>
    <tableColumn id="4" name="Customer_Action_Due"/>
    <tableColumn id="5" name="Commitment_Statu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Current_Coverage" displayName="Current_Coverage" ref="A1:E17" headerRowCount="1">
  <autoFilter ref="A1:E17"/>
  <tableColumns count="5">
    <tableColumn id="1" name="Account_ID"/>
    <tableColumn id="2" name="Temporary_Owner_ID"/>
    <tableColumn id="3" name="Proposed_Rep_ID"/>
    <tableColumn id="4" name="Coverage_Risk_Band"/>
    <tableColumn id="5" name="Coverage_Not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Owner_History" displayName="Owner_History" ref="A1:F17" headerRowCount="1">
  <autoFilter ref="A1:F17"/>
  <tableColumns count="6">
    <tableColumn id="1" name="History_ID"/>
    <tableColumn id="2" name="Account_ID"/>
    <tableColumn id="3" name="Prior_Owner_ID"/>
    <tableColumn id="4" name="Proposed_Rep_ID"/>
    <tableColumn id="5" name="Owner_Change_Date"/>
    <tableColumn id="6" name="Handoff_Not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Owner_Capacity" displayName="Owner_Capacity" ref="A1:D5" headerRowCount="1">
  <autoFilter ref="A1:D5"/>
  <tableColumns count="4">
    <tableColumn id="1" name="Owner_ID"/>
    <tableColumn id="2" name="Owner_Name"/>
    <tableColumn id="3" name="Owner_Role"/>
    <tableColumn id="4" name="Capacity_Limit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Coverage_Source_Checks" displayName="Coverage_Source_Checks" ref="A1:C4" headerRowCount="1">
  <autoFilter ref="A1:C4"/>
  <tableColumns count="3">
    <tableColumn id="1" name="Check"/>
    <tableColumn id="2" name="Formula_Result"/>
    <tableColumn id="3" name="Expect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7.68" customWidth="1" min="2" max="2"/>
    <col width="37.84" customWidth="1" min="3" max="3"/>
    <col width="12.08" customWidth="1" min="4" max="4"/>
    <col width="17.68" customWidth="1" min="5" max="5"/>
    <col width="30" customWidth="1" min="6" max="6"/>
    <col width="15.44" customWidth="1" min="7" max="7"/>
    <col width="18.8" customWidth="1" min="8" max="8"/>
    <col width="23.28" customWidth="1" min="9" max="9"/>
    <col width="45.68000000000001" customWidth="1" min="10" max="10"/>
    <col width="22.16" customWidth="1" min="11" max="11"/>
    <col width="18.8" customWidth="1" min="12" max="12"/>
    <col width="22.16" customWidth="1" min="13" max="13"/>
  </cols>
  <sheetData>
    <row r="1">
      <c r="A1" s="10" t="inlineStr">
        <is>
          <t>Account_ID</t>
        </is>
      </c>
      <c r="B1" s="10" t="inlineStr">
        <is>
          <t>Opportunity_ID</t>
        </is>
      </c>
      <c r="C1" s="10" t="inlineStr">
        <is>
          <t>Account_Name</t>
        </is>
      </c>
      <c r="D1" s="10" t="inlineStr">
        <is>
          <t>Segment</t>
        </is>
      </c>
      <c r="E1" s="10" t="inlineStr">
        <is>
          <t>Territory_Code</t>
        </is>
      </c>
      <c r="F1" s="10" t="inlineStr">
        <is>
          <t>Expected_Departure_Window</t>
        </is>
      </c>
      <c r="G1" s="10" t="inlineStr">
        <is>
          <t>Quoted_Value</t>
        </is>
      </c>
      <c r="H1" s="10" t="inlineStr">
        <is>
          <t>Margin_Estimate</t>
        </is>
      </c>
      <c r="I1" s="10" t="inlineStr">
        <is>
          <t>Service_Deadline</t>
        </is>
      </c>
      <c r="J1" s="10" t="inlineStr">
        <is>
          <t>Customer_Action_Due</t>
        </is>
      </c>
      <c r="K1" s="10" t="inlineStr">
        <is>
          <t>Temporary_Owner_ID</t>
        </is>
      </c>
      <c r="L1" s="10" t="inlineStr">
        <is>
          <t>Proposed_Rep_ID</t>
        </is>
      </c>
      <c r="M1" s="10" t="inlineStr">
        <is>
          <t>Coverage_Risk_Band</t>
        </is>
      </c>
    </row>
    <row r="2">
      <c r="A2" s="11" t="inlineStr">
        <is>
          <t>ACC-1001</t>
        </is>
      </c>
      <c r="B2" s="11" t="inlineStr">
        <is>
          <t>OPP-7001</t>
        </is>
      </c>
      <c r="C2" s="11" t="inlineStr">
        <is>
          <t>Finch Biotech Leadership Offsite</t>
        </is>
      </c>
      <c r="D2" s="11" t="inlineStr">
        <is>
          <t>Corporate</t>
        </is>
      </c>
      <c r="E2" s="11" t="inlineStr">
        <is>
          <t>COR-W</t>
        </is>
      </c>
      <c r="F2" s="12" t="n">
        <v>46277</v>
      </c>
      <c r="G2" s="13" t="n">
        <v>125000</v>
      </c>
      <c r="H2" s="13" t="n">
        <v>22500</v>
      </c>
      <c r="I2" s="12" t="n">
        <v>46221</v>
      </c>
      <c r="J2" s="11" t="inlineStr">
        <is>
          <t>Finalize revised air quote</t>
        </is>
      </c>
      <c r="K2" s="11" t="inlineStr">
        <is>
          <t>SEN-801</t>
        </is>
      </c>
      <c r="L2" s="11" t="inlineStr">
        <is>
          <t>REP-2701</t>
        </is>
      </c>
      <c r="M2" s="11" t="inlineStr">
        <is>
          <t>Standard</t>
        </is>
      </c>
    </row>
    <row r="3">
      <c r="A3" s="14" t="inlineStr">
        <is>
          <t>ACC-1002</t>
        </is>
      </c>
      <c r="B3" s="14" t="inlineStr">
        <is>
          <t>OPP-7002</t>
        </is>
      </c>
      <c r="C3" s="14" t="inlineStr">
        <is>
          <t>K-12 History Tours</t>
        </is>
      </c>
      <c r="D3" s="14" t="inlineStr">
        <is>
          <t>Education</t>
        </is>
      </c>
      <c r="E3" s="14" t="inlineStr">
        <is>
          <t>EDU-MW</t>
        </is>
      </c>
      <c r="F3" s="15" t="n">
        <v>46300</v>
      </c>
      <c r="G3" s="16" t="n">
        <v>88000</v>
      </c>
      <c r="H3" s="16" t="n">
        <v>12320</v>
      </c>
      <c r="I3" s="15" t="n">
        <v>46222</v>
      </c>
      <c r="J3" s="14" t="inlineStr">
        <is>
          <t>Send deposit terms summary</t>
        </is>
      </c>
      <c r="K3" s="14" t="inlineStr">
        <is>
          <t>SUP-410</t>
        </is>
      </c>
      <c r="L3" s="14" t="inlineStr">
        <is>
          <t>REP-2703</t>
        </is>
      </c>
      <c r="M3" s="14" t="inlineStr">
        <is>
          <t>Standard</t>
        </is>
      </c>
    </row>
    <row r="4">
      <c r="A4" s="11" t="inlineStr">
        <is>
          <t>ACC-1003</t>
        </is>
      </c>
      <c r="B4" s="11" t="inlineStr">
        <is>
          <t>OPP-7003</t>
        </is>
      </c>
      <c r="C4" s="11" t="inlineStr">
        <is>
          <t>Allied Nurses Association</t>
        </is>
      </c>
      <c r="D4" s="11" t="inlineStr">
        <is>
          <t>Affinity</t>
        </is>
      </c>
      <c r="E4" s="11" t="inlineStr">
        <is>
          <t>AFF-E</t>
        </is>
      </c>
      <c r="F4" s="12" t="n">
        <v>46262</v>
      </c>
      <c r="G4" s="13" t="n">
        <v>64000</v>
      </c>
      <c r="H4" s="13" t="n">
        <v>8960</v>
      </c>
      <c r="I4" s="12" t="n">
        <v>46221</v>
      </c>
      <c r="J4" s="11" t="inlineStr">
        <is>
          <t>Confirm roster change policy</t>
        </is>
      </c>
      <c r="K4" s="11" t="inlineStr">
        <is>
          <t>SEN-801</t>
        </is>
      </c>
      <c r="L4" s="11" t="inlineStr">
        <is>
          <t>REP-2702</t>
        </is>
      </c>
      <c r="M4" s="11" t="inlineStr">
        <is>
          <t>Low</t>
        </is>
      </c>
    </row>
    <row r="5">
      <c r="A5" s="14" t="inlineStr">
        <is>
          <t>ACC-1004</t>
        </is>
      </c>
      <c r="B5" s="14" t="inlineStr">
        <is>
          <t>OPP-7004</t>
        </is>
      </c>
      <c r="C5" s="14" t="inlineStr">
        <is>
          <t>Beacon Summit 2026</t>
        </is>
      </c>
      <c r="D5" s="14" t="inlineStr">
        <is>
          <t>Meetings</t>
        </is>
      </c>
      <c r="E5" s="14" t="inlineStr">
        <is>
          <t>MTG-NE</t>
        </is>
      </c>
      <c r="F5" s="15" t="n">
        <v>46329</v>
      </c>
      <c r="G5" s="16" t="n">
        <v>210000</v>
      </c>
      <c r="H5" s="16" t="n">
        <v>42000</v>
      </c>
      <c r="I5" s="15" t="n">
        <v>46220</v>
      </c>
      <c r="J5" s="14" t="inlineStr">
        <is>
          <t>Customer awaiting attrition clause</t>
        </is>
      </c>
      <c r="K5" s="14" t="inlineStr">
        <is>
          <t>SUP-410</t>
        </is>
      </c>
      <c r="L5" s="14" t="inlineStr">
        <is>
          <t>REP-2704</t>
        </is>
      </c>
      <c r="M5" s="14" t="inlineStr">
        <is>
          <t>High</t>
        </is>
      </c>
    </row>
    <row r="6">
      <c r="A6" s="11" t="inlineStr">
        <is>
          <t>ACC-1005</t>
        </is>
      </c>
      <c r="B6" s="11" t="inlineStr">
        <is>
          <t>OPP-7005</t>
        </is>
      </c>
      <c r="C6" s="11" t="inlineStr">
        <is>
          <t>Northstar Sales Kickoff</t>
        </is>
      </c>
      <c r="D6" s="11" t="inlineStr">
        <is>
          <t>Corporate</t>
        </is>
      </c>
      <c r="E6" s="11" t="inlineStr">
        <is>
          <t>COR-NW</t>
        </is>
      </c>
      <c r="F6" s="12" t="n">
        <v>46286</v>
      </c>
      <c r="G6" s="13" t="n">
        <v>156000</v>
      </c>
      <c r="H6" s="13" t="n">
        <v>28080</v>
      </c>
      <c r="I6" s="12" t="n">
        <v>46223</v>
      </c>
      <c r="J6" s="11" t="inlineStr">
        <is>
          <t>Update deposit follow-up in CRM</t>
        </is>
      </c>
      <c r="K6" s="11" t="inlineStr">
        <is>
          <t>SEN-801</t>
        </is>
      </c>
      <c r="L6" s="11" t="inlineStr">
        <is>
          <t>REP-2705</t>
        </is>
      </c>
      <c r="M6" s="11" t="inlineStr">
        <is>
          <t>Standard</t>
        </is>
      </c>
    </row>
    <row r="7">
      <c r="A7" s="14" t="inlineStr">
        <is>
          <t>ACC-1006</t>
        </is>
      </c>
      <c r="B7" s="14" t="inlineStr">
        <is>
          <t>OPP-7006</t>
        </is>
      </c>
      <c r="C7" s="14" t="inlineStr">
        <is>
          <t>Citywide Choir Travel</t>
        </is>
      </c>
      <c r="D7" s="14" t="inlineStr">
        <is>
          <t>Affinity</t>
        </is>
      </c>
      <c r="E7" s="14" t="inlineStr">
        <is>
          <t>AFF-PA</t>
        </is>
      </c>
      <c r="F7" s="15" t="n">
        <v>46256</v>
      </c>
      <c r="G7" s="16" t="n">
        <v>72000</v>
      </c>
      <c r="H7" s="16" t="n">
        <v>10080</v>
      </c>
      <c r="I7" s="15" t="n">
        <v>46221</v>
      </c>
      <c r="J7" s="14" t="inlineStr">
        <is>
          <t>Return group airfare options</t>
        </is>
      </c>
      <c r="K7" s="14" t="inlineStr">
        <is>
          <t>SEN-802</t>
        </is>
      </c>
      <c r="L7" s="14" t="inlineStr">
        <is>
          <t>REP-2706</t>
        </is>
      </c>
      <c r="M7" s="14" t="inlineStr">
        <is>
          <t>Standard</t>
        </is>
      </c>
    </row>
    <row r="8">
      <c r="A8" s="11" t="inlineStr">
        <is>
          <t>ACC-1007</t>
        </is>
      </c>
      <c r="B8" s="11" t="inlineStr">
        <is>
          <t>OPP-7007</t>
        </is>
      </c>
      <c r="C8" s="11" t="inlineStr">
        <is>
          <t>Metro Prep Spain Exchange</t>
        </is>
      </c>
      <c r="D8" s="11" t="inlineStr">
        <is>
          <t>Education</t>
        </is>
      </c>
      <c r="E8" s="11" t="inlineStr">
        <is>
          <t>EDU-S</t>
        </is>
      </c>
      <c r="F8" s="12" t="n">
        <v>46309</v>
      </c>
      <c r="G8" s="13" t="n">
        <v>93000</v>
      </c>
      <c r="H8" s="13" t="n">
        <v>13950</v>
      </c>
      <c r="I8" s="12" t="n">
        <v>46224</v>
      </c>
      <c r="J8" s="11" t="inlineStr">
        <is>
          <t>Confirm hotel block count</t>
        </is>
      </c>
      <c r="K8" s="11" t="inlineStr">
        <is>
          <t>SUP-412</t>
        </is>
      </c>
      <c r="L8" s="11" t="inlineStr">
        <is>
          <t>REP-2707</t>
        </is>
      </c>
      <c r="M8" s="11" t="inlineStr">
        <is>
          <t>Standard</t>
        </is>
      </c>
    </row>
    <row r="9">
      <c r="A9" s="14" t="inlineStr">
        <is>
          <t>ACC-1008</t>
        </is>
      </c>
      <c r="B9" s="14" t="inlineStr">
        <is>
          <t>OPP-7008</t>
        </is>
      </c>
      <c r="C9" s="14" t="inlineStr">
        <is>
          <t>CloudArc Roadshow</t>
        </is>
      </c>
      <c r="D9" s="14" t="inlineStr">
        <is>
          <t>Corporate</t>
        </is>
      </c>
      <c r="E9" s="14" t="inlineStr">
        <is>
          <t>COR-NE</t>
        </is>
      </c>
      <c r="F9" s="15" t="n">
        <v>46273</v>
      </c>
      <c r="G9" s="16" t="n">
        <v>118000</v>
      </c>
      <c r="H9" s="16" t="n">
        <v>22420</v>
      </c>
      <c r="I9" s="15" t="n">
        <v>46221</v>
      </c>
      <c r="J9" s="14" t="inlineStr">
        <is>
          <t>Prepare revision 2 quote</t>
        </is>
      </c>
      <c r="K9" s="14" t="inlineStr">
        <is>
          <t>SUP-410</t>
        </is>
      </c>
      <c r="L9" s="14" t="inlineStr">
        <is>
          <t>REP-2709</t>
        </is>
      </c>
      <c r="M9" s="14" t="inlineStr">
        <is>
          <t>Standard</t>
        </is>
      </c>
    </row>
    <row r="10">
      <c r="A10" s="11" t="inlineStr">
        <is>
          <t>ACC-1009</t>
        </is>
      </c>
      <c r="B10" s="11" t="inlineStr">
        <is>
          <t>OPP-7009</t>
        </is>
      </c>
      <c r="C10" s="11" t="inlineStr">
        <is>
          <t>Greenline Alumni Cruise Air</t>
        </is>
      </c>
      <c r="D10" s="11" t="inlineStr">
        <is>
          <t>Affinity</t>
        </is>
      </c>
      <c r="E10" s="11" t="inlineStr">
        <is>
          <t>AFF-N</t>
        </is>
      </c>
      <c r="F10" s="12" t="n">
        <v>46295</v>
      </c>
      <c r="G10" s="13" t="n">
        <v>57000</v>
      </c>
      <c r="H10" s="13" t="n">
        <v>7410</v>
      </c>
      <c r="I10" s="12" t="n">
        <v>46225</v>
      </c>
      <c r="J10" s="11" t="inlineStr">
        <is>
          <t>Confirm final passenger threshold</t>
        </is>
      </c>
      <c r="K10" s="11" t="inlineStr">
        <is>
          <t>SEN-802</t>
        </is>
      </c>
      <c r="L10" s="11" t="inlineStr">
        <is>
          <t>REP-2710</t>
        </is>
      </c>
      <c r="M10" s="11" t="inlineStr">
        <is>
          <t>Low</t>
        </is>
      </c>
    </row>
    <row r="11">
      <c r="A11" s="14" t="inlineStr">
        <is>
          <t>ACC-1010</t>
        </is>
      </c>
      <c r="B11" s="14" t="inlineStr">
        <is>
          <t>OPP-7010</t>
        </is>
      </c>
      <c r="C11" s="14" t="inlineStr">
        <is>
          <t>Sterling Pharma Congress</t>
        </is>
      </c>
      <c r="D11" s="14" t="inlineStr">
        <is>
          <t>Meetings</t>
        </is>
      </c>
      <c r="E11" s="14" t="inlineStr">
        <is>
          <t>MTG-W</t>
        </is>
      </c>
      <c r="F11" s="15" t="n">
        <v>46358</v>
      </c>
      <c r="G11" s="16" t="n">
        <v>245000</v>
      </c>
      <c r="H11" s="16" t="n">
        <v>51450</v>
      </c>
      <c r="I11" s="15" t="n">
        <v>46220</v>
      </c>
      <c r="J11" s="14" t="inlineStr">
        <is>
          <t>Compliance language due before proposal</t>
        </is>
      </c>
      <c r="K11" s="14" t="inlineStr">
        <is>
          <t>SUP-412</t>
        </is>
      </c>
      <c r="L11" s="14" t="inlineStr">
        <is>
          <t>REP-2708</t>
        </is>
      </c>
      <c r="M11" s="14" t="inlineStr">
        <is>
          <t>High</t>
        </is>
      </c>
    </row>
    <row r="12">
      <c r="A12" s="11" t="inlineStr">
        <is>
          <t>ACC-1011</t>
        </is>
      </c>
      <c r="B12" s="11" t="inlineStr">
        <is>
          <t>OPP-7011</t>
        </is>
      </c>
      <c r="C12" s="11" t="inlineStr">
        <is>
          <t>Meridian Incentive Trip</t>
        </is>
      </c>
      <c r="D12" s="11" t="inlineStr">
        <is>
          <t>Corporate</t>
        </is>
      </c>
      <c r="E12" s="11" t="inlineStr">
        <is>
          <t>COR-W</t>
        </is>
      </c>
      <c r="F12" s="12" t="n">
        <v>46298</v>
      </c>
      <c r="G12" s="13" t="n">
        <v>132000</v>
      </c>
      <c r="H12" s="13" t="n">
        <v>23760</v>
      </c>
      <c r="I12" s="12" t="n">
        <v>46226</v>
      </c>
      <c r="J12" s="11" t="inlineStr">
        <is>
          <t>Schedule stakeholder review</t>
        </is>
      </c>
      <c r="K12" s="11" t="inlineStr">
        <is>
          <t>SEN-801</t>
        </is>
      </c>
      <c r="L12" s="11" t="inlineStr">
        <is>
          <t>REP-2701</t>
        </is>
      </c>
      <c r="M12" s="11" t="inlineStr">
        <is>
          <t>Standard</t>
        </is>
      </c>
    </row>
    <row r="13">
      <c r="A13" s="14" t="inlineStr">
        <is>
          <t>ACC-1012</t>
        </is>
      </c>
      <c r="B13" s="14" t="inlineStr">
        <is>
          <t>OPP-7012</t>
        </is>
      </c>
      <c r="C13" s="14" t="inlineStr">
        <is>
          <t>Harbor Teachers Union</t>
        </is>
      </c>
      <c r="D13" s="14" t="inlineStr">
        <is>
          <t>Education</t>
        </is>
      </c>
      <c r="E13" s="14" t="inlineStr">
        <is>
          <t>EDU-S</t>
        </is>
      </c>
      <c r="F13" s="15" t="n">
        <v>46290</v>
      </c>
      <c r="G13" s="16" t="n">
        <v>76000</v>
      </c>
      <c r="H13" s="16" t="n">
        <v>10640</v>
      </c>
      <c r="I13" s="15" t="n">
        <v>46225</v>
      </c>
      <c r="J13" s="14" t="inlineStr">
        <is>
          <t>Send ground-transfer options</t>
        </is>
      </c>
      <c r="K13" s="14" t="inlineStr">
        <is>
          <t>SUP-412</t>
        </is>
      </c>
      <c r="L13" s="14" t="inlineStr">
        <is>
          <t>REP-2707</t>
        </is>
      </c>
      <c r="M13" s="14" t="inlineStr">
        <is>
          <t>Low</t>
        </is>
      </c>
    </row>
    <row r="14">
      <c r="A14" s="11" t="inlineStr">
        <is>
          <t>ACC-1013</t>
        </is>
      </c>
      <c r="B14" s="11" t="inlineStr">
        <is>
          <t>OPP-7013</t>
        </is>
      </c>
      <c r="C14" s="11" t="inlineStr">
        <is>
          <t>Civic Leaders Forum</t>
        </is>
      </c>
      <c r="D14" s="11" t="inlineStr">
        <is>
          <t>Meetings</t>
        </is>
      </c>
      <c r="E14" s="11" t="inlineStr">
        <is>
          <t>MTG-NE</t>
        </is>
      </c>
      <c r="F14" s="12" t="n">
        <v>46344</v>
      </c>
      <c r="G14" s="13" t="n">
        <v>184000</v>
      </c>
      <c r="H14" s="13" t="n">
        <v>34960</v>
      </c>
      <c r="I14" s="12" t="n">
        <v>46222</v>
      </c>
      <c r="J14" s="11" t="inlineStr">
        <is>
          <t>Venue attrition question open</t>
        </is>
      </c>
      <c r="K14" s="11" t="inlineStr">
        <is>
          <t>SUP-412</t>
        </is>
      </c>
      <c r="L14" s="11" t="inlineStr">
        <is>
          <t>REP-2704</t>
        </is>
      </c>
      <c r="M14" s="11" t="inlineStr">
        <is>
          <t>High</t>
        </is>
      </c>
    </row>
    <row r="15">
      <c r="A15" s="14" t="inlineStr">
        <is>
          <t>ACC-1014</t>
        </is>
      </c>
      <c r="B15" s="14" t="inlineStr">
        <is>
          <t>OPP-7014</t>
        </is>
      </c>
      <c r="C15" s="14" t="inlineStr">
        <is>
          <t>Fusion Fitness Retreat</t>
        </is>
      </c>
      <c r="D15" s="14" t="inlineStr">
        <is>
          <t>Affinity</t>
        </is>
      </c>
      <c r="E15" s="14" t="inlineStr">
        <is>
          <t>AFF-E</t>
        </is>
      </c>
      <c r="F15" s="15" t="n">
        <v>46265</v>
      </c>
      <c r="G15" s="16" t="n">
        <v>49000</v>
      </c>
      <c r="H15" s="16" t="n">
        <v>6370</v>
      </c>
      <c r="I15" s="15" t="n">
        <v>46224</v>
      </c>
      <c r="J15" s="14" t="inlineStr">
        <is>
          <t>Confirm deposit reminder</t>
        </is>
      </c>
      <c r="K15" s="14" t="inlineStr">
        <is>
          <t>SEN-802</t>
        </is>
      </c>
      <c r="L15" s="14" t="inlineStr">
        <is>
          <t>REP-2702</t>
        </is>
      </c>
      <c r="M15" s="14" t="inlineStr">
        <is>
          <t>Low</t>
        </is>
      </c>
    </row>
    <row r="16">
      <c r="A16" s="11" t="inlineStr">
        <is>
          <t>ACC-1015</t>
        </is>
      </c>
      <c r="B16" s="11" t="inlineStr">
        <is>
          <t>OPP-7015</t>
        </is>
      </c>
      <c r="C16" s="11" t="inlineStr">
        <is>
          <t>Apex Partners Summit</t>
        </is>
      </c>
      <c r="D16" s="11" t="inlineStr">
        <is>
          <t>Corporate</t>
        </is>
      </c>
      <c r="E16" s="11" t="inlineStr">
        <is>
          <t>COR-NW</t>
        </is>
      </c>
      <c r="F16" s="12" t="n">
        <v>46305</v>
      </c>
      <c r="G16" s="13" t="n">
        <v>171000</v>
      </c>
      <c r="H16" s="13" t="n">
        <v>30780</v>
      </c>
      <c r="I16" s="12" t="n">
        <v>46221</v>
      </c>
      <c r="J16" s="11" t="inlineStr">
        <is>
          <t>Update CRM quote revision history</t>
        </is>
      </c>
      <c r="K16" s="11" t="inlineStr">
        <is>
          <t>SUP-410</t>
        </is>
      </c>
      <c r="L16" s="11" t="inlineStr">
        <is>
          <t>REP-2705</t>
        </is>
      </c>
      <c r="M16" s="11" t="inlineStr">
        <is>
          <t>Standard</t>
        </is>
      </c>
    </row>
    <row r="17">
      <c r="A17" s="14" t="inlineStr">
        <is>
          <t>ACC-1016</t>
        </is>
      </c>
      <c r="B17" s="14" t="inlineStr">
        <is>
          <t>OPP-7016</t>
        </is>
      </c>
      <c r="C17" s="14" t="inlineStr">
        <is>
          <t>Pacific STEM Exchange</t>
        </is>
      </c>
      <c r="D17" s="14" t="inlineStr">
        <is>
          <t>Education</t>
        </is>
      </c>
      <c r="E17" s="14" t="inlineStr">
        <is>
          <t>EDU-MW</t>
        </is>
      </c>
      <c r="F17" s="15" t="n">
        <v>46315</v>
      </c>
      <c r="G17" s="16" t="n">
        <v>102000</v>
      </c>
      <c r="H17" s="16" t="n">
        <v>14280</v>
      </c>
      <c r="I17" s="15" t="n">
        <v>46223</v>
      </c>
      <c r="J17" s="14" t="inlineStr">
        <is>
          <t>Hold customer call until terms retest</t>
        </is>
      </c>
      <c r="K17" s="14" t="inlineStr">
        <is>
          <t>SEN-802</t>
        </is>
      </c>
      <c r="L17" s="14" t="inlineStr">
        <is>
          <t>REP-2703</t>
        </is>
      </c>
      <c r="M17" s="14" t="inlineStr">
        <is>
          <t>Standard</t>
        </is>
      </c>
    </row>
  </sheetData>
  <dataValidations count="1">
    <dataValidation sqref="M2:M17" showDropDown="0" showInputMessage="0" showErrorMessage="0" allowBlank="1" type="list">
      <formula1>"Low,Standard,High"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8" customWidth="1" min="1" max="1"/>
    <col width="13.2" customWidth="1" min="2" max="2"/>
    <col width="16.56" customWidth="1" min="3" max="3"/>
    <col width="15.44" customWidth="1" min="4" max="4"/>
    <col width="18.8" customWidth="1" min="5" max="5"/>
    <col width="23.28" customWidth="1" min="6" max="6"/>
    <col width="43.44" customWidth="1" min="7" max="7"/>
  </cols>
  <sheetData>
    <row r="1">
      <c r="A1" s="10" t="inlineStr">
        <is>
          <t>Opportunity_ID</t>
        </is>
      </c>
      <c r="B1" s="10" t="inlineStr">
        <is>
          <t>Account_ID</t>
        </is>
      </c>
      <c r="C1" s="10" t="inlineStr">
        <is>
          <t>Stage</t>
        </is>
      </c>
      <c r="D1" s="10" t="inlineStr">
        <is>
          <t>Quoted_Value</t>
        </is>
      </c>
      <c r="E1" s="10" t="inlineStr">
        <is>
          <t>Margin_Estimate</t>
        </is>
      </c>
      <c r="F1" s="10" t="inlineStr">
        <is>
          <t>Last_Revision_Date</t>
        </is>
      </c>
      <c r="G1" s="10" t="inlineStr">
        <is>
          <t>Revision_Note</t>
        </is>
      </c>
    </row>
    <row r="2">
      <c r="A2" s="11" t="inlineStr">
        <is>
          <t>OPP-7001</t>
        </is>
      </c>
      <c r="B2" s="11" t="inlineStr">
        <is>
          <t>ACC-1001</t>
        </is>
      </c>
      <c r="C2" s="11" t="inlineStr">
        <is>
          <t>Quote revised</t>
        </is>
      </c>
      <c r="D2" s="13" t="n">
        <v>125000</v>
      </c>
      <c r="E2" s="13" t="n">
        <v>22500</v>
      </c>
      <c r="F2" s="12" t="n">
        <v>46217</v>
      </c>
      <c r="G2" s="11" t="inlineStr">
        <is>
          <t>Revision held until readiness package</t>
        </is>
      </c>
    </row>
    <row r="3">
      <c r="A3" s="14" t="inlineStr">
        <is>
          <t>OPP-7002</t>
        </is>
      </c>
      <c r="B3" s="14" t="inlineStr">
        <is>
          <t>ACC-1002</t>
        </is>
      </c>
      <c r="C3" s="14" t="inlineStr">
        <is>
          <t>Quote revised</t>
        </is>
      </c>
      <c r="D3" s="16" t="n">
        <v>88000</v>
      </c>
      <c r="E3" s="16" t="n">
        <v>12320</v>
      </c>
      <c r="F3" s="15" t="n">
        <v>46218</v>
      </c>
      <c r="G3" s="14" t="inlineStr">
        <is>
          <t>Revision held until readiness package</t>
        </is>
      </c>
    </row>
    <row r="4">
      <c r="A4" s="11" t="inlineStr">
        <is>
          <t>OPP-7003</t>
        </is>
      </c>
      <c r="B4" s="11" t="inlineStr">
        <is>
          <t>ACC-1003</t>
        </is>
      </c>
      <c r="C4" s="11" t="inlineStr">
        <is>
          <t>Quote revised</t>
        </is>
      </c>
      <c r="D4" s="13" t="n">
        <v>64000</v>
      </c>
      <c r="E4" s="13" t="n">
        <v>8960</v>
      </c>
      <c r="F4" s="12" t="n">
        <v>46219</v>
      </c>
      <c r="G4" s="11" t="inlineStr">
        <is>
          <t>Revision held until readiness package</t>
        </is>
      </c>
    </row>
    <row r="5">
      <c r="A5" s="14" t="inlineStr">
        <is>
          <t>OPP-7004</t>
        </is>
      </c>
      <c r="B5" s="14" t="inlineStr">
        <is>
          <t>ACC-1004</t>
        </is>
      </c>
      <c r="C5" s="14" t="inlineStr">
        <is>
          <t>Quote revised</t>
        </is>
      </c>
      <c r="D5" s="16" t="n">
        <v>210000</v>
      </c>
      <c r="E5" s="16" t="n">
        <v>42000</v>
      </c>
      <c r="F5" s="15" t="n">
        <v>46217</v>
      </c>
      <c r="G5" s="14" t="inlineStr">
        <is>
          <t>Revision held until readiness package</t>
        </is>
      </c>
    </row>
    <row r="6">
      <c r="A6" s="11" t="inlineStr">
        <is>
          <t>OPP-7005</t>
        </is>
      </c>
      <c r="B6" s="11" t="inlineStr">
        <is>
          <t>ACC-1005</t>
        </is>
      </c>
      <c r="C6" s="11" t="inlineStr">
        <is>
          <t>Quote revised</t>
        </is>
      </c>
      <c r="D6" s="13" t="n">
        <v>156000</v>
      </c>
      <c r="E6" s="13" t="n">
        <v>28080</v>
      </c>
      <c r="F6" s="12" t="n">
        <v>46218</v>
      </c>
      <c r="G6" s="11" t="inlineStr">
        <is>
          <t>Revision held until readiness package</t>
        </is>
      </c>
    </row>
    <row r="7">
      <c r="A7" s="14" t="inlineStr">
        <is>
          <t>OPP-7006</t>
        </is>
      </c>
      <c r="B7" s="14" t="inlineStr">
        <is>
          <t>ACC-1006</t>
        </is>
      </c>
      <c r="C7" s="14" t="inlineStr">
        <is>
          <t>Quote revised</t>
        </is>
      </c>
      <c r="D7" s="16" t="n">
        <v>72000</v>
      </c>
      <c r="E7" s="16" t="n">
        <v>10080</v>
      </c>
      <c r="F7" s="15" t="n">
        <v>46219</v>
      </c>
      <c r="G7" s="14" t="inlineStr">
        <is>
          <t>Revision held until readiness package</t>
        </is>
      </c>
    </row>
    <row r="8">
      <c r="A8" s="11" t="inlineStr">
        <is>
          <t>OPP-7007</t>
        </is>
      </c>
      <c r="B8" s="11" t="inlineStr">
        <is>
          <t>ACC-1007</t>
        </is>
      </c>
      <c r="C8" s="11" t="inlineStr">
        <is>
          <t>Quote revised</t>
        </is>
      </c>
      <c r="D8" s="13" t="n">
        <v>93000</v>
      </c>
      <c r="E8" s="13" t="n">
        <v>13950</v>
      </c>
      <c r="F8" s="12" t="n">
        <v>46217</v>
      </c>
      <c r="G8" s="11" t="inlineStr">
        <is>
          <t>Revision held until readiness package</t>
        </is>
      </c>
    </row>
    <row r="9">
      <c r="A9" s="14" t="inlineStr">
        <is>
          <t>OPP-7008</t>
        </is>
      </c>
      <c r="B9" s="14" t="inlineStr">
        <is>
          <t>ACC-1008</t>
        </is>
      </c>
      <c r="C9" s="14" t="inlineStr">
        <is>
          <t>Quote revised</t>
        </is>
      </c>
      <c r="D9" s="16" t="n">
        <v>118000</v>
      </c>
      <c r="E9" s="16" t="n">
        <v>22420</v>
      </c>
      <c r="F9" s="15" t="n">
        <v>46218</v>
      </c>
      <c r="G9" s="14" t="inlineStr">
        <is>
          <t>Revision held until readiness package</t>
        </is>
      </c>
    </row>
    <row r="10">
      <c r="A10" s="11" t="inlineStr">
        <is>
          <t>OPP-7009</t>
        </is>
      </c>
      <c r="B10" s="11" t="inlineStr">
        <is>
          <t>ACC-1009</t>
        </is>
      </c>
      <c r="C10" s="11" t="inlineStr">
        <is>
          <t>Quote revised</t>
        </is>
      </c>
      <c r="D10" s="13" t="n">
        <v>57000</v>
      </c>
      <c r="E10" s="13" t="n">
        <v>7410</v>
      </c>
      <c r="F10" s="12" t="n">
        <v>46219</v>
      </c>
      <c r="G10" s="11" t="inlineStr">
        <is>
          <t>Revision held until readiness package</t>
        </is>
      </c>
    </row>
    <row r="11">
      <c r="A11" s="14" t="inlineStr">
        <is>
          <t>OPP-7010</t>
        </is>
      </c>
      <c r="B11" s="14" t="inlineStr">
        <is>
          <t>ACC-1010</t>
        </is>
      </c>
      <c r="C11" s="14" t="inlineStr">
        <is>
          <t>Quote revised</t>
        </is>
      </c>
      <c r="D11" s="16" t="n">
        <v>245000</v>
      </c>
      <c r="E11" s="16" t="n">
        <v>51450</v>
      </c>
      <c r="F11" s="15" t="n">
        <v>46217</v>
      </c>
      <c r="G11" s="14" t="inlineStr">
        <is>
          <t>Revision held until readiness package</t>
        </is>
      </c>
    </row>
    <row r="12">
      <c r="A12" s="11" t="inlineStr">
        <is>
          <t>OPP-7011</t>
        </is>
      </c>
      <c r="B12" s="11" t="inlineStr">
        <is>
          <t>ACC-1011</t>
        </is>
      </c>
      <c r="C12" s="11" t="inlineStr">
        <is>
          <t>Quote revised</t>
        </is>
      </c>
      <c r="D12" s="13" t="n">
        <v>132000</v>
      </c>
      <c r="E12" s="13" t="n">
        <v>23760</v>
      </c>
      <c r="F12" s="12" t="n">
        <v>46218</v>
      </c>
      <c r="G12" s="11" t="inlineStr">
        <is>
          <t>Revision held until readiness package</t>
        </is>
      </c>
    </row>
    <row r="13">
      <c r="A13" s="14" t="inlineStr">
        <is>
          <t>OPP-7012</t>
        </is>
      </c>
      <c r="B13" s="14" t="inlineStr">
        <is>
          <t>ACC-1012</t>
        </is>
      </c>
      <c r="C13" s="14" t="inlineStr">
        <is>
          <t>Quote revised</t>
        </is>
      </c>
      <c r="D13" s="16" t="n">
        <v>76000</v>
      </c>
      <c r="E13" s="16" t="n">
        <v>10640</v>
      </c>
      <c r="F13" s="15" t="n">
        <v>46219</v>
      </c>
      <c r="G13" s="14" t="inlineStr">
        <is>
          <t>Revision held until readiness package</t>
        </is>
      </c>
    </row>
    <row r="14">
      <c r="A14" s="11" t="inlineStr">
        <is>
          <t>OPP-7013</t>
        </is>
      </c>
      <c r="B14" s="11" t="inlineStr">
        <is>
          <t>ACC-1013</t>
        </is>
      </c>
      <c r="C14" s="11" t="inlineStr">
        <is>
          <t>Quote revised</t>
        </is>
      </c>
      <c r="D14" s="13" t="n">
        <v>184000</v>
      </c>
      <c r="E14" s="13" t="n">
        <v>34960</v>
      </c>
      <c r="F14" s="12" t="n">
        <v>46217</v>
      </c>
      <c r="G14" s="11" t="inlineStr">
        <is>
          <t>Revision held until readiness package</t>
        </is>
      </c>
    </row>
    <row r="15">
      <c r="A15" s="14" t="inlineStr">
        <is>
          <t>OPP-7014</t>
        </is>
      </c>
      <c r="B15" s="14" t="inlineStr">
        <is>
          <t>ACC-1014</t>
        </is>
      </c>
      <c r="C15" s="14" t="inlineStr">
        <is>
          <t>Quote revised</t>
        </is>
      </c>
      <c r="D15" s="16" t="n">
        <v>49000</v>
      </c>
      <c r="E15" s="16" t="n">
        <v>6370</v>
      </c>
      <c r="F15" s="15" t="n">
        <v>46218</v>
      </c>
      <c r="G15" s="14" t="inlineStr">
        <is>
          <t>Revision held until readiness package</t>
        </is>
      </c>
    </row>
    <row r="16">
      <c r="A16" s="11" t="inlineStr">
        <is>
          <t>OPP-7015</t>
        </is>
      </c>
      <c r="B16" s="11" t="inlineStr">
        <is>
          <t>ACC-1015</t>
        </is>
      </c>
      <c r="C16" s="11" t="inlineStr">
        <is>
          <t>Quote revised</t>
        </is>
      </c>
      <c r="D16" s="13" t="n">
        <v>171000</v>
      </c>
      <c r="E16" s="13" t="n">
        <v>30780</v>
      </c>
      <c r="F16" s="12" t="n">
        <v>46219</v>
      </c>
      <c r="G16" s="11" t="inlineStr">
        <is>
          <t>Revision held until readiness package</t>
        </is>
      </c>
    </row>
    <row r="17">
      <c r="A17" s="14" t="inlineStr">
        <is>
          <t>OPP-7016</t>
        </is>
      </c>
      <c r="B17" s="14" t="inlineStr">
        <is>
          <t>ACC-1016</t>
        </is>
      </c>
      <c r="C17" s="14" t="inlineStr">
        <is>
          <t>Quote revised</t>
        </is>
      </c>
      <c r="D17" s="16" t="n">
        <v>102000</v>
      </c>
      <c r="E17" s="16" t="n">
        <v>14280</v>
      </c>
      <c r="F17" s="15" t="n">
        <v>46217</v>
      </c>
      <c r="G17" s="14" t="inlineStr">
        <is>
          <t>Revision held until readiness package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7.68" customWidth="1" min="2" max="2"/>
    <col width="23.28" customWidth="1" min="3" max="3"/>
    <col width="45.68000000000001" customWidth="1" min="4" max="4"/>
    <col width="21.04" customWidth="1" min="5" max="5"/>
  </cols>
  <sheetData>
    <row r="1">
      <c r="A1" s="10" t="inlineStr">
        <is>
          <t>Account_ID</t>
        </is>
      </c>
      <c r="B1" s="10" t="inlineStr">
        <is>
          <t>Opportunity_ID</t>
        </is>
      </c>
      <c r="C1" s="10" t="inlineStr">
        <is>
          <t>Service_Deadline</t>
        </is>
      </c>
      <c r="D1" s="10" t="inlineStr">
        <is>
          <t>Customer_Action_Due</t>
        </is>
      </c>
      <c r="E1" s="10" t="inlineStr">
        <is>
          <t>Commitment_Status</t>
        </is>
      </c>
    </row>
    <row r="2">
      <c r="A2" s="11" t="inlineStr">
        <is>
          <t>ACC-1001</t>
        </is>
      </c>
      <c r="B2" s="11" t="inlineStr">
        <is>
          <t>OPP-7001</t>
        </is>
      </c>
      <c r="C2" s="12" t="n">
        <v>46221</v>
      </c>
      <c r="D2" s="11" t="inlineStr">
        <is>
          <t>Finalize revised air quote</t>
        </is>
      </c>
      <c r="E2" s="11" t="inlineStr">
        <is>
          <t>Open</t>
        </is>
      </c>
    </row>
    <row r="3">
      <c r="A3" s="14" t="inlineStr">
        <is>
          <t>ACC-1002</t>
        </is>
      </c>
      <c r="B3" s="14" t="inlineStr">
        <is>
          <t>OPP-7002</t>
        </is>
      </c>
      <c r="C3" s="15" t="n">
        <v>46222</v>
      </c>
      <c r="D3" s="14" t="inlineStr">
        <is>
          <t>Send deposit terms summary</t>
        </is>
      </c>
      <c r="E3" s="14" t="inlineStr">
        <is>
          <t>Open</t>
        </is>
      </c>
    </row>
    <row r="4">
      <c r="A4" s="11" t="inlineStr">
        <is>
          <t>ACC-1003</t>
        </is>
      </c>
      <c r="B4" s="11" t="inlineStr">
        <is>
          <t>OPP-7003</t>
        </is>
      </c>
      <c r="C4" s="12" t="n">
        <v>46221</v>
      </c>
      <c r="D4" s="11" t="inlineStr">
        <is>
          <t>Confirm roster change policy</t>
        </is>
      </c>
      <c r="E4" s="11" t="inlineStr">
        <is>
          <t>Open</t>
        </is>
      </c>
    </row>
    <row r="5">
      <c r="A5" s="14" t="inlineStr">
        <is>
          <t>ACC-1004</t>
        </is>
      </c>
      <c r="B5" s="14" t="inlineStr">
        <is>
          <t>OPP-7004</t>
        </is>
      </c>
      <c r="C5" s="15" t="n">
        <v>46220</v>
      </c>
      <c r="D5" s="14" t="inlineStr">
        <is>
          <t>Customer awaiting attrition clause</t>
        </is>
      </c>
      <c r="E5" s="14" t="inlineStr">
        <is>
          <t>Open</t>
        </is>
      </c>
    </row>
    <row r="6">
      <c r="A6" s="11" t="inlineStr">
        <is>
          <t>ACC-1005</t>
        </is>
      </c>
      <c r="B6" s="11" t="inlineStr">
        <is>
          <t>OPP-7005</t>
        </is>
      </c>
      <c r="C6" s="12" t="n">
        <v>46223</v>
      </c>
      <c r="D6" s="11" t="inlineStr">
        <is>
          <t>Update deposit follow-up in CRM</t>
        </is>
      </c>
      <c r="E6" s="11" t="inlineStr">
        <is>
          <t>Open</t>
        </is>
      </c>
    </row>
    <row r="7">
      <c r="A7" s="14" t="inlineStr">
        <is>
          <t>ACC-1006</t>
        </is>
      </c>
      <c r="B7" s="14" t="inlineStr">
        <is>
          <t>OPP-7006</t>
        </is>
      </c>
      <c r="C7" s="15" t="n">
        <v>46221</v>
      </c>
      <c r="D7" s="14" t="inlineStr">
        <is>
          <t>Return group airfare options</t>
        </is>
      </c>
      <c r="E7" s="14" t="inlineStr">
        <is>
          <t>Open</t>
        </is>
      </c>
    </row>
    <row r="8">
      <c r="A8" s="11" t="inlineStr">
        <is>
          <t>ACC-1007</t>
        </is>
      </c>
      <c r="B8" s="11" t="inlineStr">
        <is>
          <t>OPP-7007</t>
        </is>
      </c>
      <c r="C8" s="12" t="n">
        <v>46224</v>
      </c>
      <c r="D8" s="11" t="inlineStr">
        <is>
          <t>Confirm hotel block count</t>
        </is>
      </c>
      <c r="E8" s="11" t="inlineStr">
        <is>
          <t>Open</t>
        </is>
      </c>
    </row>
    <row r="9">
      <c r="A9" s="14" t="inlineStr">
        <is>
          <t>ACC-1008</t>
        </is>
      </c>
      <c r="B9" s="14" t="inlineStr">
        <is>
          <t>OPP-7008</t>
        </is>
      </c>
      <c r="C9" s="15" t="n">
        <v>46221</v>
      </c>
      <c r="D9" s="14" t="inlineStr">
        <is>
          <t>Prepare revision 2 quote</t>
        </is>
      </c>
      <c r="E9" s="14" t="inlineStr">
        <is>
          <t>Open</t>
        </is>
      </c>
    </row>
    <row r="10">
      <c r="A10" s="11" t="inlineStr">
        <is>
          <t>ACC-1009</t>
        </is>
      </c>
      <c r="B10" s="11" t="inlineStr">
        <is>
          <t>OPP-7009</t>
        </is>
      </c>
      <c r="C10" s="12" t="n">
        <v>46225</v>
      </c>
      <c r="D10" s="11" t="inlineStr">
        <is>
          <t>Confirm final passenger threshold</t>
        </is>
      </c>
      <c r="E10" s="11" t="inlineStr">
        <is>
          <t>Open</t>
        </is>
      </c>
    </row>
    <row r="11">
      <c r="A11" s="14" t="inlineStr">
        <is>
          <t>ACC-1010</t>
        </is>
      </c>
      <c r="B11" s="14" t="inlineStr">
        <is>
          <t>OPP-7010</t>
        </is>
      </c>
      <c r="C11" s="15" t="n">
        <v>46220</v>
      </c>
      <c r="D11" s="14" t="inlineStr">
        <is>
          <t>Compliance language due before proposal</t>
        </is>
      </c>
      <c r="E11" s="14" t="inlineStr">
        <is>
          <t>Open</t>
        </is>
      </c>
    </row>
    <row r="12">
      <c r="A12" s="11" t="inlineStr">
        <is>
          <t>ACC-1011</t>
        </is>
      </c>
      <c r="B12" s="11" t="inlineStr">
        <is>
          <t>OPP-7011</t>
        </is>
      </c>
      <c r="C12" s="12" t="n">
        <v>46226</v>
      </c>
      <c r="D12" s="11" t="inlineStr">
        <is>
          <t>Schedule stakeholder review</t>
        </is>
      </c>
      <c r="E12" s="11" t="inlineStr">
        <is>
          <t>Open</t>
        </is>
      </c>
    </row>
    <row r="13">
      <c r="A13" s="14" t="inlineStr">
        <is>
          <t>ACC-1012</t>
        </is>
      </c>
      <c r="B13" s="14" t="inlineStr">
        <is>
          <t>OPP-7012</t>
        </is>
      </c>
      <c r="C13" s="15" t="n">
        <v>46225</v>
      </c>
      <c r="D13" s="14" t="inlineStr">
        <is>
          <t>Send ground-transfer options</t>
        </is>
      </c>
      <c r="E13" s="14" t="inlineStr">
        <is>
          <t>Open</t>
        </is>
      </c>
    </row>
    <row r="14">
      <c r="A14" s="11" t="inlineStr">
        <is>
          <t>ACC-1013</t>
        </is>
      </c>
      <c r="B14" s="11" t="inlineStr">
        <is>
          <t>OPP-7013</t>
        </is>
      </c>
      <c r="C14" s="12" t="n">
        <v>46222</v>
      </c>
      <c r="D14" s="11" t="inlineStr">
        <is>
          <t>Venue attrition question open</t>
        </is>
      </c>
      <c r="E14" s="11" t="inlineStr">
        <is>
          <t>Open</t>
        </is>
      </c>
    </row>
    <row r="15">
      <c r="A15" s="14" t="inlineStr">
        <is>
          <t>ACC-1014</t>
        </is>
      </c>
      <c r="B15" s="14" t="inlineStr">
        <is>
          <t>OPP-7014</t>
        </is>
      </c>
      <c r="C15" s="15" t="n">
        <v>46224</v>
      </c>
      <c r="D15" s="14" t="inlineStr">
        <is>
          <t>Confirm deposit reminder</t>
        </is>
      </c>
      <c r="E15" s="14" t="inlineStr">
        <is>
          <t>Open</t>
        </is>
      </c>
    </row>
    <row r="16">
      <c r="A16" s="11" t="inlineStr">
        <is>
          <t>ACC-1015</t>
        </is>
      </c>
      <c r="B16" s="11" t="inlineStr">
        <is>
          <t>OPP-7015</t>
        </is>
      </c>
      <c r="C16" s="12" t="n">
        <v>46221</v>
      </c>
      <c r="D16" s="11" t="inlineStr">
        <is>
          <t>Update CRM quote revision history</t>
        </is>
      </c>
      <c r="E16" s="11" t="inlineStr">
        <is>
          <t>Open</t>
        </is>
      </c>
    </row>
    <row r="17">
      <c r="A17" s="14" t="inlineStr">
        <is>
          <t>ACC-1016</t>
        </is>
      </c>
      <c r="B17" s="14" t="inlineStr">
        <is>
          <t>OPP-7016</t>
        </is>
      </c>
      <c r="C17" s="15" t="n">
        <v>46223</v>
      </c>
      <c r="D17" s="14" t="inlineStr">
        <is>
          <t>Hold customer call until terms retest</t>
        </is>
      </c>
      <c r="E17" s="14" t="inlineStr">
        <is>
          <t>Open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2.16" customWidth="1" min="2" max="2"/>
    <col width="18.8" customWidth="1" min="3" max="3"/>
    <col width="22.16" customWidth="1" min="4" max="4"/>
    <col width="61.36000000000001" customWidth="1" min="5" max="5"/>
  </cols>
  <sheetData>
    <row r="1">
      <c r="A1" s="10" t="inlineStr">
        <is>
          <t>Account_ID</t>
        </is>
      </c>
      <c r="B1" s="10" t="inlineStr">
        <is>
          <t>Temporary_Owner_ID</t>
        </is>
      </c>
      <c r="C1" s="10" t="inlineStr">
        <is>
          <t>Proposed_Rep_ID</t>
        </is>
      </c>
      <c r="D1" s="10" t="inlineStr">
        <is>
          <t>Coverage_Risk_Band</t>
        </is>
      </c>
      <c r="E1" s="10" t="inlineStr">
        <is>
          <t>Coverage_Note</t>
        </is>
      </c>
    </row>
    <row r="2">
      <c r="A2" s="11" t="inlineStr">
        <is>
          <t>ACC-1001</t>
        </is>
      </c>
      <c r="B2" s="11" t="inlineStr">
        <is>
          <t>SEN-801</t>
        </is>
      </c>
      <c r="C2" s="11" t="inlineStr">
        <is>
          <t>REP-2701</t>
        </is>
      </c>
      <c r="D2" s="11" t="inlineStr">
        <is>
          <t>Standard</t>
        </is>
      </c>
      <c r="E2" s="11" t="inlineStr">
        <is>
          <t>Current owner retains coverage until manager approval</t>
        </is>
      </c>
    </row>
    <row r="3">
      <c r="A3" s="14" t="inlineStr">
        <is>
          <t>ACC-1002</t>
        </is>
      </c>
      <c r="B3" s="14" t="inlineStr">
        <is>
          <t>SUP-410</t>
        </is>
      </c>
      <c r="C3" s="14" t="inlineStr">
        <is>
          <t>REP-2703</t>
        </is>
      </c>
      <c r="D3" s="14" t="inlineStr">
        <is>
          <t>Standard</t>
        </is>
      </c>
      <c r="E3" s="14" t="inlineStr">
        <is>
          <t>Current owner retains coverage until manager approval</t>
        </is>
      </c>
    </row>
    <row r="4">
      <c r="A4" s="11" t="inlineStr">
        <is>
          <t>ACC-1003</t>
        </is>
      </c>
      <c r="B4" s="11" t="inlineStr">
        <is>
          <t>SEN-801</t>
        </is>
      </c>
      <c r="C4" s="11" t="inlineStr">
        <is>
          <t>REP-2702</t>
        </is>
      </c>
      <c r="D4" s="11" t="inlineStr">
        <is>
          <t>Low</t>
        </is>
      </c>
      <c r="E4" s="11" t="inlineStr">
        <is>
          <t>Current owner retains coverage until manager approval</t>
        </is>
      </c>
    </row>
    <row r="5">
      <c r="A5" s="14" t="inlineStr">
        <is>
          <t>ACC-1004</t>
        </is>
      </c>
      <c r="B5" s="14" t="inlineStr">
        <is>
          <t>SUP-410</t>
        </is>
      </c>
      <c r="C5" s="14" t="inlineStr">
        <is>
          <t>REP-2704</t>
        </is>
      </c>
      <c r="D5" s="14" t="inlineStr">
        <is>
          <t>High</t>
        </is>
      </c>
      <c r="E5" s="14" t="inlineStr">
        <is>
          <t>Current owner retains coverage until manager approval</t>
        </is>
      </c>
    </row>
    <row r="6">
      <c r="A6" s="11" t="inlineStr">
        <is>
          <t>ACC-1005</t>
        </is>
      </c>
      <c r="B6" s="11" t="inlineStr">
        <is>
          <t>SEN-801</t>
        </is>
      </c>
      <c r="C6" s="11" t="inlineStr">
        <is>
          <t>REP-2705</t>
        </is>
      </c>
      <c r="D6" s="11" t="inlineStr">
        <is>
          <t>Standard</t>
        </is>
      </c>
      <c r="E6" s="11" t="inlineStr">
        <is>
          <t>Current owner retains coverage until manager approval</t>
        </is>
      </c>
    </row>
    <row r="7">
      <c r="A7" s="14" t="inlineStr">
        <is>
          <t>ACC-1006</t>
        </is>
      </c>
      <c r="B7" s="14" t="inlineStr">
        <is>
          <t>SEN-802</t>
        </is>
      </c>
      <c r="C7" s="14" t="inlineStr">
        <is>
          <t>REP-2706</t>
        </is>
      </c>
      <c r="D7" s="14" t="inlineStr">
        <is>
          <t>Standard</t>
        </is>
      </c>
      <c r="E7" s="14" t="inlineStr">
        <is>
          <t>Current owner retains coverage until manager approval</t>
        </is>
      </c>
    </row>
    <row r="8">
      <c r="A8" s="11" t="inlineStr">
        <is>
          <t>ACC-1007</t>
        </is>
      </c>
      <c r="B8" s="11" t="inlineStr">
        <is>
          <t>SUP-412</t>
        </is>
      </c>
      <c r="C8" s="11" t="inlineStr">
        <is>
          <t>REP-2707</t>
        </is>
      </c>
      <c r="D8" s="11" t="inlineStr">
        <is>
          <t>Standard</t>
        </is>
      </c>
      <c r="E8" s="11" t="inlineStr">
        <is>
          <t>Current owner retains coverage until manager approval</t>
        </is>
      </c>
    </row>
    <row r="9">
      <c r="A9" s="14" t="inlineStr">
        <is>
          <t>ACC-1008</t>
        </is>
      </c>
      <c r="B9" s="14" t="inlineStr">
        <is>
          <t>SUP-410</t>
        </is>
      </c>
      <c r="C9" s="14" t="inlineStr">
        <is>
          <t>REP-2709</t>
        </is>
      </c>
      <c r="D9" s="14" t="inlineStr">
        <is>
          <t>Standard</t>
        </is>
      </c>
      <c r="E9" s="14" t="inlineStr">
        <is>
          <t>Current owner retains coverage until manager approval</t>
        </is>
      </c>
    </row>
    <row r="10">
      <c r="A10" s="11" t="inlineStr">
        <is>
          <t>ACC-1009</t>
        </is>
      </c>
      <c r="B10" s="11" t="inlineStr">
        <is>
          <t>SEN-802</t>
        </is>
      </c>
      <c r="C10" s="11" t="inlineStr">
        <is>
          <t>REP-2710</t>
        </is>
      </c>
      <c r="D10" s="11" t="inlineStr">
        <is>
          <t>Low</t>
        </is>
      </c>
      <c r="E10" s="11" t="inlineStr">
        <is>
          <t>Current owner retains coverage until manager approval</t>
        </is>
      </c>
    </row>
    <row r="11">
      <c r="A11" s="14" t="inlineStr">
        <is>
          <t>ACC-1010</t>
        </is>
      </c>
      <c r="B11" s="14" t="inlineStr">
        <is>
          <t>SUP-412</t>
        </is>
      </c>
      <c r="C11" s="14" t="inlineStr">
        <is>
          <t>REP-2708</t>
        </is>
      </c>
      <c r="D11" s="14" t="inlineStr">
        <is>
          <t>High</t>
        </is>
      </c>
      <c r="E11" s="14" t="inlineStr">
        <is>
          <t>Current owner retains coverage until manager approval</t>
        </is>
      </c>
    </row>
    <row r="12">
      <c r="A12" s="11" t="inlineStr">
        <is>
          <t>ACC-1011</t>
        </is>
      </c>
      <c r="B12" s="11" t="inlineStr">
        <is>
          <t>SEN-801</t>
        </is>
      </c>
      <c r="C12" s="11" t="inlineStr">
        <is>
          <t>REP-2701</t>
        </is>
      </c>
      <c r="D12" s="11" t="inlineStr">
        <is>
          <t>Standard</t>
        </is>
      </c>
      <c r="E12" s="11" t="inlineStr">
        <is>
          <t>Current owner retains coverage until manager approval</t>
        </is>
      </c>
    </row>
    <row r="13">
      <c r="A13" s="14" t="inlineStr">
        <is>
          <t>ACC-1012</t>
        </is>
      </c>
      <c r="B13" s="14" t="inlineStr">
        <is>
          <t>SUP-412</t>
        </is>
      </c>
      <c r="C13" s="14" t="inlineStr">
        <is>
          <t>REP-2707</t>
        </is>
      </c>
      <c r="D13" s="14" t="inlineStr">
        <is>
          <t>Low</t>
        </is>
      </c>
      <c r="E13" s="14" t="inlineStr">
        <is>
          <t>Current owner retains coverage until manager approval</t>
        </is>
      </c>
    </row>
    <row r="14">
      <c r="A14" s="11" t="inlineStr">
        <is>
          <t>ACC-1013</t>
        </is>
      </c>
      <c r="B14" s="11" t="inlineStr">
        <is>
          <t>SUP-412</t>
        </is>
      </c>
      <c r="C14" s="11" t="inlineStr">
        <is>
          <t>REP-2704</t>
        </is>
      </c>
      <c r="D14" s="11" t="inlineStr">
        <is>
          <t>High</t>
        </is>
      </c>
      <c r="E14" s="11" t="inlineStr">
        <is>
          <t>Current owner retains coverage until manager approval</t>
        </is>
      </c>
    </row>
    <row r="15">
      <c r="A15" s="14" t="inlineStr">
        <is>
          <t>ACC-1014</t>
        </is>
      </c>
      <c r="B15" s="14" t="inlineStr">
        <is>
          <t>SEN-802</t>
        </is>
      </c>
      <c r="C15" s="14" t="inlineStr">
        <is>
          <t>REP-2702</t>
        </is>
      </c>
      <c r="D15" s="14" t="inlineStr">
        <is>
          <t>Low</t>
        </is>
      </c>
      <c r="E15" s="14" t="inlineStr">
        <is>
          <t>Current owner retains coverage until manager approval</t>
        </is>
      </c>
    </row>
    <row r="16">
      <c r="A16" s="11" t="inlineStr">
        <is>
          <t>ACC-1015</t>
        </is>
      </c>
      <c r="B16" s="11" t="inlineStr">
        <is>
          <t>SUP-410</t>
        </is>
      </c>
      <c r="C16" s="11" t="inlineStr">
        <is>
          <t>REP-2705</t>
        </is>
      </c>
      <c r="D16" s="11" t="inlineStr">
        <is>
          <t>Standard</t>
        </is>
      </c>
      <c r="E16" s="11" t="inlineStr">
        <is>
          <t>Current owner retains coverage until manager approval</t>
        </is>
      </c>
    </row>
    <row r="17">
      <c r="A17" s="14" t="inlineStr">
        <is>
          <t>ACC-1016</t>
        </is>
      </c>
      <c r="B17" s="14" t="inlineStr">
        <is>
          <t>SEN-802</t>
        </is>
      </c>
      <c r="C17" s="14" t="inlineStr">
        <is>
          <t>REP-2703</t>
        </is>
      </c>
      <c r="D17" s="14" t="inlineStr">
        <is>
          <t>Standard</t>
        </is>
      </c>
      <c r="E17" s="14" t="inlineStr">
        <is>
          <t>Current owner retains coverage until manager approval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3.2" customWidth="1" min="2" max="2"/>
    <col width="17.68" customWidth="1" min="3" max="3"/>
    <col width="18.8" customWidth="1" min="4" max="4"/>
    <col width="23.28" customWidth="1" min="5" max="5"/>
    <col width="47.92" customWidth="1" min="6" max="6"/>
  </cols>
  <sheetData>
    <row r="1">
      <c r="A1" s="10" t="inlineStr">
        <is>
          <t>History_ID</t>
        </is>
      </c>
      <c r="B1" s="10" t="inlineStr">
        <is>
          <t>Account_ID</t>
        </is>
      </c>
      <c r="C1" s="10" t="inlineStr">
        <is>
          <t>Prior_Owner_ID</t>
        </is>
      </c>
      <c r="D1" s="10" t="inlineStr">
        <is>
          <t>Proposed_Rep_ID</t>
        </is>
      </c>
      <c r="E1" s="10" t="inlineStr">
        <is>
          <t>Owner_Change_Date</t>
        </is>
      </c>
      <c r="F1" s="10" t="inlineStr">
        <is>
          <t>Handoff_Note</t>
        </is>
      </c>
    </row>
    <row r="2">
      <c r="A2" s="11" t="inlineStr">
        <is>
          <t>OWN-001</t>
        </is>
      </c>
      <c r="B2" s="11" t="inlineStr">
        <is>
          <t>ACC-1001</t>
        </is>
      </c>
      <c r="C2" s="11" t="inlineStr">
        <is>
          <t>SEN-801</t>
        </is>
      </c>
      <c r="D2" s="11" t="inlineStr">
        <is>
          <t>REP-2701</t>
        </is>
      </c>
      <c r="E2" s="12" t="n">
        <v>46215</v>
      </c>
      <c r="F2" s="11" t="inlineStr">
        <is>
          <t>Proposed handoff staged pending readiness</t>
        </is>
      </c>
    </row>
    <row r="3">
      <c r="A3" s="14" t="inlineStr">
        <is>
          <t>OWN-002</t>
        </is>
      </c>
      <c r="B3" s="14" t="inlineStr">
        <is>
          <t>ACC-1002</t>
        </is>
      </c>
      <c r="C3" s="14" t="inlineStr">
        <is>
          <t>SUP-410</t>
        </is>
      </c>
      <c r="D3" s="14" t="inlineStr">
        <is>
          <t>REP-2703</t>
        </is>
      </c>
      <c r="E3" s="15" t="n">
        <v>46216</v>
      </c>
      <c r="F3" s="14" t="inlineStr">
        <is>
          <t>Proposed handoff staged pending readiness</t>
        </is>
      </c>
    </row>
    <row r="4">
      <c r="A4" s="11" t="inlineStr">
        <is>
          <t>OWN-003</t>
        </is>
      </c>
      <c r="B4" s="11" t="inlineStr">
        <is>
          <t>ACC-1003</t>
        </is>
      </c>
      <c r="C4" s="11" t="inlineStr">
        <is>
          <t>SEN-801</t>
        </is>
      </c>
      <c r="D4" s="11" t="inlineStr">
        <is>
          <t>REP-2702</t>
        </is>
      </c>
      <c r="E4" s="12" t="n">
        <v>46217</v>
      </c>
      <c r="F4" s="11" t="inlineStr">
        <is>
          <t>Proposed handoff staged pending readiness</t>
        </is>
      </c>
    </row>
    <row r="5">
      <c r="A5" s="14" t="inlineStr">
        <is>
          <t>OWN-004</t>
        </is>
      </c>
      <c r="B5" s="14" t="inlineStr">
        <is>
          <t>ACC-1004</t>
        </is>
      </c>
      <c r="C5" s="14" t="inlineStr">
        <is>
          <t>SUP-410</t>
        </is>
      </c>
      <c r="D5" s="14" t="inlineStr">
        <is>
          <t>REP-2704</t>
        </is>
      </c>
      <c r="E5" s="15" t="n">
        <v>46218</v>
      </c>
      <c r="F5" s="14" t="inlineStr">
        <is>
          <t>Proposed handoff staged pending readiness</t>
        </is>
      </c>
    </row>
    <row r="6">
      <c r="A6" s="11" t="inlineStr">
        <is>
          <t>OWN-005</t>
        </is>
      </c>
      <c r="B6" s="11" t="inlineStr">
        <is>
          <t>ACC-1005</t>
        </is>
      </c>
      <c r="C6" s="11" t="inlineStr">
        <is>
          <t>SEN-801</t>
        </is>
      </c>
      <c r="D6" s="11" t="inlineStr">
        <is>
          <t>REP-2705</t>
        </is>
      </c>
      <c r="E6" s="12" t="n">
        <v>46215</v>
      </c>
      <c r="F6" s="11" t="inlineStr">
        <is>
          <t>Proposed handoff staged pending readiness</t>
        </is>
      </c>
    </row>
    <row r="7">
      <c r="A7" s="14" t="inlineStr">
        <is>
          <t>OWN-006</t>
        </is>
      </c>
      <c r="B7" s="14" t="inlineStr">
        <is>
          <t>ACC-1006</t>
        </is>
      </c>
      <c r="C7" s="14" t="inlineStr">
        <is>
          <t>SEN-802</t>
        </is>
      </c>
      <c r="D7" s="14" t="inlineStr">
        <is>
          <t>REP-2706</t>
        </is>
      </c>
      <c r="E7" s="15" t="n">
        <v>46216</v>
      </c>
      <c r="F7" s="14" t="inlineStr">
        <is>
          <t>Proposed handoff staged pending readiness</t>
        </is>
      </c>
    </row>
    <row r="8">
      <c r="A8" s="11" t="inlineStr">
        <is>
          <t>OWN-007</t>
        </is>
      </c>
      <c r="B8" s="11" t="inlineStr">
        <is>
          <t>ACC-1007</t>
        </is>
      </c>
      <c r="C8" s="11" t="inlineStr">
        <is>
          <t>SUP-412</t>
        </is>
      </c>
      <c r="D8" s="11" t="inlineStr">
        <is>
          <t>REP-2707</t>
        </is>
      </c>
      <c r="E8" s="12" t="n">
        <v>46217</v>
      </c>
      <c r="F8" s="11" t="inlineStr">
        <is>
          <t>Proposed handoff staged pending readiness</t>
        </is>
      </c>
    </row>
    <row r="9">
      <c r="A9" s="14" t="inlineStr">
        <is>
          <t>OWN-008</t>
        </is>
      </c>
      <c r="B9" s="14" t="inlineStr">
        <is>
          <t>ACC-1008</t>
        </is>
      </c>
      <c r="C9" s="14" t="inlineStr">
        <is>
          <t>SUP-410</t>
        </is>
      </c>
      <c r="D9" s="14" t="inlineStr">
        <is>
          <t>REP-2709</t>
        </is>
      </c>
      <c r="E9" s="15" t="n">
        <v>46218</v>
      </c>
      <c r="F9" s="14" t="inlineStr">
        <is>
          <t>Proposed handoff staged pending readiness</t>
        </is>
      </c>
    </row>
    <row r="10">
      <c r="A10" s="11" t="inlineStr">
        <is>
          <t>OWN-009</t>
        </is>
      </c>
      <c r="B10" s="11" t="inlineStr">
        <is>
          <t>ACC-1009</t>
        </is>
      </c>
      <c r="C10" s="11" t="inlineStr">
        <is>
          <t>SEN-802</t>
        </is>
      </c>
      <c r="D10" s="11" t="inlineStr">
        <is>
          <t>REP-2710</t>
        </is>
      </c>
      <c r="E10" s="12" t="n">
        <v>46215</v>
      </c>
      <c r="F10" s="11" t="inlineStr">
        <is>
          <t>Proposed handoff staged pending readiness</t>
        </is>
      </c>
    </row>
    <row r="11">
      <c r="A11" s="14" t="inlineStr">
        <is>
          <t>OWN-010</t>
        </is>
      </c>
      <c r="B11" s="14" t="inlineStr">
        <is>
          <t>ACC-1010</t>
        </is>
      </c>
      <c r="C11" s="14" t="inlineStr">
        <is>
          <t>SUP-412</t>
        </is>
      </c>
      <c r="D11" s="14" t="inlineStr">
        <is>
          <t>REP-2708</t>
        </is>
      </c>
      <c r="E11" s="15" t="n">
        <v>46216</v>
      </c>
      <c r="F11" s="14" t="inlineStr">
        <is>
          <t>Proposed handoff staged pending readiness</t>
        </is>
      </c>
    </row>
    <row r="12">
      <c r="A12" s="11" t="inlineStr">
        <is>
          <t>OWN-011</t>
        </is>
      </c>
      <c r="B12" s="11" t="inlineStr">
        <is>
          <t>ACC-1011</t>
        </is>
      </c>
      <c r="C12" s="11" t="inlineStr">
        <is>
          <t>SEN-801</t>
        </is>
      </c>
      <c r="D12" s="11" t="inlineStr">
        <is>
          <t>REP-2701</t>
        </is>
      </c>
      <c r="E12" s="12" t="n">
        <v>46217</v>
      </c>
      <c r="F12" s="11" t="inlineStr">
        <is>
          <t>Proposed handoff staged pending readiness</t>
        </is>
      </c>
    </row>
    <row r="13">
      <c r="A13" s="14" t="inlineStr">
        <is>
          <t>OWN-012</t>
        </is>
      </c>
      <c r="B13" s="14" t="inlineStr">
        <is>
          <t>ACC-1012</t>
        </is>
      </c>
      <c r="C13" s="14" t="inlineStr">
        <is>
          <t>SUP-412</t>
        </is>
      </c>
      <c r="D13" s="14" t="inlineStr">
        <is>
          <t>REP-2707</t>
        </is>
      </c>
      <c r="E13" s="15" t="n">
        <v>46218</v>
      </c>
      <c r="F13" s="14" t="inlineStr">
        <is>
          <t>Proposed handoff staged pending readiness</t>
        </is>
      </c>
    </row>
    <row r="14">
      <c r="A14" s="11" t="inlineStr">
        <is>
          <t>OWN-013</t>
        </is>
      </c>
      <c r="B14" s="11" t="inlineStr">
        <is>
          <t>ACC-1013</t>
        </is>
      </c>
      <c r="C14" s="11" t="inlineStr">
        <is>
          <t>SUP-412</t>
        </is>
      </c>
      <c r="D14" s="11" t="inlineStr">
        <is>
          <t>REP-2704</t>
        </is>
      </c>
      <c r="E14" s="12" t="n">
        <v>46215</v>
      </c>
      <c r="F14" s="11" t="inlineStr">
        <is>
          <t>Proposed handoff staged pending readiness</t>
        </is>
      </c>
    </row>
    <row r="15">
      <c r="A15" s="14" t="inlineStr">
        <is>
          <t>OWN-014</t>
        </is>
      </c>
      <c r="B15" s="14" t="inlineStr">
        <is>
          <t>ACC-1014</t>
        </is>
      </c>
      <c r="C15" s="14" t="inlineStr">
        <is>
          <t>SEN-802</t>
        </is>
      </c>
      <c r="D15" s="14" t="inlineStr">
        <is>
          <t>REP-2702</t>
        </is>
      </c>
      <c r="E15" s="15" t="n">
        <v>46216</v>
      </c>
      <c r="F15" s="14" t="inlineStr">
        <is>
          <t>Proposed handoff staged pending readiness</t>
        </is>
      </c>
    </row>
    <row r="16">
      <c r="A16" s="11" t="inlineStr">
        <is>
          <t>OWN-015</t>
        </is>
      </c>
      <c r="B16" s="11" t="inlineStr">
        <is>
          <t>ACC-1015</t>
        </is>
      </c>
      <c r="C16" s="11" t="inlineStr">
        <is>
          <t>SUP-410</t>
        </is>
      </c>
      <c r="D16" s="11" t="inlineStr">
        <is>
          <t>REP-2705</t>
        </is>
      </c>
      <c r="E16" s="12" t="n">
        <v>46217</v>
      </c>
      <c r="F16" s="11" t="inlineStr">
        <is>
          <t>Proposed handoff staged pending readiness</t>
        </is>
      </c>
    </row>
    <row r="17">
      <c r="A17" s="14" t="inlineStr">
        <is>
          <t>OWN-016</t>
        </is>
      </c>
      <c r="B17" s="14" t="inlineStr">
        <is>
          <t>ACC-1016</t>
        </is>
      </c>
      <c r="C17" s="14" t="inlineStr">
        <is>
          <t>SEN-802</t>
        </is>
      </c>
      <c r="D17" s="14" t="inlineStr">
        <is>
          <t>REP-2703</t>
        </is>
      </c>
      <c r="E17" s="15" t="n">
        <v>46218</v>
      </c>
      <c r="F17" s="14" t="inlineStr">
        <is>
          <t>Proposed handoff staged pending readiness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96" customWidth="1" min="1" max="1"/>
    <col width="16.56" customWidth="1" min="2" max="2"/>
    <col width="24.4" customWidth="1" min="3" max="3"/>
    <col width="17.68" customWidth="1" min="4" max="4"/>
  </cols>
  <sheetData>
    <row r="1">
      <c r="A1" s="10" t="inlineStr">
        <is>
          <t>Owner_ID</t>
        </is>
      </c>
      <c r="B1" s="10" t="inlineStr">
        <is>
          <t>Owner_Name</t>
        </is>
      </c>
      <c r="C1" s="10" t="inlineStr">
        <is>
          <t>Owner_Role</t>
        </is>
      </c>
      <c r="D1" s="10" t="inlineStr">
        <is>
          <t>Capacity_Limit</t>
        </is>
      </c>
    </row>
    <row r="2">
      <c r="A2" s="11" t="inlineStr">
        <is>
          <t>SEN-801</t>
        </is>
      </c>
      <c r="B2" s="11" t="inlineStr">
        <is>
          <t>Clara Moore</t>
        </is>
      </c>
      <c r="C2" s="11" t="inlineStr">
        <is>
          <t>Senior corporate rep</t>
        </is>
      </c>
      <c r="D2" s="17" t="n">
        <v>4</v>
      </c>
    </row>
    <row r="3">
      <c r="A3" s="14" t="inlineStr">
        <is>
          <t>SEN-802</t>
        </is>
      </c>
      <c r="B3" s="14" t="inlineStr">
        <is>
          <t>Ben Harrow</t>
        </is>
      </c>
      <c r="C3" s="14" t="inlineStr">
        <is>
          <t>Senior affinity rep</t>
        </is>
      </c>
      <c r="D3" s="18" t="n">
        <v>4</v>
      </c>
    </row>
    <row r="4">
      <c r="A4" s="11" t="inlineStr">
        <is>
          <t>SUP-410</t>
        </is>
      </c>
      <c r="B4" s="11" t="inlineStr">
        <is>
          <t>Alicia Benton</t>
        </is>
      </c>
      <c r="C4" s="11" t="inlineStr">
        <is>
          <t>Supervisor backup</t>
        </is>
      </c>
      <c r="D4" s="17" t="n">
        <v>3</v>
      </c>
    </row>
    <row r="5">
      <c r="A5" s="14" t="inlineStr">
        <is>
          <t>SUP-412</t>
        </is>
      </c>
      <c r="B5" s="14" t="inlineStr">
        <is>
          <t>Nolan Price</t>
        </is>
      </c>
      <c r="C5" s="14" t="inlineStr">
        <is>
          <t>Supervisor backup</t>
        </is>
      </c>
      <c r="D5" s="18" t="n">
        <v>3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52" customWidth="1" min="1" max="1"/>
    <col width="30" customWidth="1" min="2" max="2"/>
    <col width="10.96" customWidth="1" min="3" max="3"/>
  </cols>
  <sheetData>
    <row r="1">
      <c r="A1" s="10" t="inlineStr">
        <is>
          <t>Check</t>
        </is>
      </c>
      <c r="B1" s="10" t="inlineStr">
        <is>
          <t>Formula_Result</t>
        </is>
      </c>
      <c r="C1" s="10" t="inlineStr">
        <is>
          <t>Expected</t>
        </is>
      </c>
    </row>
    <row r="2">
      <c r="A2" s="11" t="inlineStr">
        <is>
          <t>Active account rows</t>
        </is>
      </c>
      <c r="B2" s="13">
        <f>COUNTA(Accounts!A2:A17)</f>
        <v/>
      </c>
      <c r="C2" s="13" t="n">
        <v>16</v>
      </c>
    </row>
    <row r="3">
      <c r="A3" s="14" t="inlineStr">
        <is>
          <t>Quoted value total</t>
        </is>
      </c>
      <c r="B3" s="16">
        <f>SUM(Accounts!G2:G17)</f>
        <v/>
      </c>
      <c r="C3" s="16" t="n">
        <v>1942000</v>
      </c>
    </row>
    <row r="4">
      <c r="A4" s="11" t="inlineStr">
        <is>
          <t>Missing current owner</t>
        </is>
      </c>
      <c r="B4" s="13">
        <f>COUNTBLANK(Accounts!K2:K17)</f>
        <v/>
      </c>
      <c r="C4" s="13" t="n">
        <v>0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HarborBridge Group Sales Operations</dc:creator>
  <dc:title xmlns:dc="http://purl.org/dc/elements/1.1/">Temporary Group Account Coverage Export</dc:title>
  <dc:description xmlns:dc="http://purl.org/dc/elements/1.1/">Active opportunities and coverage obligations during July ramp transition</dc:description>
  <dc:subject xmlns:dc="http://purl.org/dc/elements/1.1/">Active opportunities and coverage obligations during July ramp transition</dc:subject>
  <dcterms:created xmlns:dcterms="http://purl.org/dc/terms/" xmlns:xsi="http://www.w3.org/2001/XMLSchema-instance" xsi:type="dcterms:W3CDTF">2026-07-17T16:01:22Z</dcterms:created>
  <dcterms:modified xmlns:dcterms="http://purl.org/dc/terms/" xmlns:xsi="http://www.w3.org/2001/XMLSchema-instance" xsi:type="dcterms:W3CDTF">2026-07-17T16:03:51Z</dcterms:modified>
  <cp:keywords>group sales, ramp, readiness, certification, pending approval</cp:keywords>
</cp:coreProperties>
</file>