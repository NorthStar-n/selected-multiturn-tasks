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hort" sheetId="1" state="visible" r:id="rId1"/>
    <sheet xmlns:r="http://schemas.openxmlformats.org/officeDocument/2006/relationships" name="Target_Summary" sheetId="2" state="visible" r:id="rId2"/>
  </sheets>
  <definedNames/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Carlito"/>
      <b val="1"/>
      <color rgb="00FFFFFF"/>
    </font>
    <font>
      <name val="Carlito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0B5C4A"/>
      </patternFill>
    </fill>
    <fill>
      <patternFill patternType="solid">
        <fgColor rgb="00F3EADB"/>
      </patternFill>
    </fill>
  </fills>
  <borders count="2">
    <border>
      <left/>
      <right/>
      <top/>
      <bottom/>
      <diagonal/>
    </border>
    <border>
      <left style="thin">
        <color rgb="00D9D0BD"/>
      </left>
      <right style="thin">
        <color rgb="00D9D0BD"/>
      </right>
      <top style="thin">
        <color rgb="00D9D0BD"/>
      </top>
      <bottom style="thin">
        <color rgb="00D9D0BD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" fontId="2" fillId="3" borderId="1" applyAlignment="1" pivotButton="0" quotePrefix="0" xfId="0">
      <alignment horizontal="center" vertical="center"/>
    </xf>
    <xf numFmtId="1" fontId="2" fillId="0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" fontId="2" fillId="3" borderId="1" applyAlignment="1" pivotButton="0" quotePrefix="0" xfId="0">
      <alignment horizontal="center" vertical="center"/>
    </xf>
    <xf numFmtId="1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dxfs count="1">
    <dxf>
      <fill>
        <patternFill patternType="solid">
          <fgColor rgb="00EFE4C8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Cohort" displayName="Cohort" ref="A1:P11" headerRowCount="1">
  <autoFilter ref="A1:P11"/>
  <tableColumns count="16">
    <tableColumn id="1" name="Rep_ID"/>
    <tableColumn id="2" name="Representative_Name"/>
    <tableColumn id="3" name="Start_Date"/>
    <tableColumn id="4" name="Employment_Status"/>
    <tableColumn id="5" name="Prior_Travel_Sales_Experience"/>
    <tableColumn id="6" name="Location"/>
    <tableColumn id="7" name="Supervisor_ID"/>
    <tableColumn id="8" name="Supervisor_Name"/>
    <tableColumn id="9" name="Segment"/>
    <tableColumn id="10" name="Territory_Code"/>
    <tableColumn id="11" name="Constraint_Type"/>
    <tableColumn id="12" name="Target_Practice_Start"/>
    <tableColumn id="13" name="Target_Certification_Date"/>
    <tableColumn id="14" name="Target_Independent_Coverage_Date"/>
    <tableColumn id="15" name="Temporary_Coverage_Group"/>
    <tableColumn id="16" name="Account_Pool_Code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id="2" name="Target_Summary" displayName="Target_Summary" ref="A1:D5" headerRowCount="1">
  <autoFilter ref="A1:D5"/>
  <tableColumns count="4">
    <tableColumn id="1" name="Segment"/>
    <tableColumn id="2" name="Rep_Count"/>
    <tableColumn id="3" name="Earliest_Target_Cert"/>
    <tableColumn id="4" name="Latest_Target_Cert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96" customWidth="1" min="1" max="1"/>
    <col width="23.28" customWidth="1" min="2" max="2"/>
    <col width="23.28" customWidth="1" min="3" max="3"/>
    <col width="21.04" customWidth="1" min="4" max="4"/>
    <col width="42.32000000000001" customWidth="1" min="5" max="5"/>
    <col width="15.44" customWidth="1" min="6" max="6"/>
    <col width="16.56" customWidth="1" min="7" max="7"/>
    <col width="18.8" customWidth="1" min="8" max="8"/>
    <col width="12.08" customWidth="1" min="9" max="9"/>
    <col width="17.68" customWidth="1" min="10" max="10"/>
    <col width="43.44" customWidth="1" min="11" max="11"/>
    <col width="25.52" customWidth="1" min="12" max="12"/>
    <col width="30" customWidth="1" min="13" max="13"/>
    <col width="37.84" customWidth="1" min="14" max="14"/>
    <col width="38.96" customWidth="1" min="15" max="15"/>
    <col width="21.04" customWidth="1" min="16" max="16"/>
  </cols>
  <sheetData>
    <row r="1">
      <c r="A1" s="8" t="inlineStr">
        <is>
          <t>Rep_ID</t>
        </is>
      </c>
      <c r="B1" s="8" t="inlineStr">
        <is>
          <t>Representative_Name</t>
        </is>
      </c>
      <c r="C1" s="8" t="inlineStr">
        <is>
          <t>Start_Date</t>
        </is>
      </c>
      <c r="D1" s="8" t="inlineStr">
        <is>
          <t>Employment_Status</t>
        </is>
      </c>
      <c r="E1" s="8" t="inlineStr">
        <is>
          <t>Prior_Travel_Sales_Experience</t>
        </is>
      </c>
      <c r="F1" s="8" t="inlineStr">
        <is>
          <t>Location</t>
        </is>
      </c>
      <c r="G1" s="8" t="inlineStr">
        <is>
          <t>Supervisor_ID</t>
        </is>
      </c>
      <c r="H1" s="8" t="inlineStr">
        <is>
          <t>Supervisor_Name</t>
        </is>
      </c>
      <c r="I1" s="8" t="inlineStr">
        <is>
          <t>Segment</t>
        </is>
      </c>
      <c r="J1" s="8" t="inlineStr">
        <is>
          <t>Territory_Code</t>
        </is>
      </c>
      <c r="K1" s="8" t="inlineStr">
        <is>
          <t>Constraint_Type</t>
        </is>
      </c>
      <c r="L1" s="8" t="inlineStr">
        <is>
          <t>Target_Practice_Start</t>
        </is>
      </c>
      <c r="M1" s="8" t="inlineStr">
        <is>
          <t>Target_Certification_Date</t>
        </is>
      </c>
      <c r="N1" s="8" t="inlineStr">
        <is>
          <t>Target_Independent_Coverage_Date</t>
        </is>
      </c>
      <c r="O1" s="8" t="inlineStr">
        <is>
          <t>Temporary_Coverage_Group</t>
        </is>
      </c>
      <c r="P1" s="8" t="inlineStr">
        <is>
          <t>Account_Pool_Code</t>
        </is>
      </c>
    </row>
    <row r="2">
      <c r="A2" s="9" t="inlineStr">
        <is>
          <t>REP-2701</t>
        </is>
      </c>
      <c r="B2" s="9" t="inlineStr">
        <is>
          <t>Maya Chen</t>
        </is>
      </c>
      <c r="C2" s="10" t="n">
        <v>46204</v>
      </c>
      <c r="D2" s="9" t="inlineStr">
        <is>
          <t>Active</t>
        </is>
      </c>
      <c r="E2" s="9" t="inlineStr">
        <is>
          <t>Corporate transient desk, 18 months</t>
        </is>
      </c>
      <c r="F2" s="9" t="inlineStr">
        <is>
          <t>Chicago</t>
        </is>
      </c>
      <c r="G2" s="9" t="inlineStr">
        <is>
          <t>SUP-410</t>
        </is>
      </c>
      <c r="H2" s="9" t="inlineStr">
        <is>
          <t>Alicia Benton</t>
        </is>
      </c>
      <c r="I2" s="9" t="inlineStr">
        <is>
          <t>Corporate</t>
        </is>
      </c>
      <c r="J2" s="9" t="inlineStr">
        <is>
          <t>COR-W</t>
        </is>
      </c>
      <c r="K2" s="9" t="inlineStr">
        <is>
          <t>None</t>
        </is>
      </c>
      <c r="L2" s="10" t="n">
        <v>46211</v>
      </c>
      <c r="M2" s="10" t="n">
        <v>46221</v>
      </c>
      <c r="N2" s="10" t="n">
        <v>46223</v>
      </c>
      <c r="O2" s="9" t="inlineStr">
        <is>
          <t>West corporate overflow</t>
        </is>
      </c>
      <c r="P2" s="9" t="inlineStr">
        <is>
          <t>POOL-COR-W</t>
        </is>
      </c>
    </row>
    <row r="3">
      <c r="A3" s="11" t="inlineStr">
        <is>
          <t>REP-2702</t>
        </is>
      </c>
      <c r="B3" s="11" t="inlineStr">
        <is>
          <t>Jordan Patel</t>
        </is>
      </c>
      <c r="C3" s="12" t="n">
        <v>46204</v>
      </c>
      <c r="D3" s="11" t="inlineStr">
        <is>
          <t>Active</t>
        </is>
      </c>
      <c r="E3" s="11" t="inlineStr">
        <is>
          <t>Affinity member services, 2 years</t>
        </is>
      </c>
      <c r="F3" s="11" t="inlineStr">
        <is>
          <t>Atlanta</t>
        </is>
      </c>
      <c r="G3" s="11" t="inlineStr">
        <is>
          <t>SUP-411</t>
        </is>
      </c>
      <c r="H3" s="11" t="inlineStr">
        <is>
          <t>Marisol Grant</t>
        </is>
      </c>
      <c r="I3" s="11" t="inlineStr">
        <is>
          <t>Affinity</t>
        </is>
      </c>
      <c r="J3" s="11" t="inlineStr">
        <is>
          <t>AFF-E</t>
        </is>
      </c>
      <c r="K3" s="11" t="inlineStr">
        <is>
          <t>Approved limited-coverage exception</t>
        </is>
      </c>
      <c r="L3" s="12" t="n">
        <v>46211</v>
      </c>
      <c r="M3" s="12" t="n">
        <v>46221</v>
      </c>
      <c r="N3" s="12" t="n">
        <v>46223</v>
      </c>
      <c r="O3" s="11" t="inlineStr">
        <is>
          <t>Affinity East renewal queue</t>
        </is>
      </c>
      <c r="P3" s="11" t="inlineStr">
        <is>
          <t>POOL-AFF-E</t>
        </is>
      </c>
    </row>
    <row r="4">
      <c r="A4" s="9" t="inlineStr">
        <is>
          <t>REP-2703</t>
        </is>
      </c>
      <c r="B4" s="9" t="inlineStr">
        <is>
          <t>Sofia Ramirez</t>
        </is>
      </c>
      <c r="C4" s="10" t="n">
        <v>46205</v>
      </c>
      <c r="D4" s="9" t="inlineStr">
        <is>
          <t>Active</t>
        </is>
      </c>
      <c r="E4" s="9" t="inlineStr">
        <is>
          <t>School travel coordinator, 8 months</t>
        </is>
      </c>
      <c r="F4" s="9" t="inlineStr">
        <is>
          <t>Denver</t>
        </is>
      </c>
      <c r="G4" s="9" t="inlineStr">
        <is>
          <t>SUP-412</t>
        </is>
      </c>
      <c r="H4" s="9" t="inlineStr">
        <is>
          <t>Nolan Price</t>
        </is>
      </c>
      <c r="I4" s="9" t="inlineStr">
        <is>
          <t>Education</t>
        </is>
      </c>
      <c r="J4" s="9" t="inlineStr">
        <is>
          <t>EDU-MW</t>
        </is>
      </c>
      <c r="K4" s="9" t="inlineStr">
        <is>
          <t>Contract terms remediation</t>
        </is>
      </c>
      <c r="L4" s="10" t="n">
        <v>46212</v>
      </c>
      <c r="M4" s="10" t="n">
        <v>46222</v>
      </c>
      <c r="N4" s="10" t="n">
        <v>46224</v>
      </c>
      <c r="O4" s="9" t="inlineStr">
        <is>
          <t>Education Midwest queue</t>
        </is>
      </c>
      <c r="P4" s="9" t="inlineStr">
        <is>
          <t>POOL-EDU-MW</t>
        </is>
      </c>
    </row>
    <row r="5">
      <c r="A5" s="11" t="inlineStr">
        <is>
          <t>REP-2704</t>
        </is>
      </c>
      <c r="B5" s="11" t="inlineStr">
        <is>
          <t>Ethan Brooks</t>
        </is>
      </c>
      <c r="C5" s="12" t="n">
        <v>46205</v>
      </c>
      <c r="D5" s="11" t="inlineStr">
        <is>
          <t>Active</t>
        </is>
      </c>
      <c r="E5" s="11" t="inlineStr">
        <is>
          <t>Meetings inquiry desk, 1 year</t>
        </is>
      </c>
      <c r="F5" s="11" t="inlineStr">
        <is>
          <t>Boston</t>
        </is>
      </c>
      <c r="G5" s="11" t="inlineStr">
        <is>
          <t>SUP-413</t>
        </is>
      </c>
      <c r="H5" s="11" t="inlineStr">
        <is>
          <t>Dana Miller</t>
        </is>
      </c>
      <c r="I5" s="11" t="inlineStr">
        <is>
          <t>Meetings</t>
        </is>
      </c>
      <c r="J5" s="11" t="inlineStr">
        <is>
          <t>MTG-NE</t>
        </is>
      </c>
      <c r="K5" s="11" t="inlineStr">
        <is>
          <t>State seller-of-travel licensing hold</t>
        </is>
      </c>
      <c r="L5" s="12" t="n">
        <v>46212</v>
      </c>
      <c r="M5" s="12" t="n">
        <v>46222</v>
      </c>
      <c r="N5" s="12" t="n">
        <v>46225</v>
      </c>
      <c r="O5" s="11" t="inlineStr">
        <is>
          <t>Meetings Northeast queue</t>
        </is>
      </c>
      <c r="P5" s="11" t="inlineStr">
        <is>
          <t>POOL-MTG-NE</t>
        </is>
      </c>
    </row>
    <row r="6">
      <c r="A6" s="9" t="inlineStr">
        <is>
          <t>REP-2705</t>
        </is>
      </c>
      <c r="B6" s="9" t="inlineStr">
        <is>
          <t>Priya Nair</t>
        </is>
      </c>
      <c r="C6" s="10" t="n">
        <v>46206</v>
      </c>
      <c r="D6" s="9" t="inlineStr">
        <is>
          <t>Active</t>
        </is>
      </c>
      <c r="E6" s="9" t="inlineStr">
        <is>
          <t>Leisure groups, 14 months</t>
        </is>
      </c>
      <c r="F6" s="9" t="inlineStr">
        <is>
          <t>Seattle</t>
        </is>
      </c>
      <c r="G6" s="9" t="inlineStr">
        <is>
          <t>SUP-410</t>
        </is>
      </c>
      <c r="H6" s="9" t="inlineStr">
        <is>
          <t>Alicia Benton</t>
        </is>
      </c>
      <c r="I6" s="9" t="inlineStr">
        <is>
          <t>Corporate</t>
        </is>
      </c>
      <c r="J6" s="9" t="inlineStr">
        <is>
          <t>COR-NW</t>
        </is>
      </c>
      <c r="K6" s="9" t="inlineStr">
        <is>
          <t>CRM audit remediation</t>
        </is>
      </c>
      <c r="L6" s="10" t="n">
        <v>46213</v>
      </c>
      <c r="M6" s="10" t="n">
        <v>46223</v>
      </c>
      <c r="N6" s="10" t="n">
        <v>46225</v>
      </c>
      <c r="O6" s="9" t="inlineStr">
        <is>
          <t>Northwest corporate renewal queue</t>
        </is>
      </c>
      <c r="P6" s="9" t="inlineStr">
        <is>
          <t>POOL-COR-NW</t>
        </is>
      </c>
    </row>
    <row r="7">
      <c r="A7" s="11" t="inlineStr">
        <is>
          <t>REP-2706</t>
        </is>
      </c>
      <c r="B7" s="11" t="inlineStr">
        <is>
          <t>Liam O'Neill</t>
        </is>
      </c>
      <c r="C7" s="12" t="n">
        <v>46206</v>
      </c>
      <c r="D7" s="11" t="inlineStr">
        <is>
          <t>Active</t>
        </is>
      </c>
      <c r="E7" s="11" t="inlineStr">
        <is>
          <t>Member travel support, 10 months</t>
        </is>
      </c>
      <c r="F7" s="11" t="inlineStr">
        <is>
          <t>Philadelphia</t>
        </is>
      </c>
      <c r="G7" s="11" t="inlineStr">
        <is>
          <t>SUP-411</t>
        </is>
      </c>
      <c r="H7" s="11" t="inlineStr">
        <is>
          <t>Marisol Grant</t>
        </is>
      </c>
      <c r="I7" s="11" t="inlineStr">
        <is>
          <t>Affinity</t>
        </is>
      </c>
      <c r="J7" s="11" t="inlineStr">
        <is>
          <t>AFF-PA</t>
        </is>
      </c>
      <c r="K7" s="11" t="inlineStr">
        <is>
          <t>Missed live observation slot</t>
        </is>
      </c>
      <c r="L7" s="12" t="n">
        <v>46213</v>
      </c>
      <c r="M7" s="12" t="n">
        <v>46223</v>
      </c>
      <c r="N7" s="12" t="n">
        <v>46225</v>
      </c>
      <c r="O7" s="11" t="inlineStr">
        <is>
          <t>Affinity Pennsylvania queue</t>
        </is>
      </c>
      <c r="P7" s="11" t="inlineStr">
        <is>
          <t>POOL-AFF-PA</t>
        </is>
      </c>
    </row>
    <row r="8">
      <c r="A8" s="9" t="inlineStr">
        <is>
          <t>REP-2707</t>
        </is>
      </c>
      <c r="B8" s="9" t="inlineStr">
        <is>
          <t>Ava Thompson</t>
        </is>
      </c>
      <c r="C8" s="10" t="n">
        <v>46204</v>
      </c>
      <c r="D8" s="9" t="inlineStr">
        <is>
          <t>Active</t>
        </is>
      </c>
      <c r="E8" s="9" t="inlineStr">
        <is>
          <t>Education account assistant, 2 years</t>
        </is>
      </c>
      <c r="F8" s="9" t="inlineStr">
        <is>
          <t>Dallas</t>
        </is>
      </c>
      <c r="G8" s="9" t="inlineStr">
        <is>
          <t>SUP-412</t>
        </is>
      </c>
      <c r="H8" s="9" t="inlineStr">
        <is>
          <t>Nolan Price</t>
        </is>
      </c>
      <c r="I8" s="9" t="inlineStr">
        <is>
          <t>Education</t>
        </is>
      </c>
      <c r="J8" s="9" t="inlineStr">
        <is>
          <t>EDU-S</t>
        </is>
      </c>
      <c r="K8" s="9" t="inlineStr">
        <is>
          <t>None</t>
        </is>
      </c>
      <c r="L8" s="10" t="n">
        <v>46211</v>
      </c>
      <c r="M8" s="10" t="n">
        <v>46221</v>
      </c>
      <c r="N8" s="10" t="n">
        <v>46223</v>
      </c>
      <c r="O8" s="9" t="inlineStr">
        <is>
          <t>Education South queue</t>
        </is>
      </c>
      <c r="P8" s="9" t="inlineStr">
        <is>
          <t>POOL-EDU-S</t>
        </is>
      </c>
    </row>
    <row r="9">
      <c r="A9" s="11" t="inlineStr">
        <is>
          <t>REP-2708</t>
        </is>
      </c>
      <c r="B9" s="11" t="inlineStr">
        <is>
          <t>Noah Kim</t>
        </is>
      </c>
      <c r="C9" s="12" t="n">
        <v>46205</v>
      </c>
      <c r="D9" s="11" t="inlineStr">
        <is>
          <t>Active</t>
        </is>
      </c>
      <c r="E9" s="11" t="inlineStr">
        <is>
          <t>Event registration, 16 months</t>
        </is>
      </c>
      <c r="F9" s="11" t="inlineStr">
        <is>
          <t>San Diego</t>
        </is>
      </c>
      <c r="G9" s="11" t="inlineStr">
        <is>
          <t>SUP-413</t>
        </is>
      </c>
      <c r="H9" s="11" t="inlineStr">
        <is>
          <t>Dana Miller</t>
        </is>
      </c>
      <c r="I9" s="11" t="inlineStr">
        <is>
          <t>Meetings</t>
        </is>
      </c>
      <c r="J9" s="11" t="inlineStr">
        <is>
          <t>MTG-W</t>
        </is>
      </c>
      <c r="K9" s="11" t="inlineStr">
        <is>
          <t>Compliance disclosure miss</t>
        </is>
      </c>
      <c r="L9" s="12" t="n">
        <v>46212</v>
      </c>
      <c r="M9" s="12" t="n">
        <v>46222</v>
      </c>
      <c r="N9" s="12" t="n">
        <v>46225</v>
      </c>
      <c r="O9" s="11" t="inlineStr">
        <is>
          <t>Meetings West queue</t>
        </is>
      </c>
      <c r="P9" s="11" t="inlineStr">
        <is>
          <t>POOL-MTG-W</t>
        </is>
      </c>
    </row>
    <row r="10">
      <c r="A10" s="9" t="inlineStr">
        <is>
          <t>REP-2709</t>
        </is>
      </c>
      <c r="B10" s="9" t="inlineStr">
        <is>
          <t>Isabella Reed</t>
        </is>
      </c>
      <c r="C10" s="10" t="n">
        <v>46204</v>
      </c>
      <c r="D10" s="9" t="inlineStr">
        <is>
          <t>Active</t>
        </is>
      </c>
      <c r="E10" s="9" t="inlineStr">
        <is>
          <t>Corporate agency desk, 3 years</t>
        </is>
      </c>
      <c r="F10" s="9" t="inlineStr">
        <is>
          <t>New York</t>
        </is>
      </c>
      <c r="G10" s="9" t="inlineStr">
        <is>
          <t>SUP-410</t>
        </is>
      </c>
      <c r="H10" s="9" t="inlineStr">
        <is>
          <t>Alicia Benton</t>
        </is>
      </c>
      <c r="I10" s="9" t="inlineStr">
        <is>
          <t>Corporate</t>
        </is>
      </c>
      <c r="J10" s="9" t="inlineStr">
        <is>
          <t>COR-NE</t>
        </is>
      </c>
      <c r="K10" s="9" t="inlineStr">
        <is>
          <t>Supervisor recommendation pending</t>
        </is>
      </c>
      <c r="L10" s="10" t="n">
        <v>46211</v>
      </c>
      <c r="M10" s="10" t="n">
        <v>46221</v>
      </c>
      <c r="N10" s="10" t="n">
        <v>46223</v>
      </c>
      <c r="O10" s="9" t="inlineStr">
        <is>
          <t>Northeast corporate queue</t>
        </is>
      </c>
      <c r="P10" s="9" t="inlineStr">
        <is>
          <t>POOL-COR-NE</t>
        </is>
      </c>
    </row>
    <row r="11">
      <c r="A11" s="11" t="inlineStr">
        <is>
          <t>REP-2710</t>
        </is>
      </c>
      <c r="B11" s="11" t="inlineStr">
        <is>
          <t>Marcus Lee</t>
        </is>
      </c>
      <c r="C11" s="12" t="n">
        <v>46204</v>
      </c>
      <c r="D11" s="11" t="inlineStr">
        <is>
          <t>Active</t>
        </is>
      </c>
      <c r="E11" s="11" t="inlineStr">
        <is>
          <t>Affinity renewal sales, 2.5 years</t>
        </is>
      </c>
      <c r="F11" s="11" t="inlineStr">
        <is>
          <t>Minneapolis</t>
        </is>
      </c>
      <c r="G11" s="11" t="inlineStr">
        <is>
          <t>SUP-411</t>
        </is>
      </c>
      <c r="H11" s="11" t="inlineStr">
        <is>
          <t>Marisol Grant</t>
        </is>
      </c>
      <c r="I11" s="11" t="inlineStr">
        <is>
          <t>Affinity</t>
        </is>
      </c>
      <c r="J11" s="11" t="inlineStr">
        <is>
          <t>AFF-N</t>
        </is>
      </c>
      <c r="K11" s="11" t="inlineStr">
        <is>
          <t>Quote remediation cleared 2026-07-14</t>
        </is>
      </c>
      <c r="L11" s="12" t="n">
        <v>46211</v>
      </c>
      <c r="M11" s="12" t="n">
        <v>46221</v>
      </c>
      <c r="N11" s="12" t="n">
        <v>46223</v>
      </c>
      <c r="O11" s="11" t="inlineStr">
        <is>
          <t>Affinity North renewal queue</t>
        </is>
      </c>
      <c r="P11" s="11" t="inlineStr">
        <is>
          <t>POOL-AFF-N</t>
        </is>
      </c>
    </row>
  </sheetData>
  <conditionalFormatting sqref="M2:M11">
    <cfRule type="cellIs" priority="1" operator="lessThanOrEqual" dxfId="0">
      <formula>DATE(2026,7,18)</formula>
    </cfRule>
  </conditionalFormatting>
  <dataValidations count="1">
    <dataValidation sqref="I2:I11" showDropDown="0" showInputMessage="0" showErrorMessage="0" allowBlank="1" type="list">
      <formula1>"Corporate,Affinity,Education,Meetings"</formula1>
    </dataValidation>
  </dataValidation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.08" customWidth="1" min="1" max="1"/>
    <col width="28" customWidth="1" min="2" max="2"/>
    <col width="24.4" customWidth="1" min="3" max="3"/>
    <col width="23.28" customWidth="1" min="4" max="4"/>
  </cols>
  <sheetData>
    <row r="1">
      <c r="A1" s="8" t="inlineStr">
        <is>
          <t>Segment</t>
        </is>
      </c>
      <c r="B1" s="8" t="inlineStr">
        <is>
          <t>Rep_Count</t>
        </is>
      </c>
      <c r="C1" s="8" t="inlineStr">
        <is>
          <t>Earliest_Target_Cert</t>
        </is>
      </c>
      <c r="D1" s="8" t="inlineStr">
        <is>
          <t>Latest_Target_Cert</t>
        </is>
      </c>
    </row>
    <row r="2">
      <c r="A2" s="9" t="inlineStr">
        <is>
          <t>Corporate</t>
        </is>
      </c>
      <c r="B2" s="13">
        <f>COUNTIF(Cohort!I2:I11,A2)</f>
        <v/>
      </c>
      <c r="C2" s="10" t="n">
        <v>46221</v>
      </c>
      <c r="D2" s="10" t="n">
        <v>46223</v>
      </c>
    </row>
    <row r="3">
      <c r="A3" s="11" t="inlineStr">
        <is>
          <t>Affinity</t>
        </is>
      </c>
      <c r="B3" s="14">
        <f>COUNTIF(Cohort!I2:I11,A3)</f>
        <v/>
      </c>
      <c r="C3" s="12" t="n">
        <v>46221</v>
      </c>
      <c r="D3" s="12" t="n">
        <v>46223</v>
      </c>
    </row>
    <row r="4">
      <c r="A4" s="9" t="inlineStr">
        <is>
          <t>Education</t>
        </is>
      </c>
      <c r="B4" s="13">
        <f>COUNTIF(Cohort!I2:I11,A4)</f>
        <v/>
      </c>
      <c r="C4" s="10" t="n">
        <v>46221</v>
      </c>
      <c r="D4" s="10" t="n">
        <v>46222</v>
      </c>
    </row>
    <row r="5">
      <c r="A5" s="11" t="inlineStr">
        <is>
          <t>Meetings</t>
        </is>
      </c>
      <c r="B5" s="14">
        <f>COUNTIF(Cohort!I2:I11,A5)</f>
        <v/>
      </c>
      <c r="C5" s="12" t="n">
        <v>46222</v>
      </c>
      <c r="D5" s="12" t="n">
        <v>46222</v>
      </c>
    </row>
  </sheetData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HarborBridge Group Sales Operations</dc:creator>
  <dc:title xmlns:dc="http://purl.org/dc/elements/1.1/">July New Representative Intake Targets</dc:title>
  <dc:description xmlns:dc="http://purl.org/dc/elements/1.1/">Cohort population and target ramp milestones for July 2026</dc:description>
  <dc:subject xmlns:dc="http://purl.org/dc/elements/1.1/">Cohort population and target ramp milestones for July 2026</dc:subject>
  <dcterms:created xmlns:dcterms="http://purl.org/dc/terms/" xmlns:xsi="http://www.w3.org/2001/XMLSchema-instance" xsi:type="dcterms:W3CDTF">2026-07-17T16:01:21Z</dcterms:created>
  <dcterms:modified xmlns:dcterms="http://purl.org/dc/terms/" xmlns:xsi="http://www.w3.org/2001/XMLSchema-instance" xsi:type="dcterms:W3CDTF">2026-07-17T16:03:51Z</dcterms:modified>
  <cp:keywords>group sales, ramp, readiness, certification, pending approval</cp:keywords>
</cp:coreProperties>
</file>