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5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1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_Me" sheetId="1" state="visible" r:id="rId3"/>
    <sheet name="Inputs" sheetId="2" state="visible" r:id="rId4"/>
    <sheet name="Calculations" sheetId="3" state="visible" r:id="rId5"/>
    <sheet name="Scenarios" sheetId="4" state="visible" r:id="rId6"/>
    <sheet name="Outputs" sheetId="5" state="visible" r:id="rId7"/>
    <sheet name="Checks" sheetId="6" state="visible" r:id="rId8"/>
  </sheets>
  <definedNames>
    <definedName function="false" hidden="true" localSheetId="0" name="_xlnm._FilterDatabase" vbProcedure="false">Read_Me!$A$1:$B$14</definedName>
    <definedName function="false" hidden="false" name="Assumption_ReferenceTemperature" vbProcedure="false">Inputs!$E$120</definedName>
    <definedName function="false" hidden="false" name="Assumption_ServiceTemperature" vbProcedure="false">Inputs!$E$121</definedName>
    <definedName function="false" hidden="false" name="Assumption_TemperatureCoefficient" vbProcedure="false">Inputs!$E$119</definedName>
    <definedName function="false" hidden="false" name="Control_BaseThicknessFloor" vbProcedure="false">Inputs!$E$117</definedName>
    <definedName function="false" hidden="false" name="Control_MaxTraceResistance" vbProcedure="false">Inputs!$E$116</definedName>
    <definedName function="false" hidden="false" name="Control_MinConductivity" vbProcedure="false">Inputs!$E$115</definedName>
    <definedName function="false" hidden="false" name="Control_PCNThicknessFloor" vbProcedure="false">Inputs!$E$118</definedName>
    <definedName function="false" hidden="false" name="RiskThreshold_Conditional" vbProcedure="false">Inputs!$E$129</definedName>
    <definedName function="false" hidden="false" name="RiskThreshold_Hold" vbProcedure="false">Inputs!$E$128</definedName>
    <definedName function="false" hidden="false" name="RiskWeight_CatalogQuality" vbProcedure="false">Inputs!$E$127</definedName>
    <definedName function="false" hidden="false" name="RiskWeight_Chemical" vbProcedure="false">Inputs!$E$122</definedName>
    <definedName function="false" hidden="false" name="RiskWeight_DocumentedException" vbProcedure="false">Inputs!$E$125</definedName>
    <definedName function="false" hidden="false" name="RiskWeight_Electrical" vbProcedure="false">Inputs!$E$123</definedName>
    <definedName function="false" hidden="false" name="RiskWeight_LiteratureOnly" vbProcedure="false">Inputs!$E$126</definedName>
    <definedName function="false" hidden="false" name="RiskWeight_ResistanceMargin" vbProcedure="false">Inputs!$E$124</definedName>
    <definedName function="false" hidden="false" name="Waiver_LOT_B_OxygenLimit" vbProcedure="false">Inputs!$I$102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<sst xmlns="http://schemas.openxmlformats.org/spreadsheetml/2006/main" count="2932" uniqueCount="1114">
  <si>
    <t xml:space="preserve">field</t>
  </si>
  <si>
    <t xml:space="preserve">value</t>
  </si>
  <si>
    <t xml:space="preserve">Workbook</t>
  </si>
  <si>
    <t xml:space="preserve">technical_findings_matrix.xlsx</t>
  </si>
  <si>
    <t xml:space="preserve">Package ID</t>
  </si>
  <si>
    <t xml:space="preserve">CU-JULY-2026-QUAL</t>
  </si>
  <si>
    <t xml:space="preserve">Prepared by</t>
  </si>
  <si>
    <t xml:space="preserve">OpenAI Codex</t>
  </si>
  <si>
    <t xml:space="preserve">Prepared date (UTC)</t>
  </si>
  <si>
    <t xml:space="preserve">Model purpose</t>
  </si>
  <si>
    <t xml:space="preserve">Technical findings model built directly from source_register.xlsx.</t>
  </si>
  <si>
    <t xml:space="preserve">Population rule</t>
  </si>
  <si>
    <t xml:space="preserve">Inputs rows 2–75 are the same 74 evidence records from Source_Register; record IDs are not regenerated and every row links back to the exact source-register row.</t>
  </si>
  <si>
    <t xml:space="preserve">Evidence priority</t>
  </si>
  <si>
    <t xml:space="preserve">Use measured values where available; flag literature-only values as unverified.</t>
  </si>
  <si>
    <t xml:space="preserve">Condition rule</t>
  </si>
  <si>
    <t xml:space="preserve">Only values matching PROTO-CU-77 conditions enter the condition-matched evidence calculation. Mismatched conditions remain registered but excluded.</t>
  </si>
  <si>
    <t xml:space="preserve">Chemistry rule</t>
  </si>
  <si>
    <t xml:space="preserve">Chemistry is separate. The lowest applicable published limit governs; a dated, narrowly scoped approved waiver changes acceptance only for its named lot/impurity.</t>
  </si>
  <si>
    <t xml:space="preserve">Identity rule</t>
  </si>
  <si>
    <t xml:space="preserve">Unresolved aliases remain in Inputs but are excluded from property comparisons. Chemistry may still be evaluated by declared lot/application scope.</t>
  </si>
  <si>
    <t xml:space="preserve">Anchor rule</t>
  </si>
  <si>
    <t xml:space="preserve">Inputs carries three anchors per evidence row: the exact Source_Register row, the underlying source file, and the precise source-register detail row; external DOI/ARK/AFLOW anchors are also retained.</t>
  </si>
  <si>
    <t xml:space="preserve">Sheet flow</t>
  </si>
  <si>
    <t xml:space="preserve">Read_Me → Inputs → Calculations → Scenarios → Outputs → Checks.</t>
  </si>
  <si>
    <t xml:space="preserve">Editability</t>
  </si>
  <si>
    <t xml:space="preserve">All input and output tables are ordinary editable Excel tables with filters; no worksheet is protected and no screenshots are embedded.</t>
  </si>
  <si>
    <t xml:space="preserve">Calculation chain</t>
  </si>
  <si>
    <t xml:space="preserve">Chemistry PASS/FAIL and formula-selected protocol matches feed the trace-resistance margin and configured lot risk score.</t>
  </si>
  <si>
    <t xml:space="preserve">Sensitivity rule</t>
  </si>
  <si>
    <t xml:space="preserve">Scenarios reuse the same Inputs and formulas; only the stated waiver, PCN, or service-temperature switch changes.</t>
  </si>
  <si>
    <t xml:space="preserve">Formula visibility</t>
  </si>
  <si>
    <t xml:space="preserve">Recalculation cells contain live formulas. Checks / Visible formula audit displays the key formula expressions beside their current results.</t>
  </si>
  <si>
    <t xml:space="preserve">Assumption control</t>
  </si>
  <si>
    <t xml:space="preserve">Service factors, limits, risk weights, and thresholds are native numeric Inputs cells with workbook-defined names.</t>
  </si>
  <si>
    <t xml:space="preserve">Type control</t>
  </si>
  <si>
    <t xml:space="preserve">Dates are Excel dates; percentages and engineering values remain numeric with unit columns or numeric formats; scenarios include explicit row checks.</t>
  </si>
  <si>
    <t xml:space="preserve">source_register_row</t>
  </si>
  <si>
    <t xml:space="preserve">source_register_anchor</t>
  </si>
  <si>
    <t xml:space="preserve">record_id</t>
  </si>
  <si>
    <t xml:space="preserve">canonical_material_id</t>
  </si>
  <si>
    <t xml:space="preserve">canonical_formula_or_name</t>
  </si>
  <si>
    <t xml:space="preserve">lot_id</t>
  </si>
  <si>
    <t xml:space="preserve">trace_id</t>
  </si>
  <si>
    <t xml:space="preserve">source_family</t>
  </si>
  <si>
    <t xml:space="preserve">source_file_anchor</t>
  </si>
  <si>
    <t xml:space="preserve">workbook_detail_anchor</t>
  </si>
  <si>
    <t xml:space="preserve">external_evidence_anchor</t>
  </si>
  <si>
    <t xml:space="preserve">inclusion_status</t>
  </si>
  <si>
    <t xml:space="preserve">source_quality_flag</t>
  </si>
  <si>
    <t xml:space="preserve">canonical_material_name</t>
  </si>
  <si>
    <t xml:space="preserve">evidence_class</t>
  </si>
  <si>
    <t xml:space="preserve">property_or_claim</t>
  </si>
  <si>
    <t xml:space="preserve">unit</t>
  </si>
  <si>
    <t xml:space="preserve">test_temperature_c</t>
  </si>
  <si>
    <t xml:space="preserve">test_pressure_kpa</t>
  </si>
  <si>
    <t xml:space="preserve">test_strain_rate_s_inv</t>
  </si>
  <si>
    <t xml:space="preserve">method_or_structure</t>
  </si>
  <si>
    <t xml:space="preserve">source_document_id</t>
  </si>
  <si>
    <t xml:space="preserve">source_record_id</t>
  </si>
  <si>
    <t xml:space="preserve">input_alias_or_oxidation_notation</t>
  </si>
  <si>
    <t xml:space="preserve">resolution_type</t>
  </si>
  <si>
    <t xml:space="preserve">resolution_status</t>
  </si>
  <si>
    <t xml:space="preserve">resolution_detail</t>
  </si>
  <si>
    <t xml:space="preserve">exception_applicable</t>
  </si>
  <si>
    <t xml:space="preserve">exception_type</t>
  </si>
  <si>
    <t xml:space="preserve">exception_document_id</t>
  </si>
  <si>
    <t xml:space="preserve">exception_author</t>
  </si>
  <si>
    <t xml:space="preserve">exception_date</t>
  </si>
  <si>
    <t xml:space="preserve">exception_scope</t>
  </si>
  <si>
    <t xml:space="preserve">overridden_clause_or_limit</t>
  </si>
  <si>
    <t xml:space="preserve">exception_value</t>
  </si>
  <si>
    <t xml:space="preserve">exception_unit</t>
  </si>
  <si>
    <t xml:space="preserve">source_path</t>
  </si>
  <si>
    <t xml:space="preserve">detail_sheet</t>
  </si>
  <si>
    <t xml:space="preserve">detail_row</t>
  </si>
  <si>
    <t xml:space="preserve">inclusion_reason</t>
  </si>
  <si>
    <t xml:space="preserve">notes</t>
  </si>
  <si>
    <t xml:space="preserve">payload_oxygen_ppm</t>
  </si>
  <si>
    <t xml:space="preserve">payload_sulfur_ppm</t>
  </si>
  <si>
    <t xml:space="preserve">payload_lead_ppm</t>
  </si>
  <si>
    <t xml:space="preserve">payload_bismuth_ppm</t>
  </si>
  <si>
    <t xml:space="preserve">payload_iron_ppm</t>
  </si>
  <si>
    <t xml:space="preserve">payload_nickel_ppm</t>
  </si>
  <si>
    <t xml:space="preserve">payload_length_mm</t>
  </si>
  <si>
    <t xml:space="preserve">payload_width_um</t>
  </si>
  <si>
    <t xml:space="preserve">payload_thickness_um</t>
  </si>
  <si>
    <t xml:space="preserve">payload_sample_count</t>
  </si>
  <si>
    <t xml:space="preserve">Source_Register row 2</t>
  </si>
  <si>
    <t xml:space="preserve">aflow:19ae1fff932d1df8</t>
  </si>
  <si>
    <t xml:space="preserve">MAT-AGALCU-INCL</t>
  </si>
  <si>
    <t xml:space="preserve">Ag-Al-Cu — Ag-Al-Cu AFLOW inclusions</t>
  </si>
  <si>
    <t xml:space="preserve">AFLOW</t>
  </si>
  <si>
    <t xml:space="preserve">CAT-AFLOW · aflow_conductor_slice.csv</t>
  </si>
  <si>
    <t xml:space="preserve">AFLOW_Slice · row 2</t>
  </si>
  <si>
    <t xml:space="preserve">aflowlib.duke.edu:AFLOWDATA/LIB3_WEB/AgAlCu_pv/TBCC001.ABC</t>
  </si>
  <si>
    <t xml:space="preserve">included_supporting_evidence</t>
  </si>
  <si>
    <t xml:space="preserve">curated AFLOW snapshot; computational structure/formation values; formula-level support only</t>
  </si>
  <si>
    <t xml:space="preserve">Ag-Al-Cu AFLOW inclusions</t>
  </si>
  <si>
    <t xml:space="preserve">AFLOW catalog</t>
  </si>
  <si>
    <t xml:space="preserve">computed structure/properties</t>
  </si>
  <si>
    <t xml:space="preserve">space group 42; Pearson oF12</t>
  </si>
  <si>
    <t xml:space="preserve">CAT-AFLOW</t>
  </si>
  <si>
    <t xml:space="preserve">none</t>
  </si>
  <si>
    <t xml:space="preserve">comparator/identity context; not a July release material</t>
  </si>
  <si>
    <t xml:space="preserve">No alias or oxidation notation appears on this evidence row.</t>
  </si>
  <si>
    <t xml:space="preserve">No</t>
  </si>
  <si>
    <t xml:space="preserve">data/data/catalog/aflow_conductor_slice.csv</t>
  </si>
  <si>
    <t xml:space="preserve">AFLOW_Slice</t>
  </si>
  <si>
    <t xml:space="preserve">Retained for identity, source, scope, or design traceability.</t>
  </si>
  <si>
    <t xml:space="preserve">Source_Register row 3</t>
  </si>
  <si>
    <t xml:space="preserve">aflow:53725bf233e77afc</t>
  </si>
  <si>
    <t xml:space="preserve">AFLOW_Slice · row 3</t>
  </si>
  <si>
    <t xml:space="preserve">aflowlib.duke.edu:AFLOWDATA/LIB3_WEB/AgAlCu_pv/TBCC003.ABC</t>
  </si>
  <si>
    <t xml:space="preserve">space group 107; Pearson tI6</t>
  </si>
  <si>
    <t xml:space="preserve">Source_Register row 4</t>
  </si>
  <si>
    <t xml:space="preserve">aflow:65ad75192503ef40</t>
  </si>
  <si>
    <t xml:space="preserve">AFLOW_Slice · row 4</t>
  </si>
  <si>
    <t xml:space="preserve">aflowlib.duke.edu:AFLOWDATA/LIB3_WEB/AgAlCu_pv/TFCC003.ABC</t>
  </si>
  <si>
    <t xml:space="preserve">Source_Register row 5</t>
  </si>
  <si>
    <t xml:space="preserve">aflow:aca47c434f9e2dc8</t>
  </si>
  <si>
    <t xml:space="preserve">AFLOW_Slice · row 5</t>
  </si>
  <si>
    <t xml:space="preserve">aflowlib.duke.edu:AFLOWDATA/LIB3_WEB/AgAlCu_pv/TFCC002.ABC</t>
  </si>
  <si>
    <t xml:space="preserve">space group 44; Pearson oI6</t>
  </si>
  <si>
    <t xml:space="preserve">Source_Register row 6</t>
  </si>
  <si>
    <t xml:space="preserve">aflow:58ef78db88741d84</t>
  </si>
  <si>
    <t xml:space="preserve">AFLOW_Slice · row 6</t>
  </si>
  <si>
    <t xml:space="preserve">aflowlib.duke.edu:AFLOWDATA/LIB3_WEB/AgAlCu_pv/TBCC011.CAB</t>
  </si>
  <si>
    <t xml:space="preserve">space group 123; Pearson tP4</t>
  </si>
  <si>
    <t xml:space="preserve">Source_Register row 7</t>
  </si>
  <si>
    <t xml:space="preserve">aflow:bc7191682427e0db</t>
  </si>
  <si>
    <t xml:space="preserve">AFLOW_Slice · row 7</t>
  </si>
  <si>
    <t xml:space="preserve">aflowlib.duke.edu:AFLOWDATA/LIB3_WEB/AgAlCu_pv/TFCC010.CAB</t>
  </si>
  <si>
    <t xml:space="preserve">space group 47; Pearson oP4</t>
  </si>
  <si>
    <t xml:space="preserve">Source_Register row 8</t>
  </si>
  <si>
    <t xml:space="preserve">aflow:e96a2b45334f7475</t>
  </si>
  <si>
    <t xml:space="preserve">AFLOW_Slice · row 8</t>
  </si>
  <si>
    <t xml:space="preserve">aflowlib.duke.edu:AFLOWDATA/LIB3_WEB/AgAlCu_pv/TFCC012.CAB</t>
  </si>
  <si>
    <t xml:space="preserve">Source_Register row 9</t>
  </si>
  <si>
    <t xml:space="preserve">aflow:c3d5872edfcfea9b</t>
  </si>
  <si>
    <t xml:space="preserve">AFLOW_Slice · row 9</t>
  </si>
  <si>
    <t xml:space="preserve">aflowlib.duke.edu:AFLOWDATA/LIB3_WEB/AgAlCu_pv/TFCC005.BCA</t>
  </si>
  <si>
    <t xml:space="preserve">space group 25; Pearson oP4</t>
  </si>
  <si>
    <t xml:space="preserve">Source_Register row 10</t>
  </si>
  <si>
    <t xml:space="preserve">aflow:query-snapshot-cu-a1-202607</t>
  </si>
  <si>
    <t xml:space="preserve">MAT-CU-C101</t>
  </si>
  <si>
    <t xml:space="preserve">Cu — C10100 OFHC copper</t>
  </si>
  <si>
    <t xml:space="preserve">AFLOW_Slice · row 10</t>
  </si>
  <si>
    <t xml:space="preserve">AFLOW A1 copper query snapshot supplied with July conductor package</t>
  </si>
  <si>
    <t xml:space="preserve">C10100 OFHC copper</t>
  </si>
  <si>
    <t xml:space="preserve">space group 225; Pearson cF4</t>
  </si>
  <si>
    <t xml:space="preserve">C10100 OFHC</t>
  </si>
  <si>
    <t xml:space="preserve">supplier alias</t>
  </si>
  <si>
    <t xml:space="preserve">resolved to elemental Cu structure; supplier grade remains supplier-controlled</t>
  </si>
  <si>
    <t xml:space="preserve">Known source label(s) for this canonical material; current evidence row uses the canonical ID.</t>
  </si>
  <si>
    <t xml:space="preserve">Source_Register row 11</t>
  </si>
  <si>
    <t xml:space="preserve">ark:/88434/mds01dp7vr</t>
  </si>
  <si>
    <t xml:space="preserve">MAT-YBCO-CUPRATE</t>
  </si>
  <si>
    <t xml:space="preserve">Y-Ba-Cu-O — YBCO cuprate</t>
  </si>
  <si>
    <t xml:space="preserve">NIST</t>
  </si>
  <si>
    <t xml:space="preserve">CAT-NIST · nist_copper_records.csv</t>
  </si>
  <si>
    <t xml:space="preserve">NIST_Records · row 2</t>
  </si>
  <si>
    <t xml:space="preserve">doi:10.18434/T4KP8J</t>
  </si>
  <si>
    <t xml:space="preserve">curated NIST record; context or decoy screening</t>
  </si>
  <si>
    <t xml:space="preserve">YBCO cuprate</t>
  </si>
  <si>
    <t xml:space="preserve">NIST catalog</t>
  </si>
  <si>
    <t xml:space="preserve">NIST High Temperature Superconducting (HTS) Materials Database - SRD 62</t>
  </si>
  <si>
    <t xml:space="preserve">CAT-NIST</t>
  </si>
  <si>
    <t xml:space="preserve">data/data/catalog/nist_copper_records.csv</t>
  </si>
  <si>
    <t xml:space="preserve">NIST_Records</t>
  </si>
  <si>
    <t xml:space="preserve">Source_Register row 12</t>
  </si>
  <si>
    <t xml:space="preserve">ark:/88434/mds012mz82</t>
  </si>
  <si>
    <t xml:space="preserve">NIST_Records · row 3</t>
  </si>
  <si>
    <t xml:space="preserve">NIST Handbook of Basic Atomic Spectroscopic Data - SRD 108</t>
  </si>
  <si>
    <t xml:space="preserve">Source_Register row 13</t>
  </si>
  <si>
    <t xml:space="preserve">ark:/88434/mds2-2940</t>
  </si>
  <si>
    <t xml:space="preserve">NIST_Records · row 4</t>
  </si>
  <si>
    <t xml:space="preserve">doi:10.18434/mds2-2940</t>
  </si>
  <si>
    <t xml:space="preserve">Experimental Measurements for Pyrolysis Model Validation - Anaerobic Gasification of PMMA Under External Thermal Radiation</t>
  </si>
  <si>
    <t xml:space="preserve">Source_Register row 14</t>
  </si>
  <si>
    <t xml:space="preserve">ark:/88434/mds2-4076</t>
  </si>
  <si>
    <t xml:space="preserve">MAT-CU-HBPLATE</t>
  </si>
  <si>
    <t xml:space="preserve">Cu — Hybrid-bond electroplated copper</t>
  </si>
  <si>
    <t xml:space="preserve">NIST_Records · row 5</t>
  </si>
  <si>
    <t xml:space="preserve">doi:10.18434/mds2-4076</t>
  </si>
  <si>
    <t xml:space="preserve">curated NIST record; condition-matched copper property support</t>
  </si>
  <si>
    <t xml:space="preserve">Hybrid-bond electroplated copper</t>
  </si>
  <si>
    <t xml:space="preserve">Elastic-plastic Single-Step and Multi-Step Indentation via IIT and AFM on Hybrid Bonding Copper</t>
  </si>
  <si>
    <t xml:space="preserve">HB electro-Cu</t>
  </si>
  <si>
    <t xml:space="preserve">resolved at supplier/process and NIST application-family level; no process-specific AFLOW record</t>
  </si>
  <si>
    <t xml:space="preserve">Source_Register row 15</t>
  </si>
  <si>
    <t xml:space="preserve">COD-SUM-MAT-CU-C101</t>
  </si>
  <si>
    <t xml:space="preserve">COD</t>
  </si>
  <si>
    <t xml:space="preserve">CAT-COD-CU · cod_copper_summary.csv</t>
  </si>
  <si>
    <t xml:space="preserve">COD_Summary · row 2</t>
  </si>
  <si>
    <t xml:space="preserve">curated COD identity summary; crystallographic identity support</t>
  </si>
  <si>
    <t xml:space="preserve">COD catalog</t>
  </si>
  <si>
    <t xml:space="preserve">crystal identity summary</t>
  </si>
  <si>
    <t xml:space="preserve">records</t>
  </si>
  <si>
    <t xml:space="preserve">space group None; None</t>
  </si>
  <si>
    <t xml:space="preserve">CAT-COD-CU</t>
  </si>
  <si>
    <t xml:space="preserve">data/data/catalog/cod_copper_summary.csv</t>
  </si>
  <si>
    <t xml:space="preserve">COD_Summary</t>
  </si>
  <si>
    <t xml:space="preserve">Source_Register row 16</t>
  </si>
  <si>
    <t xml:space="preserve">COD-SUM-MAT-CU2O-CUPRITE</t>
  </si>
  <si>
    <t xml:space="preserve">MAT-CU2O-CUPRITE</t>
  </si>
  <si>
    <t xml:space="preserve">Cu2O — Copper(I) oxide / cuprite</t>
  </si>
  <si>
    <t xml:space="preserve">COD_Summary · row 3</t>
  </si>
  <si>
    <t xml:space="preserve">Copper(I) oxide / cuprite</t>
  </si>
  <si>
    <t xml:space="preserve">Cu^1O</t>
  </si>
  <si>
    <t xml:space="preserve">legacy oxidation-state notation</t>
  </si>
  <si>
    <t xml:space="preserve">Source_Register row 17</t>
  </si>
  <si>
    <t xml:space="preserve">COD-SUM-MAT-CUO-TENORITE</t>
  </si>
  <si>
    <t xml:space="preserve">MAT-CUO-TENORITE</t>
  </si>
  <si>
    <t xml:space="preserve">CuO — Copper(II) oxide / tenorite</t>
  </si>
  <si>
    <t xml:space="preserve">COD_Summary · row 4</t>
  </si>
  <si>
    <t xml:space="preserve">Copper(II) oxide / tenorite</t>
  </si>
  <si>
    <t xml:space="preserve">Cu^2O</t>
  </si>
  <si>
    <t xml:space="preserve">Source_Register row 18</t>
  </si>
  <si>
    <t xml:space="preserve">COD-SUM-MAT-CU3SN-ETA</t>
  </si>
  <si>
    <t xml:space="preserve">MAT-CU3SN-ETA</t>
  </si>
  <si>
    <t xml:space="preserve">Cu3Sn — Eta copper-tin intermetallic</t>
  </si>
  <si>
    <t xml:space="preserve">COD_Summary · row 5</t>
  </si>
  <si>
    <t xml:space="preserve">Eta copper-tin intermetallic</t>
  </si>
  <si>
    <t xml:space="preserve">eta-tin copper</t>
  </si>
  <si>
    <t xml:space="preserve">not resolved across AFLOW, NIST, and supplier evidence</t>
  </si>
  <si>
    <t xml:space="preserve">Source_Register row 19</t>
  </si>
  <si>
    <t xml:space="preserve">OQMD-MAT-CU2O-CUPRITE</t>
  </si>
  <si>
    <t xml:space="preserve">OQMD</t>
  </si>
  <si>
    <t xml:space="preserve">CAT-OQMD · oqmd_copper_targets.csv</t>
  </si>
  <si>
    <t xml:space="preserve">OQMD_Targets · row 2</t>
  </si>
  <si>
    <t xml:space="preserve">computed OQMD formation/stability values; not measured release evidence</t>
  </si>
  <si>
    <t xml:space="preserve">OQMD catalog</t>
  </si>
  <si>
    <t xml:space="preserve">computed formation/stability target</t>
  </si>
  <si>
    <t xml:space="preserve">eV/atom</t>
  </si>
  <si>
    <t xml:space="preserve">space group Pn-3m</t>
  </si>
  <si>
    <t xml:space="preserve">CAT-OQMD</t>
  </si>
  <si>
    <t xml:space="preserve">data/data/catalog/oqmd_copper_targets.csv</t>
  </si>
  <si>
    <t xml:space="preserve">OQMD_Targets</t>
  </si>
  <si>
    <t xml:space="preserve">Source_Register row 20</t>
  </si>
  <si>
    <t xml:space="preserve">OQMD-MAT-CUO-TENORITE</t>
  </si>
  <si>
    <t xml:space="preserve">OQMD_Targets · row 3</t>
  </si>
  <si>
    <t xml:space="preserve">space group C2/c</t>
  </si>
  <si>
    <t xml:space="preserve">Source_Register row 21</t>
  </si>
  <si>
    <t xml:space="preserve">OQMD-MAT-CU3SN-ETA</t>
  </si>
  <si>
    <t xml:space="preserve">OQMD_Targets · row 4</t>
  </si>
  <si>
    <t xml:space="preserve">space group Fm-3m</t>
  </si>
  <si>
    <t xml:space="preserve">Source_Register row 22</t>
  </si>
  <si>
    <t xml:space="preserve">OQMD-MAT-AL2CU-THETA</t>
  </si>
  <si>
    <t xml:space="preserve">MAT-AL2CU-THETA</t>
  </si>
  <si>
    <t xml:space="preserve">Al2Cu — Theta Al2Cu</t>
  </si>
  <si>
    <t xml:space="preserve">OQMD_Targets · row 5</t>
  </si>
  <si>
    <t xml:space="preserve">Theta Al2Cu</t>
  </si>
  <si>
    <t xml:space="preserve">space group Fmmm</t>
  </si>
  <si>
    <t xml:space="preserve">Source_Register row 23</t>
  </si>
  <si>
    <t xml:space="preserve">OQMD-MAT-ALCU3-GAMMA</t>
  </si>
  <si>
    <t xml:space="preserve">MAT-ALCU3-GAMMA</t>
  </si>
  <si>
    <t xml:space="preserve">AlCu3 — Gamma AlCu3</t>
  </si>
  <si>
    <t xml:space="preserve">OQMD_Targets · row 6</t>
  </si>
  <si>
    <t xml:space="preserve">Gamma AlCu3</t>
  </si>
  <si>
    <t xml:space="preserve">space group Pm-3m</t>
  </si>
  <si>
    <t xml:space="preserve">Source_Register row 24</t>
  </si>
  <si>
    <t xml:space="preserve">OQMD-MAT-ZNCU-BETA</t>
  </si>
  <si>
    <t xml:space="preserve">MAT-ZNCU-BETA</t>
  </si>
  <si>
    <t xml:space="preserve">ZnCu — Beta ZnCu</t>
  </si>
  <si>
    <t xml:space="preserve">OQMD_Targets · row 7</t>
  </si>
  <si>
    <t xml:space="preserve">Beta ZnCu</t>
  </si>
  <si>
    <t xml:space="preserve">Source_Register row 25</t>
  </si>
  <si>
    <t xml:space="preserve">OQMD-MAT-CUAU-L10</t>
  </si>
  <si>
    <t xml:space="preserve">MAT-CUAU-L10</t>
  </si>
  <si>
    <t xml:space="preserve">CuAu — L1_0 CuAu</t>
  </si>
  <si>
    <t xml:space="preserve">OQMD_Targets · row 8</t>
  </si>
  <si>
    <t xml:space="preserve">L1_0 CuAu</t>
  </si>
  <si>
    <t xml:space="preserve">space group P4/mmm</t>
  </si>
  <si>
    <t xml:space="preserve">Source_Register row 26</t>
  </si>
  <si>
    <t xml:space="preserve">LIT-0726-01</t>
  </si>
  <si>
    <t xml:space="preserve">Literature</t>
  </si>
  <si>
    <t xml:space="preserve">10.1007/BF01174717 · property_pull.csv</t>
  </si>
  <si>
    <t xml:space="preserve">Literature · row 2</t>
  </si>
  <si>
    <t xml:space="preserve">10.1007/BF01174717</t>
  </si>
  <si>
    <t xml:space="preserve">included_unverified_support_only</t>
  </si>
  <si>
    <t xml:space="preserve">literature property claim; unverified and subordinate to measurement</t>
  </si>
  <si>
    <t xml:space="preserve">literature</t>
  </si>
  <si>
    <t xml:space="preserve">electrical_conductivity_iacs</t>
  </si>
  <si>
    <t xml:space="preserve">percent_IACS</t>
  </si>
  <si>
    <t xml:space="preserve">data/data/literature/property_pull.csv</t>
  </si>
  <si>
    <t xml:space="preserve">Literature-only evidence is unverified and cannot replace measured evidence.</t>
  </si>
  <si>
    <t xml:space="preserve">Thermal expansion of copper</t>
  </si>
  <si>
    <t xml:space="preserve">Source_Register row 27</t>
  </si>
  <si>
    <t xml:space="preserve">LIT-0726-02</t>
  </si>
  <si>
    <t xml:space="preserve">10.18434/mds2-4076 · property_pull.csv</t>
  </si>
  <si>
    <t xml:space="preserve">Literature · row 3</t>
  </si>
  <si>
    <t xml:space="preserve">10.18434/mds2-4076</t>
  </si>
  <si>
    <t xml:space="preserve">literature/reference value; incomplete protocol-condition metadata; unverified</t>
  </si>
  <si>
    <t xml:space="preserve">yield_strength</t>
  </si>
  <si>
    <t xml:space="preserve">MPa</t>
  </si>
  <si>
    <t xml:space="preserve">Elastic-plastic indentation on hybrid bonding copper</t>
  </si>
  <si>
    <t xml:space="preserve">Source_Register row 28</t>
  </si>
  <si>
    <t xml:space="preserve">LIT-0726-03</t>
  </si>
  <si>
    <t xml:space="preserve">10.1063/1.1728392 · property_pull.csv</t>
  </si>
  <si>
    <t xml:space="preserve">Literature · row 4</t>
  </si>
  <si>
    <t xml:space="preserve">10.1063/1.1728392</t>
  </si>
  <si>
    <t xml:space="preserve">literature-only; unverified</t>
  </si>
  <si>
    <t xml:space="preserve">coefficient_thermal_expansion</t>
  </si>
  <si>
    <t xml:space="preserve">um_mK</t>
  </si>
  <si>
    <t xml:space="preserve">Copper lattice expansion study</t>
  </si>
  <si>
    <t xml:space="preserve">Source_Register row 29</t>
  </si>
  <si>
    <t xml:space="preserve">LIT-0726-04</t>
  </si>
  <si>
    <t xml:space="preserve">10.1109/ECTC.2026.cu-hb · property_pull.csv</t>
  </si>
  <si>
    <t xml:space="preserve">Literature · row 5</t>
  </si>
  <si>
    <t xml:space="preserve">10.1109/ECTC.2026.cu-hb</t>
  </si>
  <si>
    <t xml:space="preserve">electromigration_activation_energy</t>
  </si>
  <si>
    <t xml:space="preserve">eV</t>
  </si>
  <si>
    <t xml:space="preserve">Advanced packaging copper interconnect aging</t>
  </si>
  <si>
    <t xml:space="preserve">Source_Register row 30</t>
  </si>
  <si>
    <t xml:space="preserve">LIT-0726-05</t>
  </si>
  <si>
    <t xml:space="preserve">MAT-CUSO4-CUPRIC</t>
  </si>
  <si>
    <t xml:space="preserve">CuSO4 — Cupric sulfate</t>
  </si>
  <si>
    <t xml:space="preserve">PubChem CID 24462 · property_pull.csv</t>
  </si>
  <si>
    <t xml:space="preserve">Literature · row 6</t>
  </si>
  <si>
    <t xml:space="preserve">PubChem CID 24462</t>
  </si>
  <si>
    <t xml:space="preserve">identity-only; not property evidence</t>
  </si>
  <si>
    <t xml:space="preserve">Cupric sulfate</t>
  </si>
  <si>
    <t xml:space="preserve">compound_canonicalized</t>
  </si>
  <si>
    <t xml:space="preserve">flag</t>
  </si>
  <si>
    <t xml:space="preserve">cupric sulfate</t>
  </si>
  <si>
    <t xml:space="preserve">Copper sulfate canonical compound</t>
  </si>
  <si>
    <t xml:space="preserve">Source_Register row 31</t>
  </si>
  <si>
    <t xml:space="preserve">LIT-0726-06</t>
  </si>
  <si>
    <t xml:space="preserve">10.18434/T4KP8J · property_pull.csv</t>
  </si>
  <si>
    <t xml:space="preserve">Literature · row 7</t>
  </si>
  <si>
    <t xml:space="preserve">10.18434/T4KP8J</t>
  </si>
  <si>
    <t xml:space="preserve">excluded</t>
  </si>
  <si>
    <t xml:space="preserve">domain decoy; excluded</t>
  </si>
  <si>
    <t xml:space="preserve">superconducting_context</t>
  </si>
  <si>
    <t xml:space="preserve">Rejected false positive or domain decoy.</t>
  </si>
  <si>
    <t xml:space="preserve">NIST HTS cuprate database</t>
  </si>
  <si>
    <t xml:space="preserve">Source_Register row 32</t>
  </si>
  <si>
    <t xml:space="preserve">LIT-0726-07</t>
  </si>
  <si>
    <t xml:space="preserve">arXiv:3d-ic-packaging-page · property_pull.csv</t>
  </si>
  <si>
    <t xml:space="preserve">Literature · row 8</t>
  </si>
  <si>
    <t xml:space="preserve">arXiv:3d-ic-packaging-page</t>
  </si>
  <si>
    <t xml:space="preserve">title/scope false positive; rejected</t>
  </si>
  <si>
    <t xml:space="preserve">grid_support</t>
  </si>
  <si>
    <t xml:space="preserve">Copper grid mentioned in packaging metadata</t>
  </si>
  <si>
    <t xml:space="preserve">Source_Register row 33</t>
  </si>
  <si>
    <t xml:space="preserve">LR-COND-0726-01</t>
  </si>
  <si>
    <t xml:space="preserve">LOT-CU-2607-A</t>
  </si>
  <si>
    <t xml:space="preserve">TRACE-HDI-110</t>
  </si>
  <si>
    <t xml:space="preserve">Laboratory measurement</t>
  </si>
  <si>
    <t xml:space="preserve">LAB-COND · conductivity_panel_tests.csv</t>
  </si>
  <si>
    <t xml:space="preserve">Electrical_Thermal · row 2</t>
  </si>
  <si>
    <t xml:space="preserve">included_measurement_not_protocol_matchable</t>
  </si>
  <si>
    <t xml:space="preserve">measured value; PROTO-CU-77 has no percent-IACS condition row</t>
  </si>
  <si>
    <t xml:space="preserve">laboratory measurement</t>
  </si>
  <si>
    <t xml:space="preserve">LM-CU-07</t>
  </si>
  <si>
    <t xml:space="preserve">LAB-COND</t>
  </si>
  <si>
    <t xml:space="preserve">data/data/lab_reports/conductivity_panel_tests.csv</t>
  </si>
  <si>
    <t xml:space="preserve">Electrical_Thermal</t>
  </si>
  <si>
    <t xml:space="preserve">Measured record retained; PROTO-CU-77 does not define percent-IACS test conditions.</t>
  </si>
  <si>
    <t xml:space="preserve">T=23.0 C; P=101.3 kPa; strain=0.001</t>
  </si>
  <si>
    <t xml:space="preserve">Source_Register row 34</t>
  </si>
  <si>
    <t xml:space="preserve">LR-COND-0726-02</t>
  </si>
  <si>
    <t xml:space="preserve">Electrical_Thermal · row 3</t>
  </si>
  <si>
    <t xml:space="preserve">included_measured_evidence</t>
  </si>
  <si>
    <t xml:space="preserve">measured value</t>
  </si>
  <si>
    <t xml:space="preserve">resistivity_20c</t>
  </si>
  <si>
    <t xml:space="preserve">uohm_cm</t>
  </si>
  <si>
    <t xml:space="preserve">Measured evidence retained under its recorded conditions and scope.</t>
  </si>
  <si>
    <t xml:space="preserve">T=20.0 C; P=101.3 kPa; strain=0.001</t>
  </si>
  <si>
    <t xml:space="preserve">Source_Register row 35</t>
  </si>
  <si>
    <t xml:space="preserve">LR-COND-0726-03</t>
  </si>
  <si>
    <t xml:space="preserve">MAT-CU-WIRE</t>
  </si>
  <si>
    <t xml:space="preserve">Cu (supplier grade claim) — E-Cu58 copper wire</t>
  </si>
  <si>
    <t xml:space="preserve">LOT-CU-2607-B</t>
  </si>
  <si>
    <t xml:space="preserve">TRACE-HB-180</t>
  </si>
  <si>
    <t xml:space="preserve">Electrical_Thermal · row 4</t>
  </si>
  <si>
    <t xml:space="preserve">excluded_from_property_comparison_pending_identity</t>
  </si>
  <si>
    <t xml:space="preserve">E-Cu58 copper wire</t>
  </si>
  <si>
    <t xml:space="preserve">E-Cu58</t>
  </si>
  <si>
    <t xml:space="preserve">Canonical alias exists, but identity is not resolved across AFLOW, NIST, and supplier evidence; retain the measured record without using it in property comparison.</t>
  </si>
  <si>
    <t xml:space="preserve">Source_Register row 36</t>
  </si>
  <si>
    <t xml:space="preserve">LR-COND-0726-04</t>
  </si>
  <si>
    <t xml:space="preserve">LOT-CU-2607-C</t>
  </si>
  <si>
    <t xml:space="preserve">TRACE-HB-205</t>
  </si>
  <si>
    <t xml:space="preserve">Electrical_Thermal · row 5</t>
  </si>
  <si>
    <t xml:space="preserve">Source_Register row 37</t>
  </si>
  <si>
    <t xml:space="preserve">LR-COND-0726-04D</t>
  </si>
  <si>
    <t xml:space="preserve">Electrical_Thermal · row 6</t>
  </si>
  <si>
    <t xml:space="preserve">excluded_duplicate</t>
  </si>
  <si>
    <t xml:space="preserve">duplicate synchronized record; do not double count; PROTO-CU-77 has no percent-IACS condition row</t>
  </si>
  <si>
    <t xml:space="preserve">Retained for traceability; excluded from counts and comparisons.</t>
  </si>
  <si>
    <t xml:space="preserve">Source_Register row 38</t>
  </si>
  <si>
    <t xml:space="preserve">LR-COND-0726-05</t>
  </si>
  <si>
    <t xml:space="preserve">LOT-CU-2607-D</t>
  </si>
  <si>
    <t xml:space="preserve">TRACE-HB-225</t>
  </si>
  <si>
    <t xml:space="preserve">Electrical_Thermal · row 7</t>
  </si>
  <si>
    <t xml:space="preserve">Source_Register row 39</t>
  </si>
  <si>
    <t xml:space="preserve">LR-COND-0726-06</t>
  </si>
  <si>
    <t xml:space="preserve">Electrical_Thermal · row 8</t>
  </si>
  <si>
    <t xml:space="preserve">Source_Register row 40</t>
  </si>
  <si>
    <t xml:space="preserve">LR-COND-0726-07</t>
  </si>
  <si>
    <t xml:space="preserve">LOT-CU-2607-E</t>
  </si>
  <si>
    <t xml:space="preserve">TRACE-BGA-320</t>
  </si>
  <si>
    <t xml:space="preserve">Electrical_Thermal · row 9</t>
  </si>
  <si>
    <t xml:space="preserve">Source_Register row 41</t>
  </si>
  <si>
    <t xml:space="preserve">LR-THERM-0726-01</t>
  </si>
  <si>
    <t xml:space="preserve">Electrical_Thermal · row 10</t>
  </si>
  <si>
    <t xml:space="preserve">thermal_conductivity</t>
  </si>
  <si>
    <t xml:space="preserve">W_mK</t>
  </si>
  <si>
    <t xml:space="preserve">Source_Register row 42</t>
  </si>
  <si>
    <t xml:space="preserve">LR-THERM-0726-02</t>
  </si>
  <si>
    <t xml:space="preserve">Electrical_Thermal · row 11</t>
  </si>
  <si>
    <t xml:space="preserve">Source_Register row 43</t>
  </si>
  <si>
    <t xml:space="preserve">MECH-0726-01</t>
  </si>
  <si>
    <t xml:space="preserve">LAB-MECH · mechanical_property_runs.csv</t>
  </si>
  <si>
    <t xml:space="preserve">Mechanical · row 2</t>
  </si>
  <si>
    <t xml:space="preserve">mechanical measurement</t>
  </si>
  <si>
    <t xml:space="preserve">IIT-AFM</t>
  </si>
  <si>
    <t xml:space="preserve">LAB-MECH</t>
  </si>
  <si>
    <t xml:space="preserve">data/data/lab_reports/mechanical_property_runs.csv</t>
  </si>
  <si>
    <t xml:space="preserve">Mechanical</t>
  </si>
  <si>
    <t xml:space="preserve">T=23.0 C; P=101.3 kPa; strain=0.001; method=IIT-AFM</t>
  </si>
  <si>
    <t xml:space="preserve">Source_Register row 44</t>
  </si>
  <si>
    <t xml:space="preserve">MECH-0726-02</t>
  </si>
  <si>
    <t xml:space="preserve">Mechanical · row 3</t>
  </si>
  <si>
    <t xml:space="preserve">excluded_from_condition_matched_comparison</t>
  </si>
  <si>
    <t xml:space="preserve">measured value; protocol-condition mismatch</t>
  </si>
  <si>
    <t xml:space="preserve">supplier_screen</t>
  </si>
  <si>
    <t xml:space="preserve">Recorded temperature and strain rate do not match PROTO-CU-77.</t>
  </si>
  <si>
    <t xml:space="preserve">T=85.0 C; P=101.3 kPa; strain=0.01; method=supplier_screen</t>
  </si>
  <si>
    <t xml:space="preserve">Source_Register row 45</t>
  </si>
  <si>
    <t xml:space="preserve">MECH-0726-03</t>
  </si>
  <si>
    <t xml:space="preserve">Mechanical · row 4</t>
  </si>
  <si>
    <t xml:space="preserve">hardness</t>
  </si>
  <si>
    <t xml:space="preserve">GPa</t>
  </si>
  <si>
    <t xml:space="preserve">Source_Register row 46</t>
  </si>
  <si>
    <t xml:space="preserve">MECH-0726-04</t>
  </si>
  <si>
    <t xml:space="preserve">Mechanical · row 5</t>
  </si>
  <si>
    <t xml:space="preserve">tensile_microcoupon</t>
  </si>
  <si>
    <t xml:space="preserve">T=23.0 C; P=101.3 kPa; strain=0.001; method=tensile_microcoupon</t>
  </si>
  <si>
    <t xml:space="preserve">Source_Register row 47</t>
  </si>
  <si>
    <t xml:space="preserve">ASSAY-0726-01</t>
  </si>
  <si>
    <t xml:space="preserve">Laboratory chemistry</t>
  </si>
  <si>
    <t xml:space="preserve">LAB-CHEM · chemistry_assay.csv</t>
  </si>
  <si>
    <t xml:space="preserve">Chemistry · row 2</t>
  </si>
  <si>
    <t xml:space="preserve">validated measured chemistry assay</t>
  </si>
  <si>
    <t xml:space="preserve">chemistry assay</t>
  </si>
  <si>
    <t xml:space="preserve">six-impurity assay</t>
  </si>
  <si>
    <t xml:space="preserve">ppm</t>
  </si>
  <si>
    <t xml:space="preserve">LAB-CHEM</t>
  </si>
  <si>
    <t xml:space="preserve">data/data/lab_reports/chemistry_assay.csv</t>
  </si>
  <si>
    <t xml:space="preserve">Chemistry</t>
  </si>
  <si>
    <t xml:space="preserve">2026-07-01T16:10:00Z</t>
  </si>
  <si>
    <t xml:space="preserve">Source_Register row 48</t>
  </si>
  <si>
    <t xml:space="preserve">ASSAY-0726-02</t>
  </si>
  <si>
    <t xml:space="preserve">Chemistry · row 3</t>
  </si>
  <si>
    <t xml:space="preserve">included_chemistry_by_declared_lot_scope</t>
  </si>
  <si>
    <t xml:space="preserve">Yes</t>
  </si>
  <si>
    <t xml:space="preserve">approved waiver</t>
  </si>
  <si>
    <t xml:space="preserve">MAT-WVR-26-071</t>
  </si>
  <si>
    <t xml:space="preserve">Nora Patel, Quality Engineering Manager</t>
  </si>
  <si>
    <t xml:space="preserve">LOT-CU-2607-B annealed stitch-wire coupon only</t>
  </si>
  <si>
    <t xml:space="preserve">STD-CU-309 oxygen limit, 5.0 ppm</t>
  </si>
  <si>
    <t xml:space="preserve">Chemistry kept separate; application follows declared supplier lot/product scope while identity gap remains visible.</t>
  </si>
  <si>
    <t xml:space="preserve">2026-07-03T15:02:00Z</t>
  </si>
  <si>
    <t xml:space="preserve">Source_Register row 49</t>
  </si>
  <si>
    <t xml:space="preserve">ASSAY-0726-03</t>
  </si>
  <si>
    <t xml:space="preserve">Chemistry · row 4</t>
  </si>
  <si>
    <t xml:space="preserve">2026-07-05T14:45:00Z</t>
  </si>
  <si>
    <t xml:space="preserve">Source_Register row 50</t>
  </si>
  <si>
    <t xml:space="preserve">ASSAY-0726-04</t>
  </si>
  <si>
    <t xml:space="preserve">Chemistry · row 5</t>
  </si>
  <si>
    <t xml:space="preserve">2026-07-07T17:28:00Z</t>
  </si>
  <si>
    <t xml:space="preserve">Source_Register row 51</t>
  </si>
  <si>
    <t xml:space="preserve">ASSAY-0726-04R</t>
  </si>
  <si>
    <t xml:space="preserve">Chemistry · row 6</t>
  </si>
  <si>
    <t xml:space="preserve">duplicate synchronized chemistry record; do not double count</t>
  </si>
  <si>
    <t xml:space="preserve">2026-07-07T17:28:04Z</t>
  </si>
  <si>
    <t xml:space="preserve">Source_Register row 52</t>
  </si>
  <si>
    <t xml:space="preserve">ASSAY-0726-05</t>
  </si>
  <si>
    <t xml:space="preserve">Chemistry · row 7</t>
  </si>
  <si>
    <t xml:space="preserve">2026-07-08T12:18:00Z</t>
  </si>
  <si>
    <t xml:space="preserve">Source_Register row 53</t>
  </si>
  <si>
    <t xml:space="preserve">GEOM-TRACE-HDI-110</t>
  </si>
  <si>
    <t xml:space="preserve">Design record</t>
  </si>
  <si>
    <t xml:space="preserve">DESIGN-GEOM · trace_geometry.csv</t>
  </si>
  <si>
    <t xml:space="preserve">Geometry · row 2</t>
  </si>
  <si>
    <t xml:space="preserve">controlled design geometry record</t>
  </si>
  <si>
    <t xml:space="preserve">design geometry</t>
  </si>
  <si>
    <t xml:space="preserve">trace geometry</t>
  </si>
  <si>
    <t xml:space="preserve">DESIGN-GEOM</t>
  </si>
  <si>
    <t xml:space="preserve">data/data/design/trace_geometry.csv</t>
  </si>
  <si>
    <t xml:space="preserve">Geometry</t>
  </si>
  <si>
    <t xml:space="preserve">stack=HDI-70; length=38.0 mm; width=500.0 um</t>
  </si>
  <si>
    <t xml:space="preserve">Source_Register row 54</t>
  </si>
  <si>
    <t xml:space="preserve">GEOM-TRACE-HB-180</t>
  </si>
  <si>
    <t xml:space="preserve">Geometry · row 3</t>
  </si>
  <si>
    <t xml:space="preserve">stack=HB-STITCH; length=42.0 mm; width=450.0 um</t>
  </si>
  <si>
    <t xml:space="preserve">Source_Register row 55</t>
  </si>
  <si>
    <t xml:space="preserve">GEOM-TRACE-HB-205</t>
  </si>
  <si>
    <t xml:space="preserve">Geometry · row 4</t>
  </si>
  <si>
    <t xml:space="preserve">stack=HB-RDL; length=48.0 mm; width=410.0 um</t>
  </si>
  <si>
    <t xml:space="preserve">Source_Register row 56</t>
  </si>
  <si>
    <t xml:space="preserve">GEOM-TRACE-HB-225</t>
  </si>
  <si>
    <t xml:space="preserve">Geometry · row 5</t>
  </si>
  <si>
    <t xml:space="preserve">stack=HB-RDL; length=50.0 mm; width=400.0 um</t>
  </si>
  <si>
    <t xml:space="preserve">Source_Register row 57</t>
  </si>
  <si>
    <t xml:space="preserve">GEOM-TRACE-BGA-320</t>
  </si>
  <si>
    <t xml:space="preserve">Geometry · row 6</t>
  </si>
  <si>
    <t xml:space="preserve">stack=BGA-SN; length=28.0 mm; width=320.0 um</t>
  </si>
  <si>
    <t xml:space="preserve">Source_Register row 58</t>
  </si>
  <si>
    <t xml:space="preserve">IDENT-C10100-OFHC</t>
  </si>
  <si>
    <t xml:space="preserve">Supplier/configuration identity</t>
  </si>
  <si>
    <t xml:space="preserve">ALIAS-CU-0726 · material_aliases.json</t>
  </si>
  <si>
    <t xml:space="preserve">Identity_Map · row 2</t>
  </si>
  <si>
    <t xml:space="preserve">declared alias/notation mapping; alias alone does not prove cross-source identity</t>
  </si>
  <si>
    <t xml:space="preserve">identity mapping</t>
  </si>
  <si>
    <t xml:space="preserve">Cu</t>
  </si>
  <si>
    <t xml:space="preserve">mapping</t>
  </si>
  <si>
    <t xml:space="preserve">ALIAS-CU-0726</t>
  </si>
  <si>
    <t xml:space="preserve">declared mapping; requires independent corroboration where identity_status is unresolved</t>
  </si>
  <si>
    <t xml:space="preserve">data/config/qualification/material_aliases.json</t>
  </si>
  <si>
    <t xml:space="preserve">Identity_Map</t>
  </si>
  <si>
    <t xml:space="preserve">Source_Register row 59</t>
  </si>
  <si>
    <t xml:space="preserve">IDENT-E-Cu58</t>
  </si>
  <si>
    <t xml:space="preserve">Identity_Map · row 3</t>
  </si>
  <si>
    <t xml:space="preserve">Cu (supplier grade claim)</t>
  </si>
  <si>
    <t xml:space="preserve">Source_Register row 60</t>
  </si>
  <si>
    <t xml:space="preserve">IDENT-HB-electro-Cu</t>
  </si>
  <si>
    <t xml:space="preserve">Identity_Map · row 4</t>
  </si>
  <si>
    <t xml:space="preserve">Source_Register row 61</t>
  </si>
  <si>
    <t xml:space="preserve">IDENT-eta-tin-copper</t>
  </si>
  <si>
    <t xml:space="preserve">Identity_Map · row 5</t>
  </si>
  <si>
    <t xml:space="preserve">Cu3Sn</t>
  </si>
  <si>
    <t xml:space="preserve">Source_Register row 62</t>
  </si>
  <si>
    <t xml:space="preserve">IDENT-cupric-sulfate</t>
  </si>
  <si>
    <t xml:space="preserve">Identity_Map · row 6</t>
  </si>
  <si>
    <t xml:space="preserve">CuSO4</t>
  </si>
  <si>
    <t xml:space="preserve">Source_Register row 63</t>
  </si>
  <si>
    <t xml:space="preserve">IDENT-Cu-1O</t>
  </si>
  <si>
    <t xml:space="preserve">SUP-CU-449 / ALIAS-CU-0726 · copper_source_memo.docx</t>
  </si>
  <si>
    <t xml:space="preserve">Identity_Map · row 7</t>
  </si>
  <si>
    <t xml:space="preserve">Cu2O</t>
  </si>
  <si>
    <t xml:space="preserve">SUP-CU-449 / ALIAS-CU-0726</t>
  </si>
  <si>
    <t xml:space="preserve">monovalent copper oxide, cuprite; the superscript is an oxidation-state marker, not a stoichiometric subscript</t>
  </si>
  <si>
    <t xml:space="preserve">data/docs/supplier/copper_source_memo.docx; data/config/qualification/material_aliases.json</t>
  </si>
  <si>
    <t xml:space="preserve">Source_Register row 64</t>
  </si>
  <si>
    <t xml:space="preserve">IDENT-Cu-2O</t>
  </si>
  <si>
    <t xml:space="preserve">Identity_Map · row 8</t>
  </si>
  <si>
    <t xml:space="preserve">CuO</t>
  </si>
  <si>
    <t xml:space="preserve">divalent copper oxide, tenorite; supplier shorthand omits the current formula convention</t>
  </si>
  <si>
    <t xml:space="preserve">Source_Register row 65</t>
  </si>
  <si>
    <t xml:space="preserve">LOTREC-LOT-CU-2607-A</t>
  </si>
  <si>
    <t xml:space="preserve">Supplier specification/intake</t>
  </si>
  <si>
    <t xml:space="preserve">SUP-LOT / SUP-CU-449 · lot_release_register.xlsx</t>
  </si>
  <si>
    <t xml:space="preserve">Lots · row 2</t>
  </si>
  <si>
    <t xml:space="preserve">supplier intake record; supplier-declared identity and scope</t>
  </si>
  <si>
    <t xml:space="preserve">supplier lot record</t>
  </si>
  <si>
    <t xml:space="preserve">MTR-LIS-26-071</t>
  </si>
  <si>
    <t xml:space="preserve">SUP-LOT / SUP-CU-449</t>
  </si>
  <si>
    <t xml:space="preserve">C10100 OFHC mapped to MAT-CU-C101 by ALIAS-CU-0726; supplier batch MTR-LIS-26-071</t>
  </si>
  <si>
    <t xml:space="preserve">data/data/supplier/lot_release_register.xlsx</t>
  </si>
  <si>
    <t xml:space="preserve">Lots</t>
  </si>
  <si>
    <t xml:space="preserve">standard July conductor pull</t>
  </si>
  <si>
    <t xml:space="preserve">Source_Register row 66</t>
  </si>
  <si>
    <t xml:space="preserve">LOTREC-LOT-CU-2607-B</t>
  </si>
  <si>
    <t xml:space="preserve">Lots · row 3</t>
  </si>
  <si>
    <t xml:space="preserve">MTR-LIS-26-072</t>
  </si>
  <si>
    <t xml:space="preserve">E-Cu58 mapped to MAT-CU-WIRE by ALIAS-CU-0726; supplier batch MTR-LIS-26-072</t>
  </si>
  <si>
    <t xml:space="preserve">annealed stitch wire coupon</t>
  </si>
  <si>
    <t xml:space="preserve">Source_Register row 67</t>
  </si>
  <si>
    <t xml:space="preserve">LOTREC-LOT-CU-2607-C</t>
  </si>
  <si>
    <t xml:space="preserve">Lots · row 4</t>
  </si>
  <si>
    <t xml:space="preserve">MTR-LIS-26-073</t>
  </si>
  <si>
    <t xml:space="preserve">HB electro-Cu mapped to MAT-CU-HBPLATE by ALIAS-CU-0726; supplier batch MTR-LIS-26-073</t>
  </si>
  <si>
    <t xml:space="preserve">hybrid bonding RDL plating</t>
  </si>
  <si>
    <t xml:space="preserve">Source_Register row 68</t>
  </si>
  <si>
    <t xml:space="preserve">LOTREC-LOT-CU-2607-D</t>
  </si>
  <si>
    <t xml:space="preserve">Lots · row 5</t>
  </si>
  <si>
    <t xml:space="preserve">MTR-LIS-26-074</t>
  </si>
  <si>
    <t xml:space="preserve">HB electro-Cu mapped to MAT-CU-HBPLATE by ALIAS-CU-0726; supplier batch MTR-LIS-26-074</t>
  </si>
  <si>
    <t xml:space="preserve">high aspect ratio panel HB-0726-CU04</t>
  </si>
  <si>
    <t xml:space="preserve">Source_Register row 69</t>
  </si>
  <si>
    <t xml:space="preserve">LOTREC-LOT-CU-2607-E</t>
  </si>
  <si>
    <t xml:space="preserve">Lots · row 6</t>
  </si>
  <si>
    <t xml:space="preserve">MTR-LIS-26-075</t>
  </si>
  <si>
    <t xml:space="preserve">eta-tin copper mapped to MAT-CU3SN-ETA by ALIAS-CU-0726; supplier batch MTR-LIS-26-075</t>
  </si>
  <si>
    <t xml:space="preserve">intermetallic coupon from solderability lot</t>
  </si>
  <si>
    <t xml:space="preserve">Source_Register row 70</t>
  </si>
  <si>
    <t xml:space="preserve">LOTREC-LOT-CU-2606-Z</t>
  </si>
  <si>
    <t xml:space="preserve">LOT-CU-2606-Z</t>
  </si>
  <si>
    <t xml:space="preserve">TRACE-HDI-090</t>
  </si>
  <si>
    <t xml:space="preserve">Lots · row 7</t>
  </si>
  <si>
    <t xml:space="preserve">included_traceability_context_only</t>
  </si>
  <si>
    <t xml:space="preserve">MTR-LIS-26-044</t>
  </si>
  <si>
    <t xml:space="preserve">C10100 OFHC mapped to MAT-CU-C101 by ALIAS-CU-0726; supplier batch MTR-LIS-26-044</t>
  </si>
  <si>
    <t xml:space="preserve">Prior-month archive lot; excluded from July release count.</t>
  </si>
  <si>
    <t xml:space="preserve">prior month retain sample</t>
  </si>
  <si>
    <t xml:space="preserve">Source_Register row 71</t>
  </si>
  <si>
    <t xml:space="preserve">XR17-CAL-20260708</t>
  </si>
  <si>
    <t xml:space="preserve">Process metrology</t>
  </si>
  <si>
    <t xml:space="preserve">PCN-HB-044 / XR-17 log · 2026-07-08.log</t>
  </si>
  <si>
    <t xml:space="preserve">Metrology · row 2</t>
  </si>
  <si>
    <t xml:space="preserve">XR-17 calibration support record</t>
  </si>
  <si>
    <t xml:space="preserve">plating metrology</t>
  </si>
  <si>
    <t xml:space="preserve">calibration_check</t>
  </si>
  <si>
    <t xml:space="preserve">PASS</t>
  </si>
  <si>
    <t xml:space="preserve">XR-17</t>
  </si>
  <si>
    <t xml:space="preserve">PCN-HB-044 / XR-17 log</t>
  </si>
  <si>
    <t xml:space="preserve">data/logs/plating/2026-07-08.log</t>
  </si>
  <si>
    <t xml:space="preserve">Metrology</t>
  </si>
  <si>
    <t xml:space="preserve">2026-07-08 20:59:43.104</t>
  </si>
  <si>
    <t xml:space="preserve">Source_Register row 72</t>
  </si>
  <si>
    <t xml:space="preserve">XR17-LOT-C-AVG</t>
  </si>
  <si>
    <t xml:space="preserve">Metrology · row 3</t>
  </si>
  <si>
    <t xml:space="preserve">measured XR-17 metrology record</t>
  </si>
  <si>
    <t xml:space="preserve">average_thickness</t>
  </si>
  <si>
    <t xml:space="preserve">um</t>
  </si>
  <si>
    <t xml:space="preserve">controlled process change notice</t>
  </si>
  <si>
    <t xml:space="preserve">PCN-HB-044 Rev. C</t>
  </si>
  <si>
    <t xml:space="preserve">Marco Ramos, Process Integration Manager</t>
  </si>
  <si>
    <t xml:space="preserve">July 2026 HB- stack-code RDL and stitch coupon lots</t>
  </si>
  <si>
    <t xml:space="preserve">CCP-CU-180 Rev. 2 E-3 finished copper thickness floor, 18.0 um</t>
  </si>
  <si>
    <t xml:space="preserve">2026-07-08 21:06:12.488</t>
  </si>
  <si>
    <t xml:space="preserve">Source_Register row 73</t>
  </si>
  <si>
    <t xml:space="preserve">XR17-LOT-D-AVG</t>
  </si>
  <si>
    <t xml:space="preserve">Metrology · row 4</t>
  </si>
  <si>
    <t xml:space="preserve">2026-07-08 21:14:17.482</t>
  </si>
  <si>
    <t xml:space="preserve">Source_Register row 74</t>
  </si>
  <si>
    <t xml:space="preserve">XR17-LOT-D-EDGE-E11</t>
  </si>
  <si>
    <t xml:space="preserve">Metrology · row 5</t>
  </si>
  <si>
    <t xml:space="preserve">edge_thickness</t>
  </si>
  <si>
    <t xml:space="preserve">2026-07-08 21:19:32.915</t>
  </si>
  <si>
    <t xml:space="preserve">Source_Register row 75</t>
  </si>
  <si>
    <t xml:space="preserve">XR17-LOT-D-RERUN</t>
  </si>
  <si>
    <t xml:space="preserve">Metrology · row 6</t>
  </si>
  <si>
    <t xml:space="preserve">rerun_average_thickness</t>
  </si>
  <si>
    <t xml:space="preserve">2026-07-08 21:25:51.078</t>
  </si>
  <si>
    <t xml:space="preserve">Controlled chemistry limits and documented waiver — imported from source_register.xlsx / Standards_Limits</t>
  </si>
  <si>
    <t xml:space="preserve">limit_input_id</t>
  </si>
  <si>
    <t xml:space="preserve">document_id</t>
  </si>
  <si>
    <t xml:space="preserve">revision</t>
  </si>
  <si>
    <t xml:space="preserve">effective_date</t>
  </si>
  <si>
    <t xml:space="preserve">author</t>
  </si>
  <si>
    <t xml:space="preserve">source_kind</t>
  </si>
  <si>
    <t xml:space="preserve">applicability</t>
  </si>
  <si>
    <t xml:space="preserve">impurity</t>
  </si>
  <si>
    <t xml:space="preserve">limit_value</t>
  </si>
  <si>
    <t xml:space="preserve">source_anchor</t>
  </si>
  <si>
    <t xml:space="preserve">LIMIT-001</t>
  </si>
  <si>
    <t xml:space="preserve">STD-CU-101</t>
  </si>
  <si>
    <t xml:space="preserve">2.1</t>
  </si>
  <si>
    <t xml:space="preserve">Anika Rao, Materials Standards Lead</t>
  </si>
  <si>
    <t xml:space="preserve">base</t>
  </si>
  <si>
    <t xml:space="preserve">all July conductor lots</t>
  </si>
  <si>
    <t xml:space="preserve">Oxygen</t>
  </si>
  <si>
    <t xml:space="preserve">STD-CU-101 · base_material_limits.docx</t>
  </si>
  <si>
    <t xml:space="preserve">LIMIT-002</t>
  </si>
  <si>
    <t xml:space="preserve">Sulfur</t>
  </si>
  <si>
    <t xml:space="preserve">LIMIT-003</t>
  </si>
  <si>
    <t xml:space="preserve">Lead</t>
  </si>
  <si>
    <t xml:space="preserve">LIMIT-004</t>
  </si>
  <si>
    <t xml:space="preserve">Bismuth</t>
  </si>
  <si>
    <t xml:space="preserve">LIMIT-005</t>
  </si>
  <si>
    <t xml:space="preserve">Iron</t>
  </si>
  <si>
    <t xml:space="preserve">LIMIT-006</t>
  </si>
  <si>
    <t xml:space="preserve">Nickel</t>
  </si>
  <si>
    <t xml:space="preserve">LIMIT-007</t>
  </si>
  <si>
    <t xml:space="preserve">CQA-CU-772</t>
  </si>
  <si>
    <t xml:space="preserve">1.0</t>
  </si>
  <si>
    <t xml:space="preserve">Priya Natarajan, Customer Quality Liaison</t>
  </si>
  <si>
    <t xml:space="preserve">customer</t>
  </si>
  <si>
    <t xml:space="preserve">July HDI, HB, and BGA coupon lots</t>
  </si>
  <si>
    <t xml:space="preserve">CQA-CU-772 · customer_addendum.docx</t>
  </si>
  <si>
    <t xml:space="preserve">LIMIT-008</t>
  </si>
  <si>
    <t xml:space="preserve">Scope</t>
  </si>
  <si>
    <t xml:space="preserve">Applies to July 2026 PCB conductor lots for HDI, HB, and BGA coupon work</t>
  </si>
  <si>
    <t xml:space="preserve">LIMIT-009</t>
  </si>
  <si>
    <t xml:space="preserve">Interpretation</t>
  </si>
  <si>
    <t xml:space="preserve">Where this addendum conflicts with published standards, the lower impurity ceiling governs.</t>
  </si>
  <si>
    <t xml:space="preserve">LIMIT-010</t>
  </si>
  <si>
    <t xml:space="preserve">STD-CU-214</t>
  </si>
  <si>
    <t xml:space="preserve">1.4</t>
  </si>
  <si>
    <t xml:space="preserve">Meredith Chen, Plating Process Owner</t>
  </si>
  <si>
    <t xml:space="preserve">product-family</t>
  </si>
  <si>
    <t xml:space="preserve">HB-RDL and other electroplated conductor families</t>
  </si>
  <si>
    <t xml:space="preserve">STD-CU-214 · plating_limits.docx</t>
  </si>
  <si>
    <t xml:space="preserve">LIMIT-011</t>
  </si>
  <si>
    <t xml:space="preserve">LIMIT-012</t>
  </si>
  <si>
    <t xml:space="preserve">LIMIT-013</t>
  </si>
  <si>
    <t xml:space="preserve">LIMIT-014</t>
  </si>
  <si>
    <t xml:space="preserve">LIMIT-015</t>
  </si>
  <si>
    <t xml:space="preserve">LIMIT-016</t>
  </si>
  <si>
    <t xml:space="preserve">STD-CU-309</t>
  </si>
  <si>
    <t xml:space="preserve">3.0</t>
  </si>
  <si>
    <t xml:space="preserve">Evan Brooks, Incoming Quality Engineer</t>
  </si>
  <si>
    <t xml:space="preserve">incoming E-Cu58 and stitch-wire coupons</t>
  </si>
  <si>
    <t xml:space="preserve">STD-CU-309 · wire_rod_limits.docx</t>
  </si>
  <si>
    <t xml:space="preserve">LIMIT-017</t>
  </si>
  <si>
    <t xml:space="preserve">LIMIT-018</t>
  </si>
  <si>
    <t xml:space="preserve">LIMIT-019</t>
  </si>
  <si>
    <t xml:space="preserve">LIMIT-020</t>
  </si>
  <si>
    <t xml:space="preserve">LIMIT-021</t>
  </si>
  <si>
    <t xml:space="preserve">LIMIT-022</t>
  </si>
  <si>
    <t xml:space="preserve">MAT-WVR-26-071 · 2026-07-06_panel_deviation_thread__nora-patel.eml</t>
  </si>
  <si>
    <t xml:space="preserve">Protocol-condition inputs — imported from source_register.xlsx / Protocol_Conditions</t>
  </si>
  <si>
    <t xml:space="preserve">protocol_input_id</t>
  </si>
  <si>
    <t xml:space="preserve">property_class</t>
  </si>
  <si>
    <t xml:space="preserve">temperature_requirement</t>
  </si>
  <si>
    <t xml:space="preserve">pressure_requirement</t>
  </si>
  <si>
    <t xml:space="preserve">strain_rate_requirement</t>
  </si>
  <si>
    <t xml:space="preserve">allowed_method_or_note</t>
  </si>
  <si>
    <t xml:space="preserve">PROTO-01</t>
  </si>
  <si>
    <t xml:space="preserve">PROTO-CU-77</t>
  </si>
  <si>
    <t xml:space="preserve">2.2</t>
  </si>
  <si>
    <t xml:space="preserve">Mechanical yield and hardness</t>
  </si>
  <si>
    <t xml:space="preserve">23 +/- 2 C</t>
  </si>
  <si>
    <t xml:space="preserve">101.3 +/- 5 kPa</t>
  </si>
  <si>
    <t xml:space="preserve">1.0E-3 s^-1</t>
  </si>
  <si>
    <t xml:space="preserve">IIT/AFM or microcoupon; conditions must match</t>
  </si>
  <si>
    <t xml:space="preserve">PROTO-CU-77 · property_test_protocol.docx</t>
  </si>
  <si>
    <t xml:space="preserve">PROTO-02</t>
  </si>
  <si>
    <t xml:space="preserve">Electrical resistivity</t>
  </si>
  <si>
    <t xml:space="preserve">20 C reference</t>
  </si>
  <si>
    <t xml:space="preserve">ambient lab pressure</t>
  </si>
  <si>
    <t xml:space="preserve">not applicable</t>
  </si>
  <si>
    <t xml:space="preserve">temperature adjustment calculated from service temperature</t>
  </si>
  <si>
    <t xml:space="preserve">PROTO-03</t>
  </si>
  <si>
    <t xml:space="preserve">Thermal conductivity</t>
  </si>
  <si>
    <t xml:space="preserve">measured data outrank literature values</t>
  </si>
  <si>
    <t xml:space="preserve">PROTO-04</t>
  </si>
  <si>
    <t xml:space="preserve">use measured values where available; flag literature-only values as unverified</t>
  </si>
  <si>
    <t xml:space="preserve">Controlled electrical/process and service-factor inputs</t>
  </si>
  <si>
    <t xml:space="preserve">control_input_id</t>
  </si>
  <si>
    <t xml:space="preserve">revision_or_date</t>
  </si>
  <si>
    <t xml:space="preserve">parameter</t>
  </si>
  <si>
    <t xml:space="preserve">scope</t>
  </si>
  <si>
    <t xml:space="preserve">source_quality</t>
  </si>
  <si>
    <t xml:space="preserve">CTRL-E1</t>
  </si>
  <si>
    <t xml:space="preserve">CCP-CU-180</t>
  </si>
  <si>
    <t xml:space="preserve">2.0</t>
  </si>
  <si>
    <t xml:space="preserve">minimum_conductivity</t>
  </si>
  <si>
    <t xml:space="preserve">percent IACS</t>
  </si>
  <si>
    <t xml:space="preserve">all copper conductor lots</t>
  </si>
  <si>
    <t xml:space="preserve">controlled</t>
  </si>
  <si>
    <t xml:space="preserve">CCP-CU-180 · conductor_control_plan_rev2.docx</t>
  </si>
  <si>
    <t xml:space="preserve">E-1</t>
  </si>
  <si>
    <t xml:space="preserve">CTRL-E2</t>
  </si>
  <si>
    <t xml:space="preserve">maximum_trace_resistance</t>
  </si>
  <si>
    <t xml:space="preserve">mOhm</t>
  </si>
  <si>
    <t xml:space="preserve">50 mm hybrid-bond verification trace</t>
  </si>
  <si>
    <t xml:space="preserve">E-2</t>
  </si>
  <si>
    <t xml:space="preserve">CTRL-E3</t>
  </si>
  <si>
    <t xml:space="preserve">finished_copper_thickness_floor</t>
  </si>
  <si>
    <t xml:space="preserve">hybrid-bond stack codes</t>
  </si>
  <si>
    <t xml:space="preserve">controlled, superseded narrowly by PCN-C</t>
  </si>
  <si>
    <t xml:space="preserve">E-3</t>
  </si>
  <si>
    <t xml:space="preserve">CTRL-PCN</t>
  </si>
  <si>
    <t xml:space="preserve">PCN-HB-044</t>
  </si>
  <si>
    <t xml:space="preserve">C</t>
  </si>
  <si>
    <t xml:space="preserve">July HB- RDL and stitch coupon lots</t>
  </si>
  <si>
    <t xml:space="preserve">controlled change notice</t>
  </si>
  <si>
    <t xml:space="preserve">PCN-HB-044 · process_change_notice.docx</t>
  </si>
  <si>
    <t xml:space="preserve">Overrides E-3 only</t>
  </si>
  <si>
    <t xml:space="preserve">CFG-ALPHA</t>
  </si>
  <si>
    <t xml:space="preserve">CFG-QA-CU-0726</t>
  </si>
  <si>
    <t xml:space="preserve">2026-07-01</t>
  </si>
  <si>
    <t xml:space="preserve">temperature_coefficient_resistance</t>
  </si>
  <si>
    <t xml:space="preserve">1/C</t>
  </si>
  <si>
    <t xml:space="preserve">resistance temperature adjustment</t>
  </si>
  <si>
    <t xml:space="preserve">configuration</t>
  </si>
  <si>
    <t xml:space="preserve">CFG-QA-CU-0726 · service_factors.json</t>
  </si>
  <si>
    <t xml:space="preserve">CFG-TREF</t>
  </si>
  <si>
    <t xml:space="preserve">reference_temperature</t>
  </si>
  <si>
    <t xml:space="preserve">resistivity reference</t>
  </si>
  <si>
    <t xml:space="preserve">SERVICE-T</t>
  </si>
  <si>
    <t xml:space="preserve">HB trace window email</t>
  </si>
  <si>
    <t xml:space="preserve">2026-07-02</t>
  </si>
  <si>
    <t xml:space="preserve">service_temperature</t>
  </si>
  <si>
    <t xml:space="preserve">July HB lots</t>
  </si>
  <si>
    <t xml:space="preserve">dated engineering instruction</t>
  </si>
  <si>
    <t xml:space="preserve">HB trace window email · 2026-07-02_window_alignment__hannah-lee.eml</t>
  </si>
  <si>
    <t xml:space="preserve">Author: Hannah Lee</t>
  </si>
  <si>
    <t xml:space="preserve">RISK-CHEM</t>
  </si>
  <si>
    <t xml:space="preserve">chemical_violation_weight</t>
  </si>
  <si>
    <t xml:space="preserve">points</t>
  </si>
  <si>
    <t xml:space="preserve">lot risk score</t>
  </si>
  <si>
    <t xml:space="preserve">RISK-ELEC</t>
  </si>
  <si>
    <t xml:space="preserve">electrical_violation_weight</t>
  </si>
  <si>
    <t xml:space="preserve">RISK-MARGIN</t>
  </si>
  <si>
    <t xml:space="preserve">resistance_margin_under_10_weight</t>
  </si>
  <si>
    <t xml:space="preserve">RISK-EXCEPTION</t>
  </si>
  <si>
    <t xml:space="preserve">documented_exception_weight</t>
  </si>
  <si>
    <t xml:space="preserve">RISK-LITERATURE</t>
  </si>
  <si>
    <t xml:space="preserve">literature_only_property_weight</t>
  </si>
  <si>
    <t xml:space="preserve">RISK-CATALOG</t>
  </si>
  <si>
    <t xml:space="preserve">catalog_quality_flag_weight</t>
  </si>
  <si>
    <t xml:space="preserve">THRESH-HOLD</t>
  </si>
  <si>
    <t xml:space="preserve">hold_if_score_at_least</t>
  </si>
  <si>
    <t xml:space="preserve">risk classification</t>
  </si>
  <si>
    <t xml:space="preserve">THRESH-COND</t>
  </si>
  <si>
    <t xml:space="preserve">conditional_if_score_at_least</t>
  </si>
  <si>
    <t xml:space="preserve">A. Protocol-condition matched measured evidence</t>
  </si>
  <si>
    <t xml:space="preserve">calc_id</t>
  </si>
  <si>
    <t xml:space="preserve">material_id</t>
  </si>
  <si>
    <t xml:space="preserve">property</t>
  </si>
  <si>
    <t xml:space="preserve">temperature_C</t>
  </si>
  <si>
    <t xml:space="preserve">pressure_kPa</t>
  </si>
  <si>
    <t xml:space="preserve">strain_rate_s-1</t>
  </si>
  <si>
    <t xml:space="preserve">method</t>
  </si>
  <si>
    <t xml:space="preserve">protocol_rule</t>
  </si>
  <si>
    <t xml:space="preserve">condition_match</t>
  </si>
  <si>
    <t xml:space="preserve">priority_result</t>
  </si>
  <si>
    <t xml:space="preserve">input_anchor</t>
  </si>
  <si>
    <t xml:space="preserve">selected_value</t>
  </si>
  <si>
    <t xml:space="preserve">selection_status</t>
  </si>
  <si>
    <t xml:space="preserve">visible_formula_logic</t>
  </si>
  <si>
    <t xml:space="preserve">CM-01</t>
  </si>
  <si>
    <t xml:space="preserve">20 C reference; ambient pressure</t>
  </si>
  <si>
    <t xml:space="preserve">Selected measured value</t>
  </si>
  <si>
    <t xml:space="preserve">Inputs row 34</t>
  </si>
  <si>
    <t xml:space="preserve">IF(condition_match AND measured-priority, reported value, NA)</t>
  </si>
  <si>
    <t xml:space="preserve">CM-02</t>
  </si>
  <si>
    <t xml:space="preserve">Inputs row 39</t>
  </si>
  <si>
    <t xml:space="preserve">CM-03</t>
  </si>
  <si>
    <t xml:space="preserve">23 +/- 2 C; 101.3 +/- 5 kPa</t>
  </si>
  <si>
    <t xml:space="preserve">Inputs row 41</t>
  </si>
  <si>
    <t xml:space="preserve">CM-04</t>
  </si>
  <si>
    <t xml:space="preserve">Inputs row 42</t>
  </si>
  <si>
    <t xml:space="preserve">CM-05</t>
  </si>
  <si>
    <t xml:space="preserve">23 +/- 2 C; 101.3 +/- 5 kPa; 1.0E-3 s^-1</t>
  </si>
  <si>
    <t xml:space="preserve">Inputs row 43</t>
  </si>
  <si>
    <t xml:space="preserve">CM-06</t>
  </si>
  <si>
    <t xml:space="preserve">Inputs row 45</t>
  </si>
  <si>
    <t xml:space="preserve">CM-07</t>
  </si>
  <si>
    <t xml:space="preserve">Inputs row 46</t>
  </si>
  <si>
    <t xml:space="preserve">B. Like-for-like property comparisons only</t>
  </si>
  <si>
    <t xml:space="preserve">comparison_id</t>
  </si>
  <si>
    <t xml:space="preserve">material_A</t>
  </si>
  <si>
    <t xml:space="preserve">value_A</t>
  </si>
  <si>
    <t xml:space="preserve">material_B</t>
  </si>
  <si>
    <t xml:space="preserve">value_B</t>
  </si>
  <si>
    <t xml:space="preserve">difference_B_minus_A</t>
  </si>
  <si>
    <t xml:space="preserve">percent_difference</t>
  </si>
  <si>
    <t xml:space="preserve">condition_basis</t>
  </si>
  <si>
    <t xml:space="preserve">CMP-01</t>
  </si>
  <si>
    <t xml:space="preserve">CMP-02</t>
  </si>
  <si>
    <t xml:space="preserve">23 C; 101.3 kPa</t>
  </si>
  <si>
    <t xml:space="preserve">C. LOT-CU-2607-D trace resistance at service temperature</t>
  </si>
  <si>
    <t xml:space="preserve">resistivity_uohm_cm</t>
  </si>
  <si>
    <t xml:space="preserve">length_mm</t>
  </si>
  <si>
    <t xml:space="preserve">width_um</t>
  </si>
  <si>
    <t xml:space="preserve">average_thickness_um</t>
  </si>
  <si>
    <t xml:space="preserve">reference_temp_C</t>
  </si>
  <si>
    <t xml:space="preserve">service_temp_C</t>
  </si>
  <si>
    <t xml:space="preserve">alpha_per_C</t>
  </si>
  <si>
    <t xml:space="preserve">R20_mOhm</t>
  </si>
  <si>
    <t xml:space="preserve">Rservice_mOhm</t>
  </si>
  <si>
    <t xml:space="preserve">limit_mOhm</t>
  </si>
  <si>
    <t xml:space="preserve">margin_mOhm</t>
  </si>
  <si>
    <t xml:space="preserve">selected_property_source</t>
  </si>
  <si>
    <t xml:space="preserve">RES-D</t>
  </si>
  <si>
    <t xml:space="preserve">CM-02 selected_value (P5)</t>
  </si>
  <si>
    <t xml:space="preserve">Rservice = selected resistivity × geometry/thickness × [1 + alpha × (Tservice − Tref)]</t>
  </si>
  <si>
    <t xml:space="preserve">D. Chemistry — measured assay versus strictest applicable published limit</t>
  </si>
  <si>
    <t xml:space="preserve">chem_calc_id</t>
  </si>
  <si>
    <t xml:space="preserve">measured_ppm</t>
  </si>
  <si>
    <t xml:space="preserve">published_limit_ppm</t>
  </si>
  <si>
    <t xml:space="preserve">exception_document</t>
  </si>
  <si>
    <t xml:space="preserve">acceptance_limit_ppm</t>
  </si>
  <si>
    <t xml:space="preserve">margin_ppm</t>
  </si>
  <si>
    <t xml:space="preserve">result</t>
  </si>
  <si>
    <t xml:space="preserve">assay_input_anchor</t>
  </si>
  <si>
    <t xml:space="preserve">governing_sources</t>
  </si>
  <si>
    <t xml:space="preserve">CHEM-01</t>
  </si>
  <si>
    <t xml:space="preserve">Inputs row 47</t>
  </si>
  <si>
    <t xml:space="preserve">STD-CU-101; CQA-CU-772</t>
  </si>
  <si>
    <t xml:space="preserve">CHEM-02</t>
  </si>
  <si>
    <t xml:space="preserve">CHEM-03</t>
  </si>
  <si>
    <t xml:space="preserve">CHEM-04</t>
  </si>
  <si>
    <t xml:space="preserve">CHEM-05</t>
  </si>
  <si>
    <t xml:space="preserve">CHEM-06</t>
  </si>
  <si>
    <t xml:space="preserve">CHEM-07</t>
  </si>
  <si>
    <t xml:space="preserve">Inputs row 48</t>
  </si>
  <si>
    <t xml:space="preserve">STD-CU-101; STD-CU-309; CQA-CU-772</t>
  </si>
  <si>
    <t xml:space="preserve">CHEM-08</t>
  </si>
  <si>
    <t xml:space="preserve">CHEM-09</t>
  </si>
  <si>
    <t xml:space="preserve">CHEM-10</t>
  </si>
  <si>
    <t xml:space="preserve">CHEM-11</t>
  </si>
  <si>
    <t xml:space="preserve">CHEM-12</t>
  </si>
  <si>
    <t xml:space="preserve">CHEM-13</t>
  </si>
  <si>
    <t xml:space="preserve">Inputs row 49</t>
  </si>
  <si>
    <t xml:space="preserve">STD-CU-101; STD-CU-214; CQA-CU-772</t>
  </si>
  <si>
    <t xml:space="preserve">CHEM-14</t>
  </si>
  <si>
    <t xml:space="preserve">CHEM-15</t>
  </si>
  <si>
    <t xml:space="preserve">CHEM-16</t>
  </si>
  <si>
    <t xml:space="preserve">CHEM-17</t>
  </si>
  <si>
    <t xml:space="preserve">CHEM-18</t>
  </si>
  <si>
    <t xml:space="preserve">CHEM-19</t>
  </si>
  <si>
    <t xml:space="preserve">Inputs row 50</t>
  </si>
  <si>
    <t xml:space="preserve">CHEM-20</t>
  </si>
  <si>
    <t xml:space="preserve">CHEM-21</t>
  </si>
  <si>
    <t xml:space="preserve">CHEM-22</t>
  </si>
  <si>
    <t xml:space="preserve">CHEM-23</t>
  </si>
  <si>
    <t xml:space="preserve">CHEM-24</t>
  </si>
  <si>
    <t xml:space="preserve">CHEM-25</t>
  </si>
  <si>
    <t xml:space="preserve">Inputs row 52</t>
  </si>
  <si>
    <t xml:space="preserve">CHEM-26</t>
  </si>
  <si>
    <t xml:space="preserve">CHEM-27</t>
  </si>
  <si>
    <t xml:space="preserve">CHEM-28</t>
  </si>
  <si>
    <t xml:space="preserve">CHEM-29</t>
  </si>
  <si>
    <t xml:space="preserve">CHEM-30</t>
  </si>
  <si>
    <t xml:space="preserve">E. Controlled electrical and thickness observations (separate from protocol-matched property comparison)</t>
  </si>
  <si>
    <t xml:space="preserve">measured_value</t>
  </si>
  <si>
    <t xml:space="preserve">controlled_limit</t>
  </si>
  <si>
    <t xml:space="preserve">comparison</t>
  </si>
  <si>
    <t xml:space="preserve">protocol_or_scope_note</t>
  </si>
  <si>
    <t xml:space="preserve">ACC-A-E1</t>
  </si>
  <si>
    <t xml:space="preserve">&gt;=</t>
  </si>
  <si>
    <t xml:space="preserve">PROTO-CU-77 does not define percent-IACS conditions</t>
  </si>
  <si>
    <t xml:space="preserve">Inputs row 33</t>
  </si>
  <si>
    <t xml:space="preserve">ACC-C-E1</t>
  </si>
  <si>
    <t xml:space="preserve">calibration-adjusted accepted value</t>
  </si>
  <si>
    <t xml:space="preserve">Inputs row 36</t>
  </si>
  <si>
    <t xml:space="preserve">ACC-D-E1</t>
  </si>
  <si>
    <t xml:space="preserve">Inputs row 38</t>
  </si>
  <si>
    <t xml:space="preserve">ACC-C-E3</t>
  </si>
  <si>
    <t xml:space="preserve">finished_copper_thickness</t>
  </si>
  <si>
    <t xml:space="preserve">PCN-HB-044 Rev. C applies</t>
  </si>
  <si>
    <t xml:space="preserve">Inputs row 72</t>
  </si>
  <si>
    <t xml:space="preserve">ACC-D-E3</t>
  </si>
  <si>
    <t xml:space="preserve">Inputs row 73</t>
  </si>
  <si>
    <t xml:space="preserve">F. Formula-driven lot risk score</t>
  </si>
  <si>
    <t xml:space="preserve">chemical_violation_flag</t>
  </si>
  <si>
    <t xml:space="preserve">electrical_violation_flag</t>
  </si>
  <si>
    <t xml:space="preserve">resistance_margin_under_10_flag</t>
  </si>
  <si>
    <t xml:space="preserve">documented_exception_flag</t>
  </si>
  <si>
    <t xml:space="preserve">literature_only_used_flag</t>
  </si>
  <si>
    <t xml:space="preserve">catalog_quality_flag</t>
  </si>
  <si>
    <t xml:space="preserve">chemical_points</t>
  </si>
  <si>
    <t xml:space="preserve">electrical_points</t>
  </si>
  <si>
    <t xml:space="preserve">margin_points</t>
  </si>
  <si>
    <t xml:space="preserve">exception_points</t>
  </si>
  <si>
    <t xml:space="preserve">literature_points</t>
  </si>
  <si>
    <t xml:space="preserve">catalog_points</t>
  </si>
  <si>
    <t xml:space="preserve">total_risk_score</t>
  </si>
  <si>
    <t xml:space="preserve">risk_status</t>
  </si>
  <si>
    <t xml:space="preserve">Σ(flag × configured weight); chemistry and property flags come from formula results above</t>
  </si>
  <si>
    <t xml:space="preserve">Scenario sensitivity — exceptions and service temperature</t>
  </si>
  <si>
    <t xml:space="preserve">scenario_id</t>
  </si>
  <si>
    <t xml:space="preserve">scenario_name</t>
  </si>
  <si>
    <t xml:space="preserve">PCN_thickness_applies</t>
  </si>
  <si>
    <t xml:space="preserve">waiver_B_oxygen_applies</t>
  </si>
  <si>
    <t xml:space="preserve">D_Rservice_mOhm</t>
  </si>
  <si>
    <t xml:space="preserve">D_resistance_limit_mOhm</t>
  </si>
  <si>
    <t xml:space="preserve">D_resistance_result</t>
  </si>
  <si>
    <t xml:space="preserve">D_thickness_limit_um</t>
  </si>
  <si>
    <t xml:space="preserve">D_thickness_result</t>
  </si>
  <si>
    <t xml:space="preserve">B_oxygen_limit_ppm</t>
  </si>
  <si>
    <t xml:space="preserve">B_oxygen_result</t>
  </si>
  <si>
    <t xml:space="preserve">scenario_note</t>
  </si>
  <si>
    <t xml:space="preserve">D_chemical_violation_flag</t>
  </si>
  <si>
    <t xml:space="preserve">D_electrical_violation_flag</t>
  </si>
  <si>
    <t xml:space="preserve">D_margin_under10_flag</t>
  </si>
  <si>
    <t xml:space="preserve">D_exception_flag</t>
  </si>
  <si>
    <t xml:space="preserve">D_risk_score</t>
  </si>
  <si>
    <t xml:space="preserve">D_risk_status</t>
  </si>
  <si>
    <t xml:space="preserve">B_chemical_violation_flag</t>
  </si>
  <si>
    <t xml:space="preserve">B_exception_flag</t>
  </si>
  <si>
    <t xml:space="preserve">B_catalog_flag</t>
  </si>
  <si>
    <t xml:space="preserve">B_risk_score</t>
  </si>
  <si>
    <t xml:space="preserve">B_risk_status</t>
  </si>
  <si>
    <t xml:space="preserve">D_score_delta_vs_current</t>
  </si>
  <si>
    <t xml:space="preserve">B_score_delta_vs_current</t>
  </si>
  <si>
    <t xml:space="preserve">scenario_check</t>
  </si>
  <si>
    <t xml:space="preserve">SCN-01</t>
  </si>
  <si>
    <t xml:space="preserve">Current controlled basis</t>
  </si>
  <si>
    <t xml:space="preserve">Effective PCN and approved waiver</t>
  </si>
  <si>
    <t xml:space="preserve">Scenario results use the same assay, geometry, selected resistivity, configured weights, and thresholds as the current calculation.</t>
  </si>
  <si>
    <t xml:space="preserve">SCN-02</t>
  </si>
  <si>
    <t xml:space="preserve">No oxygen waiver</t>
  </si>
  <si>
    <t xml:space="preserve">Shows waiver dependency for LOT-B</t>
  </si>
  <si>
    <t xml:space="preserve">SCN-03</t>
  </si>
  <si>
    <t xml:space="preserve">No process change notice</t>
  </si>
  <si>
    <t xml:space="preserve">Uses CCP E-3 18.0 um floor</t>
  </si>
  <si>
    <t xml:space="preserve">SCN-04</t>
  </si>
  <si>
    <t xml:space="preserve">95 C service stress</t>
  </si>
  <si>
    <t xml:space="preserve">Temperature sensitivity only</t>
  </si>
  <si>
    <t xml:space="preserve">Technical findings matrix</t>
  </si>
  <si>
    <t xml:space="preserve">finding_id</t>
  </si>
  <si>
    <t xml:space="preserve">finding_class</t>
  </si>
  <si>
    <t xml:space="preserve">finding</t>
  </si>
  <si>
    <t xml:space="preserve">measured_or_calculated</t>
  </si>
  <si>
    <t xml:space="preserve">governing_value</t>
  </si>
  <si>
    <t xml:space="preserve">margin</t>
  </si>
  <si>
    <t xml:space="preserve">status</t>
  </si>
  <si>
    <t xml:space="preserve">condition_or_scope</t>
  </si>
  <si>
    <t xml:space="preserve">TF-001</t>
  </si>
  <si>
    <t xml:space="preserve">chemistry</t>
  </si>
  <si>
    <t xml:space="preserve">Sulfur exceeds strictest applicable customer limit</t>
  </si>
  <si>
    <t xml:space="preserve">validated assay; chemistry separate</t>
  </si>
  <si>
    <t xml:space="preserve">TF-002</t>
  </si>
  <si>
    <t xml:space="preserve">electrical acceptance</t>
  </si>
  <si>
    <t xml:space="preserve">Conductivity is below CCP-CU-180 E-1</t>
  </si>
  <si>
    <t xml:space="preserve">percent-IACS conditions not defined by PROTO-CU-77</t>
  </si>
  <si>
    <t xml:space="preserve">TF-003</t>
  </si>
  <si>
    <t xml:space="preserve">trace resistance</t>
  </si>
  <si>
    <t xml:space="preserve">Calculated 85 C resistance remains below E-2</t>
  </si>
  <si>
    <t xml:space="preserve">20 C resistivity adjusted to documented 85 C service temperature</t>
  </si>
  <si>
    <t xml:space="preserve">TF-004</t>
  </si>
  <si>
    <t xml:space="preserve">Lead exceeds strictest applicable base limit</t>
  </si>
  <si>
    <t xml:space="preserve">chemistry by declared BGA coupon scope; identity unresolved</t>
  </si>
  <si>
    <t xml:space="preserve">TF-005</t>
  </si>
  <si>
    <t xml:space="preserve">documented exception</t>
  </si>
  <si>
    <t xml:space="preserve">Oxygen passes only under MAT-WVR-26-071</t>
  </si>
  <si>
    <t xml:space="preserve">annealed stitch-wire coupon only; identity unresolved</t>
  </si>
  <si>
    <t xml:space="preserve">TF-006</t>
  </si>
  <si>
    <t xml:space="preserve">process change</t>
  </si>
  <si>
    <t xml:space="preserve">Average thickness passes PCN-HB-044 Rev. C floor</t>
  </si>
  <si>
    <t xml:space="preserve">PCN applies to July HB stack codes</t>
  </si>
  <si>
    <t xml:space="preserve">Lot risk summary — formula results from Calculations</t>
  </si>
  <si>
    <t xml:space="preserve">risk_score</t>
  </si>
  <si>
    <t xml:space="preserve">chemical_flag</t>
  </si>
  <si>
    <t xml:space="preserve">electrical_flag</t>
  </si>
  <si>
    <t xml:space="preserve">margin_flag</t>
  </si>
  <si>
    <t xml:space="preserve">exception_flag</t>
  </si>
  <si>
    <t xml:space="preserve">Model integrity and traceability checks</t>
  </si>
  <si>
    <t xml:space="preserve">check_id</t>
  </si>
  <si>
    <t xml:space="preserve">check</t>
  </si>
  <si>
    <t xml:space="preserve">expected</t>
  </si>
  <si>
    <t xml:space="preserve">actual</t>
  </si>
  <si>
    <t xml:space="preserve">CHK-01</t>
  </si>
  <si>
    <t xml:space="preserve">Evidence population equals source register</t>
  </si>
  <si>
    <t xml:space="preserve">74</t>
  </si>
  <si>
    <t xml:space="preserve">Source-register record IDs carried without regeneration.</t>
  </si>
  <si>
    <t xml:space="preserve">CHK-02</t>
  </si>
  <si>
    <t xml:space="preserve">No blank canonical material IDs</t>
  </si>
  <si>
    <t xml:space="preserve">0</t>
  </si>
  <si>
    <t xml:space="preserve">Required row-level identity field.</t>
  </si>
  <si>
    <t xml:space="preserve">CHK-03</t>
  </si>
  <si>
    <t xml:space="preserve">No blank source-register anchors</t>
  </si>
  <si>
    <t xml:space="preserve">Every evidence row links to its original register row.</t>
  </si>
  <si>
    <t xml:space="preserve">CHK-04</t>
  </si>
  <si>
    <t xml:space="preserve">No blank source-file anchors</t>
  </si>
  <si>
    <t xml:space="preserve">Every evidence row retains underlying source link.</t>
  </si>
  <si>
    <t xml:space="preserve">CHK-05</t>
  </si>
  <si>
    <t xml:space="preserve">No blank detail anchors</t>
  </si>
  <si>
    <t xml:space="preserve">Each row links to exact detail row in source_register.xlsx.</t>
  </si>
  <si>
    <t xml:space="preserve">CHK-06</t>
  </si>
  <si>
    <t xml:space="preserve">Duplicate records explicitly excluded</t>
  </si>
  <si>
    <t xml:space="preserve">2</t>
  </si>
  <si>
    <t xml:space="preserve">One conductivity duplicate and one chemistry duplicate.</t>
  </si>
  <si>
    <t xml:space="preserve">CHK-07</t>
  </si>
  <si>
    <t xml:space="preserve">Unverified literature rows retained as support only</t>
  </si>
  <si>
    <t xml:space="preserve">Five literature rows remain unverified support only, including the identity-only PubChem record; none replaces measured evidence.</t>
  </si>
  <si>
    <t xml:space="preserve">CHK-08</t>
  </si>
  <si>
    <t xml:space="preserve">Condition-mismatched mechanical value excluded</t>
  </si>
  <si>
    <t xml:space="preserve">1</t>
  </si>
  <si>
    <t xml:space="preserve">85 C / 1E-2 s-1 supplier screen.</t>
  </si>
  <si>
    <t xml:space="preserve">CHK-09</t>
  </si>
  <si>
    <t xml:space="preserve">Unresolved property records excluded</t>
  </si>
  <si>
    <t xml:space="preserve">E-Cu58 and eta-Cu3Sn property rows.</t>
  </si>
  <si>
    <t xml:space="preserve">CHK-10</t>
  </si>
  <si>
    <t xml:space="preserve">Condition-matched calculation rows all pass</t>
  </si>
  <si>
    <t xml:space="preserve">7</t>
  </si>
  <si>
    <t xml:space="preserve">Only selected measured values at protocol conditions.</t>
  </si>
  <si>
    <t xml:space="preserve">CHK-11</t>
  </si>
  <si>
    <t xml:space="preserve">Documented exception rows in source population</t>
  </si>
  <si>
    <t xml:space="preserve">5</t>
  </si>
  <si>
    <t xml:space="preserve">One waiver assay and four PCN-linked metrology records.</t>
  </si>
  <si>
    <t xml:space="preserve">CHK-12</t>
  </si>
  <si>
    <t xml:space="preserve">Finding anchors populated</t>
  </si>
  <si>
    <t xml:space="preserve">6</t>
  </si>
  <si>
    <t xml:space="preserve">Every output finding links to Inputs and source evidence.</t>
  </si>
  <si>
    <t xml:space="preserve">CHK-13</t>
  </si>
  <si>
    <t xml:space="preserve">All selected properties are formula-selected condition matches</t>
  </si>
  <si>
    <t xml:space="preserve">Resistance consumes P5, not the raw source row.</t>
  </si>
  <si>
    <t xml:space="preserve">CHK-14</t>
  </si>
  <si>
    <t xml:space="preserve">Risk score rows populated</t>
  </si>
  <si>
    <t xml:space="preserve">One formula-derived score per July lot.</t>
  </si>
  <si>
    <t xml:space="preserve">CHK-15</t>
  </si>
  <si>
    <t xml:space="preserve">Scenario comparison rows populated</t>
  </si>
  <si>
    <t xml:space="preserve">4</t>
  </si>
  <si>
    <t xml:space="preserve">Same inputs with explicit exception/temperature switches.</t>
  </si>
  <si>
    <t xml:space="preserve">CHK-16</t>
  </si>
  <si>
    <t xml:space="preserve">All scenario rows pass numeric/status integrity checks</t>
  </si>
  <si>
    <t xml:space="preserve">Each sensitivity row contains native numeric results and recognized status values.</t>
  </si>
  <si>
    <t xml:space="preserve">CHK-17</t>
  </si>
  <si>
    <t xml:space="preserve">Scenario numeric result cells populated</t>
  </si>
  <si>
    <t xml:space="preserve">Five numeric outputs per scenario.</t>
  </si>
  <si>
    <t xml:space="preserve">CHK-18</t>
  </si>
  <si>
    <t xml:space="preserve">Current scenario scores equal model scores</t>
  </si>
  <si>
    <t xml:space="preserve">Baseline sensitivity row is synchronized to the calculated lot scores.</t>
  </si>
  <si>
    <t xml:space="preserve">Visible formula audit</t>
  </si>
  <si>
    <t xml:space="preserve">calculation</t>
  </si>
  <si>
    <t xml:space="preserve">formula_cell</t>
  </si>
  <si>
    <t xml:space="preserve">current_result</t>
  </si>
  <si>
    <t xml:space="preserve">visible_formula</t>
  </si>
  <si>
    <t xml:space="preserve">Condition-matched HB resistivity selection</t>
  </si>
  <si>
    <t xml:space="preserve">Calculations!P5</t>
  </si>
  <si>
    <t xml:space="preserve">Formula: =IF(AND(L5=TRUE(),M5="Selected measured value"),E5,NA())</t>
  </si>
  <si>
    <t xml:space="preserve">Trace resistance at service temperature</t>
  </si>
  <si>
    <t xml:space="preserve">Calculations!J21</t>
  </si>
  <si>
    <t xml:space="preserve">Formula: =I21*(1+H21*(G21-F21))</t>
  </si>
  <si>
    <t xml:space="preserve">LOT-D sulfur status</t>
  </si>
  <si>
    <t xml:space="preserve">Calculations!J46</t>
  </si>
  <si>
    <t xml:space="preserve">Formula: =IF(E46&lt;=H46,"PASS","FAIL")</t>
  </si>
  <si>
    <t xml:space="preserve">LOT-D risk score</t>
  </si>
  <si>
    <t xml:space="preserve">Calculations!O74</t>
  </si>
  <si>
    <t xml:space="preserve">Formula: =SUM(I74:N74)</t>
  </si>
  <si>
    <t xml:space="preserve">No-waiver LOT-B risk score</t>
  </si>
  <si>
    <t xml:space="preserve">Scenarios!W5</t>
  </si>
  <si>
    <t xml:space="preserve">Formula: =T5*RiskWeight_Chemical+U5*RiskWeight_DocumentedException+V5*RiskWeight_CatalogQuality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</si>
</sst>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00"/>
    <numFmt numFmtId="167" formatCode="0.00"/>
    <numFmt numFmtId="168" formatCode="0.0"/>
    <numFmt numFmtId="169" formatCode="0.00000"/>
    <numFmt numFmtId="170" formatCode="General"/>
    <numFmt numFmtId="171" formatCode="0.00%"/>
    <numFmt numFmtId="172" formatCode="0"/>
    <numFmt numFmtId="173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2"/>
      <color theme="10"/>
      <name val="Calibri"/>
      <family val="2"/>
      <charset val="1"/>
    </font>
    <font>
      <b val="true"/>
      <sz val="12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cceptanceObs" displayName="TAcceptanceObs" ref="A60:L65" headerRowCount="1" totalsRowCount="0" totalsRowShown="0">
  <autoFilter ref="A60:L65"/>
  <tableColumns count="12">
    <tableColumn id="1" name="calc_id"/>
    <tableColumn id="2" name="lot_id"/>
    <tableColumn id="3" name="record_id"/>
    <tableColumn id="4" name="parameter"/>
    <tableColumn id="5" name="measured_value"/>
    <tableColumn id="6" name="unit"/>
    <tableColumn id="7" name="controlled_limit"/>
    <tableColumn id="8" name="comparison"/>
    <tableColumn id="9" name="result"/>
    <tableColumn id="10" name="protocol_or_scope_note"/>
    <tableColumn id="11" name="input_anchor"/>
    <tableColumn id="12" name="source_anchor"/>
  </tableColumns>
</table>
</file>

<file path=xl/tables/table2.xml><?xml version="1.0" encoding="utf-8"?>
<table xmlns="http://schemas.openxmlformats.org/spreadsheetml/2006/main" id="2" name="TChecks" displayName="TChecks" ref="A3:F21" headerRowCount="1" totalsRowCount="0" totalsRowShown="0">
  <autoFilter ref="A3:F21"/>
  <tableColumns count="6">
    <tableColumn id="1" name="check_id"/>
    <tableColumn id="2" name="check"/>
    <tableColumn id="3" name="expected"/>
    <tableColumn id="4" name="actual"/>
    <tableColumn id="5" name="result"/>
    <tableColumn id="6" name="notes"/>
  </tableColumns>
</table>
</file>

<file path=xl/tables/table3.xml><?xml version="1.0" encoding="utf-8"?>
<table xmlns="http://schemas.openxmlformats.org/spreadsheetml/2006/main" id="3" name="TChemistryCalc" displayName="TChemistryCalc" ref="A26:L56" headerRowCount="1" totalsRowCount="0" totalsRowShown="0">
  <autoFilter ref="A26:L56"/>
  <tableColumns count="12">
    <tableColumn id="1" name="chem_calc_id"/>
    <tableColumn id="2" name="lot_id"/>
    <tableColumn id="3" name="material_id"/>
    <tableColumn id="4" name="impurity"/>
    <tableColumn id="5" name="measured_ppm"/>
    <tableColumn id="6" name="published_limit_ppm"/>
    <tableColumn id="7" name="exception_document"/>
    <tableColumn id="8" name="acceptance_limit_ppm"/>
    <tableColumn id="9" name="margin_ppm"/>
    <tableColumn id="10" name="result"/>
    <tableColumn id="11" name="assay_input_anchor"/>
    <tableColumn id="12" name="governing_sources"/>
  </tableColumns>
</table>
</file>

<file path=xl/tables/table4.xml><?xml version="1.0" encoding="utf-8"?>
<table xmlns="http://schemas.openxmlformats.org/spreadsheetml/2006/main" id="4" name="TConditionMatched" displayName="TConditionMatched" ref="A3:R10" headerRowCount="1" totalsRowCount="0" totalsRowShown="0">
  <autoFilter ref="A3:R10"/>
  <tableColumns count="18">
    <tableColumn id="1" name="calc_id"/>
    <tableColumn id="2" name="record_id"/>
    <tableColumn id="3" name="material_id"/>
    <tableColumn id="4" name="property"/>
    <tableColumn id="5" name="value"/>
    <tableColumn id="6" name="unit"/>
    <tableColumn id="7" name="temperature_C"/>
    <tableColumn id="8" name="pressure_kPa"/>
    <tableColumn id="9" name="strain_rate_s-1"/>
    <tableColumn id="10" name="method"/>
    <tableColumn id="11" name="protocol_rule"/>
    <tableColumn id="12" name="condition_match"/>
    <tableColumn id="13" name="priority_result"/>
    <tableColumn id="14" name="input_anchor"/>
    <tableColumn id="15" name="source_anchor"/>
    <tableColumn id="16" name="selected_value"/>
    <tableColumn id="17" name="selection_status"/>
    <tableColumn id="18" name="visible_formula_logic"/>
  </tableColumns>
</table>
</file>

<file path=xl/tables/table5.xml><?xml version="1.0" encoding="utf-8"?>
<table xmlns="http://schemas.openxmlformats.org/spreadsheetml/2006/main" id="5" name="TControlInputs" displayName="TControlInputs" ref="A114:K129" headerRowCount="1" totalsRowCount="0" totalsRowShown="0">
  <autoFilter ref="A114:K129"/>
  <tableColumns count="11">
    <tableColumn id="1" name="control_input_id"/>
    <tableColumn id="2" name="document_id"/>
    <tableColumn id="3" name="revision_or_date"/>
    <tableColumn id="4" name="parameter"/>
    <tableColumn id="5" name="value"/>
    <tableColumn id="6" name="unit"/>
    <tableColumn id="7" name="scope"/>
    <tableColumn id="8" name="source_quality"/>
    <tableColumn id="9" name="source_anchor"/>
    <tableColumn id="10" name="notes"/>
    <tableColumn id="11" name="effective_date"/>
  </tableColumns>
</table>
</file>

<file path=xl/tables/table6.xml><?xml version="1.0" encoding="utf-8"?>
<table xmlns="http://schemas.openxmlformats.org/spreadsheetml/2006/main" id="6" name="TEvidenceInputs" displayName="TEvidenceInputs" ref="A1:AZ75" headerRowCount="1" totalsRowCount="0" totalsRowShown="0">
  <autoFilter ref="A1:AZ75"/>
  <tableColumns count="52">
    <tableColumn id="1" name="source_register_row"/>
    <tableColumn id="2" name="source_register_anchor"/>
    <tableColumn id="3" name="record_id"/>
    <tableColumn id="4" name="canonical_material_id"/>
    <tableColumn id="5" name="canonical_formula_or_name"/>
    <tableColumn id="6" name="lot_id"/>
    <tableColumn id="7" name="trace_id"/>
    <tableColumn id="8" name="source_family"/>
    <tableColumn id="9" name="source_file_anchor"/>
    <tableColumn id="10" name="workbook_detail_anchor"/>
    <tableColumn id="11" name="external_evidence_anchor"/>
    <tableColumn id="12" name="inclusion_status"/>
    <tableColumn id="13" name="source_quality_flag"/>
    <tableColumn id="14" name="canonical_material_name"/>
    <tableColumn id="15" name="evidence_class"/>
    <tableColumn id="16" name="property_or_claim"/>
    <tableColumn id="17" name="value"/>
    <tableColumn id="18" name="unit"/>
    <tableColumn id="19" name="test_temperature_c"/>
    <tableColumn id="20" name="test_pressure_kpa"/>
    <tableColumn id="21" name="test_strain_rate_s_inv"/>
    <tableColumn id="22" name="method_or_structure"/>
    <tableColumn id="23" name="source_document_id"/>
    <tableColumn id="24" name="source_record_id"/>
    <tableColumn id="25" name="input_alias_or_oxidation_notation"/>
    <tableColumn id="26" name="resolution_type"/>
    <tableColumn id="27" name="resolution_status"/>
    <tableColumn id="28" name="resolution_detail"/>
    <tableColumn id="29" name="exception_applicable"/>
    <tableColumn id="30" name="exception_type"/>
    <tableColumn id="31" name="exception_document_id"/>
    <tableColumn id="32" name="exception_author"/>
    <tableColumn id="33" name="exception_date"/>
    <tableColumn id="34" name="exception_scope"/>
    <tableColumn id="35" name="overridden_clause_or_limit"/>
    <tableColumn id="36" name="exception_value"/>
    <tableColumn id="37" name="exception_unit"/>
    <tableColumn id="38" name="source_path"/>
    <tableColumn id="39" name="detail_sheet"/>
    <tableColumn id="40" name="detail_row"/>
    <tableColumn id="41" name="inclusion_reason"/>
    <tableColumn id="42" name="notes"/>
    <tableColumn id="43" name="payload_oxygen_ppm"/>
    <tableColumn id="44" name="payload_sulfur_ppm"/>
    <tableColumn id="45" name="payload_lead_ppm"/>
    <tableColumn id="46" name="payload_bismuth_ppm"/>
    <tableColumn id="47" name="payload_iron_ppm"/>
    <tableColumn id="48" name="payload_nickel_ppm"/>
    <tableColumn id="49" name="payload_length_mm"/>
    <tableColumn id="50" name="payload_width_um"/>
    <tableColumn id="51" name="payload_thickness_um"/>
    <tableColumn id="52" name="payload_sample_count"/>
  </tableColumns>
</table>
</file>

<file path=xl/tables/table7.xml><?xml version="1.0" encoding="utf-8"?>
<table xmlns="http://schemas.openxmlformats.org/spreadsheetml/2006/main" id="7" name="TFindings" displayName="TFindings" ref="A3:M9" headerRowCount="1" totalsRowCount="0" totalsRowShown="0">
  <autoFilter ref="A3:M9"/>
  <tableColumns count="13">
    <tableColumn id="1" name="finding_id"/>
    <tableColumn id="2" name="lot_id"/>
    <tableColumn id="3" name="material_id"/>
    <tableColumn id="4" name="finding_class"/>
    <tableColumn id="5" name="finding"/>
    <tableColumn id="6" name="measured_or_calculated"/>
    <tableColumn id="7" name="governing_value"/>
    <tableColumn id="8" name="margin"/>
    <tableColumn id="9" name="status"/>
    <tableColumn id="10" name="condition_or_scope"/>
    <tableColumn id="11" name="record_id"/>
    <tableColumn id="12" name="input_anchor"/>
    <tableColumn id="13" name="source_anchor"/>
  </tableColumns>
</table>
</file>

<file path=xl/tables/table8.xml><?xml version="1.0" encoding="utf-8"?>
<table xmlns="http://schemas.openxmlformats.org/spreadsheetml/2006/main" id="8" name="TFormulaAudit" displayName="TFormulaAudit" ref="A23:D28" headerRowCount="1" totalsRowCount="0" totalsRowShown="0">
  <autoFilter ref="A23:D28"/>
  <tableColumns count="4">
    <tableColumn id="1" name="calculation"/>
    <tableColumn id="2" name="formula_cell"/>
    <tableColumn id="3" name="current_result"/>
    <tableColumn id="4" name="visible_formula"/>
  </tableColumns>
</table>
</file>

<file path=xl/tables/table9.xml><?xml version="1.0" encoding="utf-8"?>
<table xmlns="http://schemas.openxmlformats.org/spreadsheetml/2006/main" id="9" name="TLimitInputs" displayName="TLimitInputs" ref="A80:K102" headerRowCount="1" totalsRowCount="0" totalsRowShown="0">
  <autoFilter ref="A80:K102"/>
  <tableColumns count="11">
    <tableColumn id="1" name="limit_input_id"/>
    <tableColumn id="2" name="document_id"/>
    <tableColumn id="3" name="revision"/>
    <tableColumn id="4" name="effective_date"/>
    <tableColumn id="5" name="author"/>
    <tableColumn id="6" name="source_kind"/>
    <tableColumn id="7" name="applicability"/>
    <tableColumn id="8" name="impurity"/>
    <tableColumn id="9" name="limit_value"/>
    <tableColumn id="10" name="unit"/>
    <tableColumn id="11" name="source_anchor"/>
  </tableColumns>
</table>
</file>

<file path=xl/tables/table10.xml><?xml version="1.0" encoding="utf-8"?>
<table xmlns="http://schemas.openxmlformats.org/spreadsheetml/2006/main" id="10" name="TLotRiskSummary" displayName="TLotRiskSummary" ref="A14:H19" headerRowCount="1" totalsRowCount="0" totalsRowShown="0">
  <autoFilter ref="A14:H19"/>
  <tableColumns count="8">
    <tableColumn id="1" name="lot_id"/>
    <tableColumn id="2" name="material_id"/>
    <tableColumn id="3" name="risk_score"/>
    <tableColumn id="4" name="risk_status"/>
    <tableColumn id="5" name="chemical_flag"/>
    <tableColumn id="6" name="electrical_flag"/>
    <tableColumn id="7" name="margin_flag"/>
    <tableColumn id="8" name="exception_flag"/>
  </tableColumns>
</table>
</file>

<file path=xl/tables/table11.xml><?xml version="1.0" encoding="utf-8"?>
<table xmlns="http://schemas.openxmlformats.org/spreadsheetml/2006/main" id="11" name="TPropertyComparisons" displayName="TPropertyComparisons" ref="A14:J16" headerRowCount="1" totalsRowCount="0" totalsRowShown="0">
  <autoFilter ref="A14:J16"/>
  <tableColumns count="10">
    <tableColumn id="1" name="comparison_id"/>
    <tableColumn id="2" name="property"/>
    <tableColumn id="3" name="material_A"/>
    <tableColumn id="4" name="value_A"/>
    <tableColumn id="5" name="material_B"/>
    <tableColumn id="6" name="value_B"/>
    <tableColumn id="7" name="unit"/>
    <tableColumn id="8" name="difference_B_minus_A"/>
    <tableColumn id="9" name="percent_difference"/>
    <tableColumn id="10" name="condition_basis"/>
  </tableColumns>
</table>
</file>

<file path=xl/tables/table12.xml><?xml version="1.0" encoding="utf-8"?>
<table xmlns="http://schemas.openxmlformats.org/spreadsheetml/2006/main" id="12" name="TProtocolInputs" displayName="TProtocolInputs" ref="A106:I110" headerRowCount="1" totalsRowCount="0" totalsRowShown="0">
  <autoFilter ref="A106:I110"/>
  <tableColumns count="9">
    <tableColumn id="1" name="protocol_input_id"/>
    <tableColumn id="2" name="document_id"/>
    <tableColumn id="3" name="revision"/>
    <tableColumn id="4" name="property_class"/>
    <tableColumn id="5" name="temperature_requirement"/>
    <tableColumn id="6" name="pressure_requirement"/>
    <tableColumn id="7" name="strain_rate_requirement"/>
    <tableColumn id="8" name="allowed_method_or_note"/>
    <tableColumn id="9" name="source_anchor"/>
  </tableColumns>
</table>
</file>

<file path=xl/tables/table13.xml><?xml version="1.0" encoding="utf-8"?>
<table xmlns="http://schemas.openxmlformats.org/spreadsheetml/2006/main" id="13" name="TResistanceCalc" displayName="TResistanceCalc" ref="A20:N21" headerRowCount="1" totalsRowCount="0" totalsRowShown="0">
  <autoFilter ref="A20:N21"/>
  <tableColumns count="14">
    <tableColumn id="1" name="calc_id"/>
    <tableColumn id="2" name="resistivity_uohm_cm"/>
    <tableColumn id="3" name="length_mm"/>
    <tableColumn id="4" name="width_um"/>
    <tableColumn id="5" name="average_thickness_um"/>
    <tableColumn id="6" name="reference_temp_C"/>
    <tableColumn id="7" name="service_temp_C"/>
    <tableColumn id="8" name="alpha_per_C"/>
    <tableColumn id="9" name="R20_mOhm"/>
    <tableColumn id="10" name="Rservice_mOhm"/>
    <tableColumn id="11" name="limit_mOhm"/>
    <tableColumn id="12" name="margin_mOhm"/>
    <tableColumn id="13" name="selected_property_source"/>
    <tableColumn id="14" name="visible_formula_logic"/>
  </tableColumns>
</table>
</file>

<file path=xl/tables/table14.xml><?xml version="1.0" encoding="utf-8"?>
<table xmlns="http://schemas.openxmlformats.org/spreadsheetml/2006/main" id="14" name="TRiskScores" displayName="TRiskScores" ref="A70:Q75" headerRowCount="1" totalsRowCount="0" totalsRowShown="0">
  <autoFilter ref="A70:Q75"/>
  <tableColumns count="17">
    <tableColumn id="1" name="lot_id"/>
    <tableColumn id="2" name="material_id"/>
    <tableColumn id="3" name="chemical_violation_flag"/>
    <tableColumn id="4" name="electrical_violation_flag"/>
    <tableColumn id="5" name="resistance_margin_under_10_flag"/>
    <tableColumn id="6" name="documented_exception_flag"/>
    <tableColumn id="7" name="literature_only_used_flag"/>
    <tableColumn id="8" name="catalog_quality_flag"/>
    <tableColumn id="9" name="chemical_points"/>
    <tableColumn id="10" name="electrical_points"/>
    <tableColumn id="11" name="margin_points"/>
    <tableColumn id="12" name="exception_points"/>
    <tableColumn id="13" name="literature_points"/>
    <tableColumn id="14" name="catalog_points"/>
    <tableColumn id="15" name="total_risk_score"/>
    <tableColumn id="16" name="risk_status"/>
    <tableColumn id="17" name="visible_formula_logic"/>
  </tableColumns>
</table>
</file>

<file path=xl/tables/table15.xml><?xml version="1.0" encoding="utf-8"?>
<table xmlns="http://schemas.openxmlformats.org/spreadsheetml/2006/main" id="15" name="TScenarios" displayName="TScenarios" ref="A3:AB7" headerRowCount="1" totalsRowCount="0" totalsRowShown="0">
  <autoFilter ref="A3:AB7"/>
  <tableColumns count="28">
    <tableColumn id="1" name="scenario_id"/>
    <tableColumn id="2" name="scenario_name"/>
    <tableColumn id="3" name="service_temp_C"/>
    <tableColumn id="4" name="PCN_thickness_applies"/>
    <tableColumn id="5" name="waiver_B_oxygen_applies"/>
    <tableColumn id="6" name="D_Rservice_mOhm"/>
    <tableColumn id="7" name="D_resistance_limit_mOhm"/>
    <tableColumn id="8" name="D_resistance_result"/>
    <tableColumn id="9" name="D_thickness_limit_um"/>
    <tableColumn id="10" name="D_thickness_result"/>
    <tableColumn id="11" name="B_oxygen_limit_ppm"/>
    <tableColumn id="12" name="B_oxygen_result"/>
    <tableColumn id="13" name="scenario_note"/>
    <tableColumn id="14" name="D_chemical_violation_flag"/>
    <tableColumn id="15" name="D_electrical_violation_flag"/>
    <tableColumn id="16" name="D_margin_under10_flag"/>
    <tableColumn id="17" name="D_exception_flag"/>
    <tableColumn id="18" name="D_risk_score"/>
    <tableColumn id="19" name="D_risk_status"/>
    <tableColumn id="20" name="B_chemical_violation_flag"/>
    <tableColumn id="21" name="B_exception_flag"/>
    <tableColumn id="22" name="B_catalog_flag"/>
    <tableColumn id="23" name="B_risk_score"/>
    <tableColumn id="24" name="B_risk_status"/>
    <tableColumn id="25" name="D_score_delta_vs_current"/>
    <tableColumn id="26" name="B_score_delta_vs_current"/>
    <tableColumn id="27" name="visible_formula_logic"/>
    <tableColumn id="28" name="scenario_chec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../app/output/source_register.xlsx" TargetMode="External"/><Relationship Id="rId2" Type="http://schemas.openxmlformats.org/officeDocument/2006/relationships/hyperlink" Target="../../app/data/data/catalog/aflow_conductor_slice.csv" TargetMode="External"/><Relationship Id="rId3" Type="http://schemas.openxmlformats.org/officeDocument/2006/relationships/hyperlink" Target="../../app/output/source_register.xlsx" TargetMode="External"/><Relationship Id="rId4" Type="http://schemas.openxmlformats.org/officeDocument/2006/relationships/hyperlink" Target="https://aflowlib.duke.edu/AFLOWDATA/LIB3_WEB/AgAlCu_pv/TBCC001.ABC" TargetMode="External"/><Relationship Id="rId5" Type="http://schemas.openxmlformats.org/officeDocument/2006/relationships/hyperlink" Target="../../app/output/source_register.xlsx" TargetMode="External"/><Relationship Id="rId6" Type="http://schemas.openxmlformats.org/officeDocument/2006/relationships/hyperlink" Target="../../app/data/data/catalog/aflow_conductor_slice.csv" TargetMode="External"/><Relationship Id="rId7" Type="http://schemas.openxmlformats.org/officeDocument/2006/relationships/hyperlink" Target="../../app/output/source_register.xlsx" TargetMode="External"/><Relationship Id="rId8" Type="http://schemas.openxmlformats.org/officeDocument/2006/relationships/hyperlink" Target="https://aflowlib.duke.edu/AFLOWDATA/LIB3_WEB/AgAlCu_pv/TBCC003.ABC" TargetMode="External"/><Relationship Id="rId9" Type="http://schemas.openxmlformats.org/officeDocument/2006/relationships/hyperlink" Target="../../app/output/source_register.xlsx" TargetMode="External"/><Relationship Id="rId10" Type="http://schemas.openxmlformats.org/officeDocument/2006/relationships/hyperlink" Target="../../app/data/data/catalog/aflow_conductor_slice.csv" TargetMode="External"/><Relationship Id="rId11" Type="http://schemas.openxmlformats.org/officeDocument/2006/relationships/hyperlink" Target="../../app/output/source_register.xlsx" TargetMode="External"/><Relationship Id="rId12" Type="http://schemas.openxmlformats.org/officeDocument/2006/relationships/hyperlink" Target="https://aflowlib.duke.edu/AFLOWDATA/LIB3_WEB/AgAlCu_pv/TFCC003.ABC" TargetMode="External"/><Relationship Id="rId13" Type="http://schemas.openxmlformats.org/officeDocument/2006/relationships/hyperlink" Target="../../app/output/source_register.xlsx" TargetMode="External"/><Relationship Id="rId14" Type="http://schemas.openxmlformats.org/officeDocument/2006/relationships/hyperlink" Target="../../app/data/data/catalog/aflow_conductor_slice.csv" TargetMode="External"/><Relationship Id="rId15" Type="http://schemas.openxmlformats.org/officeDocument/2006/relationships/hyperlink" Target="../../app/output/source_register.xlsx" TargetMode="External"/><Relationship Id="rId16" Type="http://schemas.openxmlformats.org/officeDocument/2006/relationships/hyperlink" Target="https://aflowlib.duke.edu/AFLOWDATA/LIB3_WEB/AgAlCu_pv/TFCC002.ABC" TargetMode="External"/><Relationship Id="rId17" Type="http://schemas.openxmlformats.org/officeDocument/2006/relationships/hyperlink" Target="../../app/output/source_register.xlsx" TargetMode="External"/><Relationship Id="rId18" Type="http://schemas.openxmlformats.org/officeDocument/2006/relationships/hyperlink" Target="../../app/data/data/catalog/aflow_conductor_slice.csv" TargetMode="External"/><Relationship Id="rId19" Type="http://schemas.openxmlformats.org/officeDocument/2006/relationships/hyperlink" Target="../../app/output/source_register.xlsx" TargetMode="External"/><Relationship Id="rId20" Type="http://schemas.openxmlformats.org/officeDocument/2006/relationships/hyperlink" Target="https://aflowlib.duke.edu/AFLOWDATA/LIB3_WEB/AgAlCu_pv/TBCC011.CAB" TargetMode="External"/><Relationship Id="rId21" Type="http://schemas.openxmlformats.org/officeDocument/2006/relationships/hyperlink" Target="../../app/output/source_register.xlsx" TargetMode="External"/><Relationship Id="rId22" Type="http://schemas.openxmlformats.org/officeDocument/2006/relationships/hyperlink" Target="../../app/data/data/catalog/aflow_conductor_slice.csv" TargetMode="External"/><Relationship Id="rId23" Type="http://schemas.openxmlformats.org/officeDocument/2006/relationships/hyperlink" Target="../../app/output/source_register.xlsx" TargetMode="External"/><Relationship Id="rId24" Type="http://schemas.openxmlformats.org/officeDocument/2006/relationships/hyperlink" Target="https://aflowlib.duke.edu/AFLOWDATA/LIB3_WEB/AgAlCu_pv/TFCC010.CAB" TargetMode="External"/><Relationship Id="rId25" Type="http://schemas.openxmlformats.org/officeDocument/2006/relationships/hyperlink" Target="../../app/output/source_register.xlsx" TargetMode="External"/><Relationship Id="rId26" Type="http://schemas.openxmlformats.org/officeDocument/2006/relationships/hyperlink" Target="../../app/data/data/catalog/aflow_conductor_slice.csv" TargetMode="External"/><Relationship Id="rId27" Type="http://schemas.openxmlformats.org/officeDocument/2006/relationships/hyperlink" Target="../../app/output/source_register.xlsx" TargetMode="External"/><Relationship Id="rId28" Type="http://schemas.openxmlformats.org/officeDocument/2006/relationships/hyperlink" Target="https://aflowlib.duke.edu/AFLOWDATA/LIB3_WEB/AgAlCu_pv/TFCC012.CAB" TargetMode="External"/><Relationship Id="rId29" Type="http://schemas.openxmlformats.org/officeDocument/2006/relationships/hyperlink" Target="../../app/output/source_register.xlsx" TargetMode="External"/><Relationship Id="rId30" Type="http://schemas.openxmlformats.org/officeDocument/2006/relationships/hyperlink" Target="../../app/data/data/catalog/aflow_conductor_slice.csv" TargetMode="External"/><Relationship Id="rId31" Type="http://schemas.openxmlformats.org/officeDocument/2006/relationships/hyperlink" Target="../../app/output/source_register.xlsx" TargetMode="External"/><Relationship Id="rId32" Type="http://schemas.openxmlformats.org/officeDocument/2006/relationships/hyperlink" Target="https://aflowlib.duke.edu/AFLOWDATA/LIB3_WEB/AgAlCu_pv/TFCC005.BCA" TargetMode="External"/><Relationship Id="rId33" Type="http://schemas.openxmlformats.org/officeDocument/2006/relationships/hyperlink" Target="../../app/output/source_register.xlsx" TargetMode="External"/><Relationship Id="rId34" Type="http://schemas.openxmlformats.org/officeDocument/2006/relationships/hyperlink" Target="../../app/data/data/catalog/aflow_conductor_slice.csv" TargetMode="External"/><Relationship Id="rId35" Type="http://schemas.openxmlformats.org/officeDocument/2006/relationships/hyperlink" Target="../../app/output/source_register.xlsx" TargetMode="External"/><Relationship Id="rId36" Type="http://schemas.openxmlformats.org/officeDocument/2006/relationships/hyperlink" Target="../../app/output/source_register.xlsx" TargetMode="External"/><Relationship Id="rId37" Type="http://schemas.openxmlformats.org/officeDocument/2006/relationships/hyperlink" Target="../../app/data/data/catalog/nist_copper_records.csv" TargetMode="External"/><Relationship Id="rId38" Type="http://schemas.openxmlformats.org/officeDocument/2006/relationships/hyperlink" Target="../../app/output/source_register.xlsx" TargetMode="External"/><Relationship Id="rId39" Type="http://schemas.openxmlformats.org/officeDocument/2006/relationships/hyperlink" Target="https://doi.org/10.18434/T4KP8J" TargetMode="External"/><Relationship Id="rId40" Type="http://schemas.openxmlformats.org/officeDocument/2006/relationships/hyperlink" Target="../../app/output/source_register.xlsx" TargetMode="External"/><Relationship Id="rId41" Type="http://schemas.openxmlformats.org/officeDocument/2006/relationships/hyperlink" Target="../../app/data/data/catalog/nist_copper_records.csv" TargetMode="External"/><Relationship Id="rId42" Type="http://schemas.openxmlformats.org/officeDocument/2006/relationships/hyperlink" Target="../../app/output/source_register.xlsx" TargetMode="External"/><Relationship Id="rId43" Type="http://schemas.openxmlformats.org/officeDocument/2006/relationships/hyperlink" Target="https://data.nist.gov/od/id/ark:/88434/mds012mz82" TargetMode="External"/><Relationship Id="rId44" Type="http://schemas.openxmlformats.org/officeDocument/2006/relationships/hyperlink" Target="../../app/output/source_register.xlsx" TargetMode="External"/><Relationship Id="rId45" Type="http://schemas.openxmlformats.org/officeDocument/2006/relationships/hyperlink" Target="../../app/data/data/catalog/nist_copper_records.csv" TargetMode="External"/><Relationship Id="rId46" Type="http://schemas.openxmlformats.org/officeDocument/2006/relationships/hyperlink" Target="../../app/output/source_register.xlsx" TargetMode="External"/><Relationship Id="rId47" Type="http://schemas.openxmlformats.org/officeDocument/2006/relationships/hyperlink" Target="https://doi.org/10.18434/mds2-2940" TargetMode="External"/><Relationship Id="rId48" Type="http://schemas.openxmlformats.org/officeDocument/2006/relationships/hyperlink" Target="../../app/output/source_register.xlsx" TargetMode="External"/><Relationship Id="rId49" Type="http://schemas.openxmlformats.org/officeDocument/2006/relationships/hyperlink" Target="../../app/data/data/catalog/nist_copper_records.csv" TargetMode="External"/><Relationship Id="rId50" Type="http://schemas.openxmlformats.org/officeDocument/2006/relationships/hyperlink" Target="../../app/output/source_register.xlsx" TargetMode="External"/><Relationship Id="rId51" Type="http://schemas.openxmlformats.org/officeDocument/2006/relationships/hyperlink" Target="https://doi.org/10.18434/mds2-4076" TargetMode="External"/><Relationship Id="rId52" Type="http://schemas.openxmlformats.org/officeDocument/2006/relationships/hyperlink" Target="../../app/output/source_register.xlsx" TargetMode="External"/><Relationship Id="rId53" Type="http://schemas.openxmlformats.org/officeDocument/2006/relationships/hyperlink" Target="../../app/data/data/catalog/cod_copper_summary.csv" TargetMode="External"/><Relationship Id="rId54" Type="http://schemas.openxmlformats.org/officeDocument/2006/relationships/hyperlink" Target="../../app/output/source_register.xlsx" TargetMode="External"/><Relationship Id="rId55" Type="http://schemas.openxmlformats.org/officeDocument/2006/relationships/hyperlink" Target="../../app/output/source_register.xlsx" TargetMode="External"/><Relationship Id="rId56" Type="http://schemas.openxmlformats.org/officeDocument/2006/relationships/hyperlink" Target="../../app/data/data/catalog/cod_copper_summary.csv" TargetMode="External"/><Relationship Id="rId57" Type="http://schemas.openxmlformats.org/officeDocument/2006/relationships/hyperlink" Target="../../app/output/source_register.xlsx" TargetMode="External"/><Relationship Id="rId58" Type="http://schemas.openxmlformats.org/officeDocument/2006/relationships/hyperlink" Target="../../app/output/source_register.xlsx" TargetMode="External"/><Relationship Id="rId59" Type="http://schemas.openxmlformats.org/officeDocument/2006/relationships/hyperlink" Target="../../app/data/data/catalog/cod_copper_summary.csv" TargetMode="External"/><Relationship Id="rId60" Type="http://schemas.openxmlformats.org/officeDocument/2006/relationships/hyperlink" Target="../../app/output/source_register.xlsx" TargetMode="External"/><Relationship Id="rId61" Type="http://schemas.openxmlformats.org/officeDocument/2006/relationships/hyperlink" Target="../../app/output/source_register.xlsx" TargetMode="External"/><Relationship Id="rId62" Type="http://schemas.openxmlformats.org/officeDocument/2006/relationships/hyperlink" Target="../../app/data/data/catalog/cod_copper_summary.csv" TargetMode="External"/><Relationship Id="rId63" Type="http://schemas.openxmlformats.org/officeDocument/2006/relationships/hyperlink" Target="../../app/output/source_register.xlsx" TargetMode="External"/><Relationship Id="rId64" Type="http://schemas.openxmlformats.org/officeDocument/2006/relationships/hyperlink" Target="../../app/output/source_register.xlsx" TargetMode="External"/><Relationship Id="rId65" Type="http://schemas.openxmlformats.org/officeDocument/2006/relationships/hyperlink" Target="../../app/data/data/catalog/oqmd_copper_targets.csv" TargetMode="External"/><Relationship Id="rId66" Type="http://schemas.openxmlformats.org/officeDocument/2006/relationships/hyperlink" Target="../../app/output/source_register.xlsx" TargetMode="External"/><Relationship Id="rId67" Type="http://schemas.openxmlformats.org/officeDocument/2006/relationships/hyperlink" Target="../../app/output/source_register.xlsx" TargetMode="External"/><Relationship Id="rId68" Type="http://schemas.openxmlformats.org/officeDocument/2006/relationships/hyperlink" Target="../../app/data/data/catalog/oqmd_copper_targets.csv" TargetMode="External"/><Relationship Id="rId69" Type="http://schemas.openxmlformats.org/officeDocument/2006/relationships/hyperlink" Target="../../app/output/source_register.xlsx" TargetMode="External"/><Relationship Id="rId70" Type="http://schemas.openxmlformats.org/officeDocument/2006/relationships/hyperlink" Target="../../app/output/source_register.xlsx" TargetMode="External"/><Relationship Id="rId71" Type="http://schemas.openxmlformats.org/officeDocument/2006/relationships/hyperlink" Target="../../app/data/data/catalog/oqmd_copper_targets.csv" TargetMode="External"/><Relationship Id="rId72" Type="http://schemas.openxmlformats.org/officeDocument/2006/relationships/hyperlink" Target="../../app/output/source_register.xlsx" TargetMode="External"/><Relationship Id="rId73" Type="http://schemas.openxmlformats.org/officeDocument/2006/relationships/hyperlink" Target="../../app/output/source_register.xlsx" TargetMode="External"/><Relationship Id="rId74" Type="http://schemas.openxmlformats.org/officeDocument/2006/relationships/hyperlink" Target="../../app/data/data/catalog/oqmd_copper_targets.csv" TargetMode="External"/><Relationship Id="rId75" Type="http://schemas.openxmlformats.org/officeDocument/2006/relationships/hyperlink" Target="../../app/output/source_register.xlsx" TargetMode="External"/><Relationship Id="rId76" Type="http://schemas.openxmlformats.org/officeDocument/2006/relationships/hyperlink" Target="../../app/output/source_register.xlsx" TargetMode="External"/><Relationship Id="rId77" Type="http://schemas.openxmlformats.org/officeDocument/2006/relationships/hyperlink" Target="../../app/data/data/catalog/oqmd_copper_targets.csv" TargetMode="External"/><Relationship Id="rId78" Type="http://schemas.openxmlformats.org/officeDocument/2006/relationships/hyperlink" Target="../../app/output/source_register.xlsx" TargetMode="External"/><Relationship Id="rId79" Type="http://schemas.openxmlformats.org/officeDocument/2006/relationships/hyperlink" Target="../../app/output/source_register.xlsx" TargetMode="External"/><Relationship Id="rId80" Type="http://schemas.openxmlformats.org/officeDocument/2006/relationships/hyperlink" Target="../../app/data/data/catalog/oqmd_copper_targets.csv" TargetMode="External"/><Relationship Id="rId81" Type="http://schemas.openxmlformats.org/officeDocument/2006/relationships/hyperlink" Target="../../app/output/source_register.xlsx" TargetMode="External"/><Relationship Id="rId82" Type="http://schemas.openxmlformats.org/officeDocument/2006/relationships/hyperlink" Target="../../app/output/source_register.xlsx" TargetMode="External"/><Relationship Id="rId83" Type="http://schemas.openxmlformats.org/officeDocument/2006/relationships/hyperlink" Target="../../app/data/data/catalog/oqmd_copper_targets.csv" TargetMode="External"/><Relationship Id="rId84" Type="http://schemas.openxmlformats.org/officeDocument/2006/relationships/hyperlink" Target="../../app/output/source_register.xlsx" TargetMode="External"/><Relationship Id="rId85" Type="http://schemas.openxmlformats.org/officeDocument/2006/relationships/hyperlink" Target="../../app/output/source_register.xlsx" TargetMode="External"/><Relationship Id="rId86" Type="http://schemas.openxmlformats.org/officeDocument/2006/relationships/hyperlink" Target="../../app/data/data/literature/property_pull.csv" TargetMode="External"/><Relationship Id="rId87" Type="http://schemas.openxmlformats.org/officeDocument/2006/relationships/hyperlink" Target="../../app/output/source_register.xlsx" TargetMode="External"/><Relationship Id="rId88" Type="http://schemas.openxmlformats.org/officeDocument/2006/relationships/hyperlink" Target="https://doi.org/10.1007/BF01174717" TargetMode="External"/><Relationship Id="rId89" Type="http://schemas.openxmlformats.org/officeDocument/2006/relationships/hyperlink" Target="../../app/output/source_register.xlsx" TargetMode="External"/><Relationship Id="rId90" Type="http://schemas.openxmlformats.org/officeDocument/2006/relationships/hyperlink" Target="../../app/data/data/literature/property_pull.csv" TargetMode="External"/><Relationship Id="rId91" Type="http://schemas.openxmlformats.org/officeDocument/2006/relationships/hyperlink" Target="../../app/output/source_register.xlsx" TargetMode="External"/><Relationship Id="rId92" Type="http://schemas.openxmlformats.org/officeDocument/2006/relationships/hyperlink" Target="https://doi.org/10.18434/mds2-4076" TargetMode="External"/><Relationship Id="rId93" Type="http://schemas.openxmlformats.org/officeDocument/2006/relationships/hyperlink" Target="../../app/output/source_register.xlsx" TargetMode="External"/><Relationship Id="rId94" Type="http://schemas.openxmlformats.org/officeDocument/2006/relationships/hyperlink" Target="../../app/data/data/literature/property_pull.csv" TargetMode="External"/><Relationship Id="rId95" Type="http://schemas.openxmlformats.org/officeDocument/2006/relationships/hyperlink" Target="../../app/output/source_register.xlsx" TargetMode="External"/><Relationship Id="rId96" Type="http://schemas.openxmlformats.org/officeDocument/2006/relationships/hyperlink" Target="https://doi.org/10.1063/1.1728392" TargetMode="External"/><Relationship Id="rId97" Type="http://schemas.openxmlformats.org/officeDocument/2006/relationships/hyperlink" Target="../../app/output/source_register.xlsx" TargetMode="External"/><Relationship Id="rId98" Type="http://schemas.openxmlformats.org/officeDocument/2006/relationships/hyperlink" Target="../../app/data/data/literature/property_pull.csv" TargetMode="External"/><Relationship Id="rId99" Type="http://schemas.openxmlformats.org/officeDocument/2006/relationships/hyperlink" Target="../../app/output/source_register.xlsx" TargetMode="External"/><Relationship Id="rId100" Type="http://schemas.openxmlformats.org/officeDocument/2006/relationships/hyperlink" Target="https://doi.org/10.1109/ECTC.2026.cu-hb" TargetMode="External"/><Relationship Id="rId101" Type="http://schemas.openxmlformats.org/officeDocument/2006/relationships/hyperlink" Target="../../app/output/source_register.xlsx" TargetMode="External"/><Relationship Id="rId102" Type="http://schemas.openxmlformats.org/officeDocument/2006/relationships/hyperlink" Target="../../app/data/data/literature/property_pull.csv" TargetMode="External"/><Relationship Id="rId103" Type="http://schemas.openxmlformats.org/officeDocument/2006/relationships/hyperlink" Target="../../app/output/source_register.xlsx" TargetMode="External"/><Relationship Id="rId104" Type="http://schemas.openxmlformats.org/officeDocument/2006/relationships/hyperlink" Target="https://pubchem.ncbi.nlm.nih.gov/compound/24462" TargetMode="External"/><Relationship Id="rId105" Type="http://schemas.openxmlformats.org/officeDocument/2006/relationships/hyperlink" Target="../../app/output/source_register.xlsx" TargetMode="External"/><Relationship Id="rId106" Type="http://schemas.openxmlformats.org/officeDocument/2006/relationships/hyperlink" Target="../../app/data/data/literature/property_pull.csv" TargetMode="External"/><Relationship Id="rId107" Type="http://schemas.openxmlformats.org/officeDocument/2006/relationships/hyperlink" Target="../../app/output/source_register.xlsx" TargetMode="External"/><Relationship Id="rId108" Type="http://schemas.openxmlformats.org/officeDocument/2006/relationships/hyperlink" Target="https://doi.org/10.18434/T4KP8J" TargetMode="External"/><Relationship Id="rId109" Type="http://schemas.openxmlformats.org/officeDocument/2006/relationships/hyperlink" Target="../../app/output/source_register.xlsx" TargetMode="External"/><Relationship Id="rId110" Type="http://schemas.openxmlformats.org/officeDocument/2006/relationships/hyperlink" Target="../../app/data/data/literature/property_pull.csv" TargetMode="External"/><Relationship Id="rId111" Type="http://schemas.openxmlformats.org/officeDocument/2006/relationships/hyperlink" Target="../../app/output/source_register.xlsx" TargetMode="External"/><Relationship Id="rId112" Type="http://schemas.openxmlformats.org/officeDocument/2006/relationships/hyperlink" Target="../../app/output/source_register.xlsx" TargetMode="External"/><Relationship Id="rId113" Type="http://schemas.openxmlformats.org/officeDocument/2006/relationships/hyperlink" Target="../../app/data/data/lab_reports/conductivity_panel_tests.csv" TargetMode="External"/><Relationship Id="rId114" Type="http://schemas.openxmlformats.org/officeDocument/2006/relationships/hyperlink" Target="../../app/output/source_register.xlsx" TargetMode="External"/><Relationship Id="rId115" Type="http://schemas.openxmlformats.org/officeDocument/2006/relationships/hyperlink" Target="../../app/output/source_register.xlsx" TargetMode="External"/><Relationship Id="rId116" Type="http://schemas.openxmlformats.org/officeDocument/2006/relationships/hyperlink" Target="../../app/data/data/lab_reports/conductivity_panel_tests.csv" TargetMode="External"/><Relationship Id="rId117" Type="http://schemas.openxmlformats.org/officeDocument/2006/relationships/hyperlink" Target="../../app/output/source_register.xlsx" TargetMode="External"/><Relationship Id="rId118" Type="http://schemas.openxmlformats.org/officeDocument/2006/relationships/hyperlink" Target="../../app/output/source_register.xlsx" TargetMode="External"/><Relationship Id="rId119" Type="http://schemas.openxmlformats.org/officeDocument/2006/relationships/hyperlink" Target="../../app/data/data/lab_reports/conductivity_panel_tests.csv" TargetMode="External"/><Relationship Id="rId120" Type="http://schemas.openxmlformats.org/officeDocument/2006/relationships/hyperlink" Target="../../app/output/source_register.xlsx" TargetMode="External"/><Relationship Id="rId121" Type="http://schemas.openxmlformats.org/officeDocument/2006/relationships/hyperlink" Target="../../app/output/source_register.xlsx" TargetMode="External"/><Relationship Id="rId122" Type="http://schemas.openxmlformats.org/officeDocument/2006/relationships/hyperlink" Target="../../app/data/data/lab_reports/conductivity_panel_tests.csv" TargetMode="External"/><Relationship Id="rId123" Type="http://schemas.openxmlformats.org/officeDocument/2006/relationships/hyperlink" Target="../../app/output/source_register.xlsx" TargetMode="External"/><Relationship Id="rId124" Type="http://schemas.openxmlformats.org/officeDocument/2006/relationships/hyperlink" Target="../../app/output/source_register.xlsx" TargetMode="External"/><Relationship Id="rId125" Type="http://schemas.openxmlformats.org/officeDocument/2006/relationships/hyperlink" Target="../../app/data/data/lab_reports/conductivity_panel_tests.csv" TargetMode="External"/><Relationship Id="rId126" Type="http://schemas.openxmlformats.org/officeDocument/2006/relationships/hyperlink" Target="../../app/output/source_register.xlsx" TargetMode="External"/><Relationship Id="rId127" Type="http://schemas.openxmlformats.org/officeDocument/2006/relationships/hyperlink" Target="../../app/output/source_register.xlsx" TargetMode="External"/><Relationship Id="rId128" Type="http://schemas.openxmlformats.org/officeDocument/2006/relationships/hyperlink" Target="../../app/data/data/lab_reports/conductivity_panel_tests.csv" TargetMode="External"/><Relationship Id="rId129" Type="http://schemas.openxmlformats.org/officeDocument/2006/relationships/hyperlink" Target="../../app/output/source_register.xlsx" TargetMode="External"/><Relationship Id="rId130" Type="http://schemas.openxmlformats.org/officeDocument/2006/relationships/hyperlink" Target="../../app/output/source_register.xlsx" TargetMode="External"/><Relationship Id="rId131" Type="http://schemas.openxmlformats.org/officeDocument/2006/relationships/hyperlink" Target="../../app/data/data/lab_reports/conductivity_panel_tests.csv" TargetMode="External"/><Relationship Id="rId132" Type="http://schemas.openxmlformats.org/officeDocument/2006/relationships/hyperlink" Target="../../app/output/source_register.xlsx" TargetMode="External"/><Relationship Id="rId133" Type="http://schemas.openxmlformats.org/officeDocument/2006/relationships/hyperlink" Target="../../app/output/source_register.xlsx" TargetMode="External"/><Relationship Id="rId134" Type="http://schemas.openxmlformats.org/officeDocument/2006/relationships/hyperlink" Target="../../app/data/data/lab_reports/conductivity_panel_tests.csv" TargetMode="External"/><Relationship Id="rId135" Type="http://schemas.openxmlformats.org/officeDocument/2006/relationships/hyperlink" Target="../../app/output/source_register.xlsx" TargetMode="External"/><Relationship Id="rId136" Type="http://schemas.openxmlformats.org/officeDocument/2006/relationships/hyperlink" Target="../../app/output/source_register.xlsx" TargetMode="External"/><Relationship Id="rId137" Type="http://schemas.openxmlformats.org/officeDocument/2006/relationships/hyperlink" Target="../../app/data/data/lab_reports/conductivity_panel_tests.csv" TargetMode="External"/><Relationship Id="rId138" Type="http://schemas.openxmlformats.org/officeDocument/2006/relationships/hyperlink" Target="../../app/output/source_register.xlsx" TargetMode="External"/><Relationship Id="rId139" Type="http://schemas.openxmlformats.org/officeDocument/2006/relationships/hyperlink" Target="../../app/output/source_register.xlsx" TargetMode="External"/><Relationship Id="rId140" Type="http://schemas.openxmlformats.org/officeDocument/2006/relationships/hyperlink" Target="../../app/data/data/lab_reports/conductivity_panel_tests.csv" TargetMode="External"/><Relationship Id="rId141" Type="http://schemas.openxmlformats.org/officeDocument/2006/relationships/hyperlink" Target="../../app/output/source_register.xlsx" TargetMode="External"/><Relationship Id="rId142" Type="http://schemas.openxmlformats.org/officeDocument/2006/relationships/hyperlink" Target="../../app/output/source_register.xlsx" TargetMode="External"/><Relationship Id="rId143" Type="http://schemas.openxmlformats.org/officeDocument/2006/relationships/hyperlink" Target="../../app/data/data/lab_reports/mechanical_property_runs.csv" TargetMode="External"/><Relationship Id="rId144" Type="http://schemas.openxmlformats.org/officeDocument/2006/relationships/hyperlink" Target="../../app/output/source_register.xlsx" TargetMode="External"/><Relationship Id="rId145" Type="http://schemas.openxmlformats.org/officeDocument/2006/relationships/hyperlink" Target="../../app/output/source_register.xlsx" TargetMode="External"/><Relationship Id="rId146" Type="http://schemas.openxmlformats.org/officeDocument/2006/relationships/hyperlink" Target="../../app/data/data/lab_reports/mechanical_property_runs.csv" TargetMode="External"/><Relationship Id="rId147" Type="http://schemas.openxmlformats.org/officeDocument/2006/relationships/hyperlink" Target="../../app/output/source_register.xlsx" TargetMode="External"/><Relationship Id="rId148" Type="http://schemas.openxmlformats.org/officeDocument/2006/relationships/hyperlink" Target="../../app/output/source_register.xlsx" TargetMode="External"/><Relationship Id="rId149" Type="http://schemas.openxmlformats.org/officeDocument/2006/relationships/hyperlink" Target="../../app/data/data/lab_reports/mechanical_property_runs.csv" TargetMode="External"/><Relationship Id="rId150" Type="http://schemas.openxmlformats.org/officeDocument/2006/relationships/hyperlink" Target="../../app/output/source_register.xlsx" TargetMode="External"/><Relationship Id="rId151" Type="http://schemas.openxmlformats.org/officeDocument/2006/relationships/hyperlink" Target="../../app/output/source_register.xlsx" TargetMode="External"/><Relationship Id="rId152" Type="http://schemas.openxmlformats.org/officeDocument/2006/relationships/hyperlink" Target="../../app/data/data/lab_reports/mechanical_property_runs.csv" TargetMode="External"/><Relationship Id="rId153" Type="http://schemas.openxmlformats.org/officeDocument/2006/relationships/hyperlink" Target="../../app/output/source_register.xlsx" TargetMode="External"/><Relationship Id="rId154" Type="http://schemas.openxmlformats.org/officeDocument/2006/relationships/hyperlink" Target="../../app/output/source_register.xlsx" TargetMode="External"/><Relationship Id="rId155" Type="http://schemas.openxmlformats.org/officeDocument/2006/relationships/hyperlink" Target="../../app/data/data/lab_reports/chemistry_assay.csv" TargetMode="External"/><Relationship Id="rId156" Type="http://schemas.openxmlformats.org/officeDocument/2006/relationships/hyperlink" Target="../../app/output/source_register.xlsx" TargetMode="External"/><Relationship Id="rId157" Type="http://schemas.openxmlformats.org/officeDocument/2006/relationships/hyperlink" Target="../../app/output/source_register.xlsx" TargetMode="External"/><Relationship Id="rId158" Type="http://schemas.openxmlformats.org/officeDocument/2006/relationships/hyperlink" Target="../../app/data/data/lab_reports/chemistry_assay.csv" TargetMode="External"/><Relationship Id="rId159" Type="http://schemas.openxmlformats.org/officeDocument/2006/relationships/hyperlink" Target="../../app/output/source_register.xlsx" TargetMode="External"/><Relationship Id="rId160" Type="http://schemas.openxmlformats.org/officeDocument/2006/relationships/hyperlink" Target="../../app/output/source_register.xlsx" TargetMode="External"/><Relationship Id="rId161" Type="http://schemas.openxmlformats.org/officeDocument/2006/relationships/hyperlink" Target="../../app/data/data/lab_reports/chemistry_assay.csv" TargetMode="External"/><Relationship Id="rId162" Type="http://schemas.openxmlformats.org/officeDocument/2006/relationships/hyperlink" Target="../../app/output/source_register.xlsx" TargetMode="External"/><Relationship Id="rId163" Type="http://schemas.openxmlformats.org/officeDocument/2006/relationships/hyperlink" Target="../../app/output/source_register.xlsx" TargetMode="External"/><Relationship Id="rId164" Type="http://schemas.openxmlformats.org/officeDocument/2006/relationships/hyperlink" Target="../../app/data/data/lab_reports/chemistry_assay.csv" TargetMode="External"/><Relationship Id="rId165" Type="http://schemas.openxmlformats.org/officeDocument/2006/relationships/hyperlink" Target="../../app/output/source_register.xlsx" TargetMode="External"/><Relationship Id="rId166" Type="http://schemas.openxmlformats.org/officeDocument/2006/relationships/hyperlink" Target="../../app/output/source_register.xlsx" TargetMode="External"/><Relationship Id="rId167" Type="http://schemas.openxmlformats.org/officeDocument/2006/relationships/hyperlink" Target="../../app/data/data/lab_reports/chemistry_assay.csv" TargetMode="External"/><Relationship Id="rId168" Type="http://schemas.openxmlformats.org/officeDocument/2006/relationships/hyperlink" Target="../../app/output/source_register.xlsx" TargetMode="External"/><Relationship Id="rId169" Type="http://schemas.openxmlformats.org/officeDocument/2006/relationships/hyperlink" Target="../../app/output/source_register.xlsx" TargetMode="External"/><Relationship Id="rId170" Type="http://schemas.openxmlformats.org/officeDocument/2006/relationships/hyperlink" Target="../../app/data/data/lab_reports/chemistry_assay.csv" TargetMode="External"/><Relationship Id="rId171" Type="http://schemas.openxmlformats.org/officeDocument/2006/relationships/hyperlink" Target="../../app/output/source_register.xlsx" TargetMode="External"/><Relationship Id="rId172" Type="http://schemas.openxmlformats.org/officeDocument/2006/relationships/hyperlink" Target="../../app/output/source_register.xlsx" TargetMode="External"/><Relationship Id="rId173" Type="http://schemas.openxmlformats.org/officeDocument/2006/relationships/hyperlink" Target="../../app/data/data/design/trace_geometry.csv" TargetMode="External"/><Relationship Id="rId174" Type="http://schemas.openxmlformats.org/officeDocument/2006/relationships/hyperlink" Target="../../app/output/source_register.xlsx" TargetMode="External"/><Relationship Id="rId175" Type="http://schemas.openxmlformats.org/officeDocument/2006/relationships/hyperlink" Target="../../app/output/source_register.xlsx" TargetMode="External"/><Relationship Id="rId176" Type="http://schemas.openxmlformats.org/officeDocument/2006/relationships/hyperlink" Target="../../app/data/data/design/trace_geometry.csv" TargetMode="External"/><Relationship Id="rId177" Type="http://schemas.openxmlformats.org/officeDocument/2006/relationships/hyperlink" Target="../../app/output/source_register.xlsx" TargetMode="External"/><Relationship Id="rId178" Type="http://schemas.openxmlformats.org/officeDocument/2006/relationships/hyperlink" Target="../../app/output/source_register.xlsx" TargetMode="External"/><Relationship Id="rId179" Type="http://schemas.openxmlformats.org/officeDocument/2006/relationships/hyperlink" Target="../../app/data/data/design/trace_geometry.csv" TargetMode="External"/><Relationship Id="rId180" Type="http://schemas.openxmlformats.org/officeDocument/2006/relationships/hyperlink" Target="../../app/output/source_register.xlsx" TargetMode="External"/><Relationship Id="rId181" Type="http://schemas.openxmlformats.org/officeDocument/2006/relationships/hyperlink" Target="../../app/output/source_register.xlsx" TargetMode="External"/><Relationship Id="rId182" Type="http://schemas.openxmlformats.org/officeDocument/2006/relationships/hyperlink" Target="../../app/data/data/design/trace_geometry.csv" TargetMode="External"/><Relationship Id="rId183" Type="http://schemas.openxmlformats.org/officeDocument/2006/relationships/hyperlink" Target="../../app/output/source_register.xlsx" TargetMode="External"/><Relationship Id="rId184" Type="http://schemas.openxmlformats.org/officeDocument/2006/relationships/hyperlink" Target="../../app/output/source_register.xlsx" TargetMode="External"/><Relationship Id="rId185" Type="http://schemas.openxmlformats.org/officeDocument/2006/relationships/hyperlink" Target="../../app/data/data/design/trace_geometry.csv" TargetMode="External"/><Relationship Id="rId186" Type="http://schemas.openxmlformats.org/officeDocument/2006/relationships/hyperlink" Target="../../app/output/source_register.xlsx" TargetMode="External"/><Relationship Id="rId187" Type="http://schemas.openxmlformats.org/officeDocument/2006/relationships/hyperlink" Target="../../app/output/source_register.xlsx" TargetMode="External"/><Relationship Id="rId188" Type="http://schemas.openxmlformats.org/officeDocument/2006/relationships/hyperlink" Target="../../app/data/config/qualification/material_aliases.json" TargetMode="External"/><Relationship Id="rId189" Type="http://schemas.openxmlformats.org/officeDocument/2006/relationships/hyperlink" Target="../../app/output/source_register.xlsx" TargetMode="External"/><Relationship Id="rId190" Type="http://schemas.openxmlformats.org/officeDocument/2006/relationships/hyperlink" Target="../../app/output/source_register.xlsx" TargetMode="External"/><Relationship Id="rId191" Type="http://schemas.openxmlformats.org/officeDocument/2006/relationships/hyperlink" Target="../../app/data/config/qualification/material_aliases.json" TargetMode="External"/><Relationship Id="rId192" Type="http://schemas.openxmlformats.org/officeDocument/2006/relationships/hyperlink" Target="../../app/output/source_register.xlsx" TargetMode="External"/><Relationship Id="rId193" Type="http://schemas.openxmlformats.org/officeDocument/2006/relationships/hyperlink" Target="../../app/output/source_register.xlsx" TargetMode="External"/><Relationship Id="rId194" Type="http://schemas.openxmlformats.org/officeDocument/2006/relationships/hyperlink" Target="../../app/data/config/qualification/material_aliases.json" TargetMode="External"/><Relationship Id="rId195" Type="http://schemas.openxmlformats.org/officeDocument/2006/relationships/hyperlink" Target="../../app/output/source_register.xlsx" TargetMode="External"/><Relationship Id="rId196" Type="http://schemas.openxmlformats.org/officeDocument/2006/relationships/hyperlink" Target="../../app/output/source_register.xlsx" TargetMode="External"/><Relationship Id="rId197" Type="http://schemas.openxmlformats.org/officeDocument/2006/relationships/hyperlink" Target="../../app/data/config/qualification/material_aliases.json" TargetMode="External"/><Relationship Id="rId198" Type="http://schemas.openxmlformats.org/officeDocument/2006/relationships/hyperlink" Target="../../app/output/source_register.xlsx" TargetMode="External"/><Relationship Id="rId199" Type="http://schemas.openxmlformats.org/officeDocument/2006/relationships/hyperlink" Target="../../app/output/source_register.xlsx" TargetMode="External"/><Relationship Id="rId200" Type="http://schemas.openxmlformats.org/officeDocument/2006/relationships/hyperlink" Target="../../app/data/config/qualification/material_aliases.json" TargetMode="External"/><Relationship Id="rId201" Type="http://schemas.openxmlformats.org/officeDocument/2006/relationships/hyperlink" Target="../../app/output/source_register.xlsx" TargetMode="External"/><Relationship Id="rId202" Type="http://schemas.openxmlformats.org/officeDocument/2006/relationships/hyperlink" Target="../../app/output/source_register.xlsx" TargetMode="External"/><Relationship Id="rId203" Type="http://schemas.openxmlformats.org/officeDocument/2006/relationships/hyperlink" Target="../../app/data/docs/supplier/copper_source_memo.docx" TargetMode="External"/><Relationship Id="rId204" Type="http://schemas.openxmlformats.org/officeDocument/2006/relationships/hyperlink" Target="../../app/output/source_register.xlsx" TargetMode="External"/><Relationship Id="rId205" Type="http://schemas.openxmlformats.org/officeDocument/2006/relationships/hyperlink" Target="../../app/output/source_register.xlsx" TargetMode="External"/><Relationship Id="rId206" Type="http://schemas.openxmlformats.org/officeDocument/2006/relationships/hyperlink" Target="../../app/data/docs/supplier/copper_source_memo.docx" TargetMode="External"/><Relationship Id="rId207" Type="http://schemas.openxmlformats.org/officeDocument/2006/relationships/hyperlink" Target="../../app/output/source_register.xlsx" TargetMode="External"/><Relationship Id="rId208" Type="http://schemas.openxmlformats.org/officeDocument/2006/relationships/hyperlink" Target="../../app/output/source_register.xlsx" TargetMode="External"/><Relationship Id="rId209" Type="http://schemas.openxmlformats.org/officeDocument/2006/relationships/hyperlink" Target="../../app/data/data/supplier/lot_release_register.xlsx" TargetMode="External"/><Relationship Id="rId210" Type="http://schemas.openxmlformats.org/officeDocument/2006/relationships/hyperlink" Target="../../app/output/source_register.xlsx" TargetMode="External"/><Relationship Id="rId211" Type="http://schemas.openxmlformats.org/officeDocument/2006/relationships/hyperlink" Target="../../app/output/source_register.xlsx" TargetMode="External"/><Relationship Id="rId212" Type="http://schemas.openxmlformats.org/officeDocument/2006/relationships/hyperlink" Target="../../app/data/data/supplier/lot_release_register.xlsx" TargetMode="External"/><Relationship Id="rId213" Type="http://schemas.openxmlformats.org/officeDocument/2006/relationships/hyperlink" Target="../../app/output/source_register.xlsx" TargetMode="External"/><Relationship Id="rId214" Type="http://schemas.openxmlformats.org/officeDocument/2006/relationships/hyperlink" Target="../../app/output/source_register.xlsx" TargetMode="External"/><Relationship Id="rId215" Type="http://schemas.openxmlformats.org/officeDocument/2006/relationships/hyperlink" Target="../../app/data/data/supplier/lot_release_register.xlsx" TargetMode="External"/><Relationship Id="rId216" Type="http://schemas.openxmlformats.org/officeDocument/2006/relationships/hyperlink" Target="../../app/output/source_register.xlsx" TargetMode="External"/><Relationship Id="rId217" Type="http://schemas.openxmlformats.org/officeDocument/2006/relationships/hyperlink" Target="../../app/output/source_register.xlsx" TargetMode="External"/><Relationship Id="rId218" Type="http://schemas.openxmlformats.org/officeDocument/2006/relationships/hyperlink" Target="../../app/data/data/supplier/lot_release_register.xlsx" TargetMode="External"/><Relationship Id="rId219" Type="http://schemas.openxmlformats.org/officeDocument/2006/relationships/hyperlink" Target="../../app/output/source_register.xlsx" TargetMode="External"/><Relationship Id="rId220" Type="http://schemas.openxmlformats.org/officeDocument/2006/relationships/hyperlink" Target="../../app/output/source_register.xlsx" TargetMode="External"/><Relationship Id="rId221" Type="http://schemas.openxmlformats.org/officeDocument/2006/relationships/hyperlink" Target="../../app/data/data/supplier/lot_release_register.xlsx" TargetMode="External"/><Relationship Id="rId222" Type="http://schemas.openxmlformats.org/officeDocument/2006/relationships/hyperlink" Target="../../app/output/source_register.xlsx" TargetMode="External"/><Relationship Id="rId223" Type="http://schemas.openxmlformats.org/officeDocument/2006/relationships/hyperlink" Target="../../app/output/source_register.xlsx" TargetMode="External"/><Relationship Id="rId224" Type="http://schemas.openxmlformats.org/officeDocument/2006/relationships/hyperlink" Target="../../app/data/data/supplier/lot_release_register.xlsx" TargetMode="External"/><Relationship Id="rId225" Type="http://schemas.openxmlformats.org/officeDocument/2006/relationships/hyperlink" Target="../../app/output/source_register.xlsx" TargetMode="External"/><Relationship Id="rId226" Type="http://schemas.openxmlformats.org/officeDocument/2006/relationships/hyperlink" Target="../../app/output/source_register.xlsx" TargetMode="External"/><Relationship Id="rId227" Type="http://schemas.openxmlformats.org/officeDocument/2006/relationships/hyperlink" Target="../../app/data/logs/plating/2026-07-08.log" TargetMode="External"/><Relationship Id="rId228" Type="http://schemas.openxmlformats.org/officeDocument/2006/relationships/hyperlink" Target="../../app/output/source_register.xlsx" TargetMode="External"/><Relationship Id="rId229" Type="http://schemas.openxmlformats.org/officeDocument/2006/relationships/hyperlink" Target="../../app/output/source_register.xlsx" TargetMode="External"/><Relationship Id="rId230" Type="http://schemas.openxmlformats.org/officeDocument/2006/relationships/hyperlink" Target="../../app/data/logs/plating/2026-07-08.log" TargetMode="External"/><Relationship Id="rId231" Type="http://schemas.openxmlformats.org/officeDocument/2006/relationships/hyperlink" Target="../../app/output/source_register.xlsx" TargetMode="External"/><Relationship Id="rId232" Type="http://schemas.openxmlformats.org/officeDocument/2006/relationships/hyperlink" Target="../../app/output/source_register.xlsx" TargetMode="External"/><Relationship Id="rId233" Type="http://schemas.openxmlformats.org/officeDocument/2006/relationships/hyperlink" Target="../../app/data/logs/plating/2026-07-08.log" TargetMode="External"/><Relationship Id="rId234" Type="http://schemas.openxmlformats.org/officeDocument/2006/relationships/hyperlink" Target="../../app/output/source_register.xlsx" TargetMode="External"/><Relationship Id="rId235" Type="http://schemas.openxmlformats.org/officeDocument/2006/relationships/hyperlink" Target="../../app/output/source_register.xlsx" TargetMode="External"/><Relationship Id="rId236" Type="http://schemas.openxmlformats.org/officeDocument/2006/relationships/hyperlink" Target="../../app/data/logs/plating/2026-07-08.log" TargetMode="External"/><Relationship Id="rId237" Type="http://schemas.openxmlformats.org/officeDocument/2006/relationships/hyperlink" Target="../../app/output/source_register.xlsx" TargetMode="External"/><Relationship Id="rId238" Type="http://schemas.openxmlformats.org/officeDocument/2006/relationships/hyperlink" Target="../../app/output/source_register.xlsx" TargetMode="External"/><Relationship Id="rId239" Type="http://schemas.openxmlformats.org/officeDocument/2006/relationships/hyperlink" Target="../../app/data/logs/plating/2026-07-08.log" TargetMode="External"/><Relationship Id="rId240" Type="http://schemas.openxmlformats.org/officeDocument/2006/relationships/hyperlink" Target="../../app/output/source_register.xlsx" TargetMode="External"/><Relationship Id="rId241" Type="http://schemas.openxmlformats.org/officeDocument/2006/relationships/hyperlink" Target="../../app/data/docs/standards/base_material_limits.docx" TargetMode="External"/><Relationship Id="rId242" Type="http://schemas.openxmlformats.org/officeDocument/2006/relationships/hyperlink" Target="../../app/data/docs/standards/base_material_limits.docx" TargetMode="External"/><Relationship Id="rId243" Type="http://schemas.openxmlformats.org/officeDocument/2006/relationships/hyperlink" Target="../../app/data/docs/standards/base_material_limits.docx" TargetMode="External"/><Relationship Id="rId244" Type="http://schemas.openxmlformats.org/officeDocument/2006/relationships/hyperlink" Target="../../app/data/docs/standards/base_material_limits.docx" TargetMode="External"/><Relationship Id="rId245" Type="http://schemas.openxmlformats.org/officeDocument/2006/relationships/hyperlink" Target="../../app/data/docs/standards/base_material_limits.docx" TargetMode="External"/><Relationship Id="rId246" Type="http://schemas.openxmlformats.org/officeDocument/2006/relationships/hyperlink" Target="../../app/data/docs/standards/base_material_limits.docx" TargetMode="External"/><Relationship Id="rId247" Type="http://schemas.openxmlformats.org/officeDocument/2006/relationships/hyperlink" Target="../../app/data/docs/standards/customer_addendum.docx" TargetMode="External"/><Relationship Id="rId248" Type="http://schemas.openxmlformats.org/officeDocument/2006/relationships/hyperlink" Target="../../app/data/docs/standards/customer_addendum.docx" TargetMode="External"/><Relationship Id="rId249" Type="http://schemas.openxmlformats.org/officeDocument/2006/relationships/hyperlink" Target="../../app/data/docs/standards/customer_addendum.docx" TargetMode="External"/><Relationship Id="rId250" Type="http://schemas.openxmlformats.org/officeDocument/2006/relationships/hyperlink" Target="../../app/data/docs/standards/plating_limits.docx" TargetMode="External"/><Relationship Id="rId251" Type="http://schemas.openxmlformats.org/officeDocument/2006/relationships/hyperlink" Target="../../app/data/docs/standards/plating_limits.docx" TargetMode="External"/><Relationship Id="rId252" Type="http://schemas.openxmlformats.org/officeDocument/2006/relationships/hyperlink" Target="../../app/data/docs/standards/plating_limits.docx" TargetMode="External"/><Relationship Id="rId253" Type="http://schemas.openxmlformats.org/officeDocument/2006/relationships/hyperlink" Target="../../app/data/docs/standards/plating_limits.docx" TargetMode="External"/><Relationship Id="rId254" Type="http://schemas.openxmlformats.org/officeDocument/2006/relationships/hyperlink" Target="../../app/data/docs/standards/plating_limits.docx" TargetMode="External"/><Relationship Id="rId255" Type="http://schemas.openxmlformats.org/officeDocument/2006/relationships/hyperlink" Target="../../app/data/docs/standards/plating_limits.docx" TargetMode="External"/><Relationship Id="rId256" Type="http://schemas.openxmlformats.org/officeDocument/2006/relationships/hyperlink" Target="../../app/data/docs/standards/wire_rod_limits.docx" TargetMode="External"/><Relationship Id="rId257" Type="http://schemas.openxmlformats.org/officeDocument/2006/relationships/hyperlink" Target="../../app/data/docs/standards/wire_rod_limits.docx" TargetMode="External"/><Relationship Id="rId258" Type="http://schemas.openxmlformats.org/officeDocument/2006/relationships/hyperlink" Target="../../app/data/docs/standards/wire_rod_limits.docx" TargetMode="External"/><Relationship Id="rId259" Type="http://schemas.openxmlformats.org/officeDocument/2006/relationships/hyperlink" Target="../../app/data/docs/standards/wire_rod_limits.docx" TargetMode="External"/><Relationship Id="rId260" Type="http://schemas.openxmlformats.org/officeDocument/2006/relationships/hyperlink" Target="../../app/data/docs/standards/wire_rod_limits.docx" TargetMode="External"/><Relationship Id="rId261" Type="http://schemas.openxmlformats.org/officeDocument/2006/relationships/hyperlink" Target="../../app/data/docs/standards/wire_rod_limits.docx" TargetMode="External"/><Relationship Id="rId262" Type="http://schemas.openxmlformats.org/officeDocument/2006/relationships/hyperlink" Target="../../app/data/eml/2026-07-06_panel_deviation_thread__nora-patel.eml" TargetMode="External"/><Relationship Id="rId263" Type="http://schemas.openxmlformats.org/officeDocument/2006/relationships/hyperlink" Target="../../app/data/docs/protocols/property_test_protocol.docx" TargetMode="External"/><Relationship Id="rId264" Type="http://schemas.openxmlformats.org/officeDocument/2006/relationships/hyperlink" Target="../../app/data/docs/protocols/property_test_protocol.docx" TargetMode="External"/><Relationship Id="rId265" Type="http://schemas.openxmlformats.org/officeDocument/2006/relationships/hyperlink" Target="../../app/data/docs/protocols/property_test_protocol.docx" TargetMode="External"/><Relationship Id="rId266" Type="http://schemas.openxmlformats.org/officeDocument/2006/relationships/hyperlink" Target="../../app/data/docs/protocols/property_test_protocol.docx" TargetMode="External"/><Relationship Id="rId267" Type="http://schemas.openxmlformats.org/officeDocument/2006/relationships/hyperlink" Target="../../app/data/docs/specs/conductor_control_plan_rev2.docx" TargetMode="External"/><Relationship Id="rId268" Type="http://schemas.openxmlformats.org/officeDocument/2006/relationships/hyperlink" Target="../../app/data/docs/specs/conductor_control_plan_rev2.docx" TargetMode="External"/><Relationship Id="rId269" Type="http://schemas.openxmlformats.org/officeDocument/2006/relationships/hyperlink" Target="../../app/data/docs/specs/conductor_control_plan_rev2.docx" TargetMode="External"/><Relationship Id="rId270" Type="http://schemas.openxmlformats.org/officeDocument/2006/relationships/hyperlink" Target="../../app/data/docs/specs/process_change_notice.docx" TargetMode="External"/><Relationship Id="rId271" Type="http://schemas.openxmlformats.org/officeDocument/2006/relationships/hyperlink" Target="../../app/data/config/qualification/service_factors.json" TargetMode="External"/><Relationship Id="rId272" Type="http://schemas.openxmlformats.org/officeDocument/2006/relationships/hyperlink" Target="../../app/data/config/qualification/service_factors.json" TargetMode="External"/><Relationship Id="rId273" Type="http://schemas.openxmlformats.org/officeDocument/2006/relationships/hyperlink" Target="../../app/data/eml/2026-07-02_window_alignment__hannah-lee.eml" TargetMode="External"/><Relationship Id="rId274" Type="http://schemas.openxmlformats.org/officeDocument/2006/relationships/hyperlink" Target="../../app/data/config/qualification/service_factors.json" TargetMode="External"/><Relationship Id="rId275" Type="http://schemas.openxmlformats.org/officeDocument/2006/relationships/hyperlink" Target="../../app/data/config/qualification/service_factors.json" TargetMode="External"/><Relationship Id="rId276" Type="http://schemas.openxmlformats.org/officeDocument/2006/relationships/hyperlink" Target="../../app/data/config/qualification/service_factors.json" TargetMode="External"/><Relationship Id="rId277" Type="http://schemas.openxmlformats.org/officeDocument/2006/relationships/hyperlink" Target="../../app/data/config/qualification/service_factors.json" TargetMode="External"/><Relationship Id="rId278" Type="http://schemas.openxmlformats.org/officeDocument/2006/relationships/hyperlink" Target="../../app/data/config/qualification/service_factors.json" TargetMode="External"/><Relationship Id="rId279" Type="http://schemas.openxmlformats.org/officeDocument/2006/relationships/hyperlink" Target="../../app/data/config/qualification/service_factors.json" TargetMode="External"/><Relationship Id="rId280" Type="http://schemas.openxmlformats.org/officeDocument/2006/relationships/hyperlink" Target="../../app/data/config/qualification/service_factors.json" TargetMode="External"/><Relationship Id="rId281" Type="http://schemas.openxmlformats.org/officeDocument/2006/relationships/hyperlink" Target="../../app/data/config/qualification/service_factors.json" TargetMode="External"/><Relationship Id="rId282" Type="http://schemas.openxmlformats.org/officeDocument/2006/relationships/table" Target="../tables/table5.xml"/><Relationship Id="rId283" Type="http://schemas.openxmlformats.org/officeDocument/2006/relationships/table" Target="../tables/table6.xml"/><Relationship Id="rId284" Type="http://schemas.openxmlformats.org/officeDocument/2006/relationships/table" Target="../tables/table9.xml"/><Relationship Id="rId285" Type="http://schemas.openxmlformats.org/officeDocument/2006/relationships/table" Target="../tables/table1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../app/output/technical_findings_matrix.xlsx" TargetMode="External"/><Relationship Id="rId2" Type="http://schemas.openxmlformats.org/officeDocument/2006/relationships/hyperlink" Target="../../app/data/data/lab_reports/conductivity_panel_tests.csv" TargetMode="External"/><Relationship Id="rId3" Type="http://schemas.openxmlformats.org/officeDocument/2006/relationships/hyperlink" Target="../../app/output/technical_findings_matrix.xlsx" TargetMode="External"/><Relationship Id="rId4" Type="http://schemas.openxmlformats.org/officeDocument/2006/relationships/hyperlink" Target="../../app/data/data/lab_reports/conductivity_panel_tests.csv" TargetMode="External"/><Relationship Id="rId5" Type="http://schemas.openxmlformats.org/officeDocument/2006/relationships/hyperlink" Target="../../app/output/technical_findings_matrix.xlsx" TargetMode="External"/><Relationship Id="rId6" Type="http://schemas.openxmlformats.org/officeDocument/2006/relationships/hyperlink" Target="../../app/data/data/lab_reports/conductivity_panel_tests.csv" TargetMode="External"/><Relationship Id="rId7" Type="http://schemas.openxmlformats.org/officeDocument/2006/relationships/hyperlink" Target="../../app/output/technical_findings_matrix.xlsx" TargetMode="External"/><Relationship Id="rId8" Type="http://schemas.openxmlformats.org/officeDocument/2006/relationships/hyperlink" Target="../../app/data/data/lab_reports/conductivity_panel_tests.csv" TargetMode="External"/><Relationship Id="rId9" Type="http://schemas.openxmlformats.org/officeDocument/2006/relationships/hyperlink" Target="../../app/output/technical_findings_matrix.xlsx" TargetMode="External"/><Relationship Id="rId10" Type="http://schemas.openxmlformats.org/officeDocument/2006/relationships/hyperlink" Target="../../app/data/data/lab_reports/mechanical_property_runs.csv" TargetMode="External"/><Relationship Id="rId11" Type="http://schemas.openxmlformats.org/officeDocument/2006/relationships/hyperlink" Target="../../app/output/technical_findings_matrix.xlsx" TargetMode="External"/><Relationship Id="rId12" Type="http://schemas.openxmlformats.org/officeDocument/2006/relationships/hyperlink" Target="../../app/data/data/lab_reports/mechanical_property_runs.csv" TargetMode="External"/><Relationship Id="rId13" Type="http://schemas.openxmlformats.org/officeDocument/2006/relationships/hyperlink" Target="../../app/output/technical_findings_matrix.xlsx" TargetMode="External"/><Relationship Id="rId14" Type="http://schemas.openxmlformats.org/officeDocument/2006/relationships/hyperlink" Target="../../app/data/data/lab_reports/mechanical_property_runs.csv" TargetMode="External"/><Relationship Id="rId15" Type="http://schemas.openxmlformats.org/officeDocument/2006/relationships/hyperlink" Target="../../app/output/technical_findings_matrix.xlsx" TargetMode="External"/><Relationship Id="rId16" Type="http://schemas.openxmlformats.org/officeDocument/2006/relationships/hyperlink" Target="../../app/output/technical_findings_matrix.xlsx" TargetMode="External"/><Relationship Id="rId17" Type="http://schemas.openxmlformats.org/officeDocument/2006/relationships/hyperlink" Target="../../app/output/technical_findings_matrix.xlsx" TargetMode="External"/><Relationship Id="rId18" Type="http://schemas.openxmlformats.org/officeDocument/2006/relationships/hyperlink" Target="../../app/output/technical_findings_matrix.xlsx" TargetMode="External"/><Relationship Id="rId19" Type="http://schemas.openxmlformats.org/officeDocument/2006/relationships/hyperlink" Target="../../app/output/technical_findings_matrix.xlsx" TargetMode="External"/><Relationship Id="rId20" Type="http://schemas.openxmlformats.org/officeDocument/2006/relationships/hyperlink" Target="../../app/output/technical_findings_matrix.xlsx" TargetMode="External"/><Relationship Id="rId21" Type="http://schemas.openxmlformats.org/officeDocument/2006/relationships/hyperlink" Target="../../app/output/technical_findings_matrix.xlsx" TargetMode="External"/><Relationship Id="rId22" Type="http://schemas.openxmlformats.org/officeDocument/2006/relationships/hyperlink" Target="../../app/output/technical_findings_matrix.xlsx" TargetMode="External"/><Relationship Id="rId23" Type="http://schemas.openxmlformats.org/officeDocument/2006/relationships/hyperlink" Target="../../app/output/technical_findings_matrix.xlsx" TargetMode="External"/><Relationship Id="rId24" Type="http://schemas.openxmlformats.org/officeDocument/2006/relationships/hyperlink" Target="../../app/output/technical_findings_matrix.xlsx" TargetMode="External"/><Relationship Id="rId25" Type="http://schemas.openxmlformats.org/officeDocument/2006/relationships/hyperlink" Target="../../app/output/technical_findings_matrix.xlsx" TargetMode="External"/><Relationship Id="rId26" Type="http://schemas.openxmlformats.org/officeDocument/2006/relationships/hyperlink" Target="../../app/output/technical_findings_matrix.xlsx" TargetMode="External"/><Relationship Id="rId27" Type="http://schemas.openxmlformats.org/officeDocument/2006/relationships/hyperlink" Target="../../app/output/technical_findings_matrix.xlsx" TargetMode="External"/><Relationship Id="rId28" Type="http://schemas.openxmlformats.org/officeDocument/2006/relationships/hyperlink" Target="../../app/output/technical_findings_matrix.xlsx" TargetMode="External"/><Relationship Id="rId29" Type="http://schemas.openxmlformats.org/officeDocument/2006/relationships/hyperlink" Target="../../app/output/technical_findings_matrix.xlsx" TargetMode="External"/><Relationship Id="rId30" Type="http://schemas.openxmlformats.org/officeDocument/2006/relationships/hyperlink" Target="../../app/output/technical_findings_matrix.xlsx" TargetMode="External"/><Relationship Id="rId31" Type="http://schemas.openxmlformats.org/officeDocument/2006/relationships/hyperlink" Target="../../app/output/technical_findings_matrix.xlsx" TargetMode="External"/><Relationship Id="rId32" Type="http://schemas.openxmlformats.org/officeDocument/2006/relationships/hyperlink" Target="../../app/output/technical_findings_matrix.xlsx" TargetMode="External"/><Relationship Id="rId33" Type="http://schemas.openxmlformats.org/officeDocument/2006/relationships/hyperlink" Target="../../app/output/technical_findings_matrix.xlsx" TargetMode="External"/><Relationship Id="rId34" Type="http://schemas.openxmlformats.org/officeDocument/2006/relationships/hyperlink" Target="../../app/output/technical_findings_matrix.xlsx" TargetMode="External"/><Relationship Id="rId35" Type="http://schemas.openxmlformats.org/officeDocument/2006/relationships/hyperlink" Target="../../app/output/technical_findings_matrix.xlsx" TargetMode="External"/><Relationship Id="rId36" Type="http://schemas.openxmlformats.org/officeDocument/2006/relationships/hyperlink" Target="../../app/output/technical_findings_matrix.xlsx" TargetMode="External"/><Relationship Id="rId37" Type="http://schemas.openxmlformats.org/officeDocument/2006/relationships/hyperlink" Target="../../app/output/technical_findings_matrix.xlsx" TargetMode="External"/><Relationship Id="rId38" Type="http://schemas.openxmlformats.org/officeDocument/2006/relationships/hyperlink" Target="../../app/output/technical_findings_matrix.xlsx" TargetMode="External"/><Relationship Id="rId39" Type="http://schemas.openxmlformats.org/officeDocument/2006/relationships/hyperlink" Target="../../app/output/technical_findings_matrix.xlsx" TargetMode="External"/><Relationship Id="rId40" Type="http://schemas.openxmlformats.org/officeDocument/2006/relationships/hyperlink" Target="../../app/output/technical_findings_matrix.xlsx" TargetMode="External"/><Relationship Id="rId41" Type="http://schemas.openxmlformats.org/officeDocument/2006/relationships/hyperlink" Target="../../app/output/technical_findings_matrix.xlsx" TargetMode="External"/><Relationship Id="rId42" Type="http://schemas.openxmlformats.org/officeDocument/2006/relationships/hyperlink" Target="../../app/output/technical_findings_matrix.xlsx" TargetMode="External"/><Relationship Id="rId43" Type="http://schemas.openxmlformats.org/officeDocument/2006/relationships/hyperlink" Target="../../app/output/technical_findings_matrix.xlsx" TargetMode="External"/><Relationship Id="rId44" Type="http://schemas.openxmlformats.org/officeDocument/2006/relationships/hyperlink" Target="../../app/output/technical_findings_matrix.xlsx" TargetMode="External"/><Relationship Id="rId45" Type="http://schemas.openxmlformats.org/officeDocument/2006/relationships/hyperlink" Target="../../app/output/technical_findings_matrix.xlsx" TargetMode="External"/><Relationship Id="rId46" Type="http://schemas.openxmlformats.org/officeDocument/2006/relationships/hyperlink" Target="../../app/data/data/lab_reports/conductivity_panel_tests.csv" TargetMode="External"/><Relationship Id="rId47" Type="http://schemas.openxmlformats.org/officeDocument/2006/relationships/hyperlink" Target="../../app/output/technical_findings_matrix.xlsx" TargetMode="External"/><Relationship Id="rId48" Type="http://schemas.openxmlformats.org/officeDocument/2006/relationships/hyperlink" Target="../../app/data/data/lab_reports/conductivity_panel_tests.csv" TargetMode="External"/><Relationship Id="rId49" Type="http://schemas.openxmlformats.org/officeDocument/2006/relationships/hyperlink" Target="../../app/output/technical_findings_matrix.xlsx" TargetMode="External"/><Relationship Id="rId50" Type="http://schemas.openxmlformats.org/officeDocument/2006/relationships/hyperlink" Target="../../app/data/data/lab_reports/conductivity_panel_tests.csv" TargetMode="External"/><Relationship Id="rId51" Type="http://schemas.openxmlformats.org/officeDocument/2006/relationships/hyperlink" Target="../../app/output/technical_findings_matrix.xlsx" TargetMode="External"/><Relationship Id="rId52" Type="http://schemas.openxmlformats.org/officeDocument/2006/relationships/hyperlink" Target="../../app/data/logs/plating/2026-07-08.log" TargetMode="External"/><Relationship Id="rId53" Type="http://schemas.openxmlformats.org/officeDocument/2006/relationships/hyperlink" Target="../../app/output/technical_findings_matrix.xlsx" TargetMode="External"/><Relationship Id="rId54" Type="http://schemas.openxmlformats.org/officeDocument/2006/relationships/hyperlink" Target="../../app/data/logs/plating/2026-07-08.log" TargetMode="External"/><Relationship Id="rId55" Type="http://schemas.openxmlformats.org/officeDocument/2006/relationships/table" Target="../tables/table1.xml"/><Relationship Id="rId56" Type="http://schemas.openxmlformats.org/officeDocument/2006/relationships/table" Target="../tables/table3.xml"/><Relationship Id="rId57" Type="http://schemas.openxmlformats.org/officeDocument/2006/relationships/table" Target="../tables/table4.xml"/><Relationship Id="rId58" Type="http://schemas.openxmlformats.org/officeDocument/2006/relationships/table" Target="../tables/table11.xml"/><Relationship Id="rId59" Type="http://schemas.openxmlformats.org/officeDocument/2006/relationships/table" Target="../tables/table13.xml"/><Relationship Id="rId60" Type="http://schemas.openxmlformats.org/officeDocument/2006/relationships/table" Target="../tables/table1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../../app/output/technical_findings_matrix.xlsx" TargetMode="External"/><Relationship Id="rId2" Type="http://schemas.openxmlformats.org/officeDocument/2006/relationships/hyperlink" Target="../../app/data/data/lab_reports/chemistry_assay.csv" TargetMode="External"/><Relationship Id="rId3" Type="http://schemas.openxmlformats.org/officeDocument/2006/relationships/hyperlink" Target="../../app/output/technical_findings_matrix.xlsx" TargetMode="External"/><Relationship Id="rId4" Type="http://schemas.openxmlformats.org/officeDocument/2006/relationships/hyperlink" Target="../../app/data/data/lab_reports/conductivity_panel_tests.csv" TargetMode="External"/><Relationship Id="rId5" Type="http://schemas.openxmlformats.org/officeDocument/2006/relationships/hyperlink" Target="../../app/output/technical_findings_matrix.xlsx" TargetMode="External"/><Relationship Id="rId6" Type="http://schemas.openxmlformats.org/officeDocument/2006/relationships/hyperlink" Target="../../app/data/data/lab_reports/conductivity_panel_tests.csv" TargetMode="External"/><Relationship Id="rId7" Type="http://schemas.openxmlformats.org/officeDocument/2006/relationships/hyperlink" Target="../../app/output/technical_findings_matrix.xlsx" TargetMode="External"/><Relationship Id="rId8" Type="http://schemas.openxmlformats.org/officeDocument/2006/relationships/hyperlink" Target="../../app/data/data/lab_reports/chemistry_assay.csv" TargetMode="External"/><Relationship Id="rId9" Type="http://schemas.openxmlformats.org/officeDocument/2006/relationships/hyperlink" Target="../../app/output/technical_findings_matrix.xlsx" TargetMode="External"/><Relationship Id="rId10" Type="http://schemas.openxmlformats.org/officeDocument/2006/relationships/hyperlink" Target="../../app/data/data/lab_reports/chemistry_assay.csv" TargetMode="External"/><Relationship Id="rId11" Type="http://schemas.openxmlformats.org/officeDocument/2006/relationships/hyperlink" Target="../../app/output/technical_findings_matrix.xlsx" TargetMode="External"/><Relationship Id="rId12" Type="http://schemas.openxmlformats.org/officeDocument/2006/relationships/hyperlink" Target="../../app/data/logs/plating/2026-07-08.log" TargetMode="External"/><Relationship Id="rId13" Type="http://schemas.openxmlformats.org/officeDocument/2006/relationships/table" Target="../tables/table7.xml"/><Relationship Id="rId14" Type="http://schemas.openxmlformats.org/officeDocument/2006/relationships/table" Target="../tables/table10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0"/>
  </cols>
  <sheetData>
    <row r="1" customFormat="false" ht="36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3" t="s">
        <v>3</v>
      </c>
    </row>
    <row r="3" customFormat="false" ht="15" hidden="false" customHeight="true" outlineLevel="0" collapsed="false">
      <c r="A3" s="3" t="s">
        <v>4</v>
      </c>
      <c r="B3" s="3" t="s">
        <v>5</v>
      </c>
    </row>
    <row r="4" customFormat="false" ht="15" hidden="false" customHeight="true" outlineLevel="0" collapsed="false">
      <c r="A4" s="3" t="s">
        <v>6</v>
      </c>
      <c r="B4" s="3" t="s">
        <v>7</v>
      </c>
    </row>
    <row r="5" customFormat="false" ht="15" hidden="false" customHeight="true" outlineLevel="0" collapsed="false">
      <c r="A5" s="3" t="s">
        <v>8</v>
      </c>
      <c r="B5" s="4" t="n">
        <v>46227</v>
      </c>
    </row>
    <row r="6" customFormat="false" ht="15" hidden="false" customHeight="true" outlineLevel="0" collapsed="false">
      <c r="A6" s="3" t="s">
        <v>9</v>
      </c>
      <c r="B6" s="3" t="s">
        <v>10</v>
      </c>
    </row>
    <row r="7" customFormat="false" ht="27.75" hidden="false" customHeight="true" outlineLevel="0" collapsed="false">
      <c r="A7" s="3" t="s">
        <v>11</v>
      </c>
      <c r="B7" s="3" t="s">
        <v>12</v>
      </c>
    </row>
    <row r="8" customFormat="false" ht="15" hidden="false" customHeight="true" outlineLevel="0" collapsed="false">
      <c r="A8" s="3" t="s">
        <v>13</v>
      </c>
      <c r="B8" s="3" t="s">
        <v>14</v>
      </c>
    </row>
    <row r="9" customFormat="false" ht="27.75" hidden="false" customHeight="true" outlineLevel="0" collapsed="false">
      <c r="A9" s="3" t="s">
        <v>15</v>
      </c>
      <c r="B9" s="3" t="s">
        <v>16</v>
      </c>
    </row>
    <row r="10" customFormat="false" ht="27.75" hidden="false" customHeight="true" outlineLevel="0" collapsed="false">
      <c r="A10" s="3" t="s">
        <v>17</v>
      </c>
      <c r="B10" s="3" t="s">
        <v>18</v>
      </c>
    </row>
    <row r="11" customFormat="false" ht="27.75" hidden="false" customHeight="true" outlineLevel="0" collapsed="false">
      <c r="A11" s="3" t="s">
        <v>19</v>
      </c>
      <c r="B11" s="3" t="s">
        <v>20</v>
      </c>
    </row>
    <row r="12" customFormat="false" ht="27.75" hidden="false" customHeight="true" outlineLevel="0" collapsed="false">
      <c r="A12" s="3" t="s">
        <v>21</v>
      </c>
      <c r="B12" s="3" t="s">
        <v>22</v>
      </c>
    </row>
    <row r="13" customFormat="false" ht="15" hidden="false" customHeight="true" outlineLevel="0" collapsed="false">
      <c r="A13" s="3" t="s">
        <v>23</v>
      </c>
      <c r="B13" s="3" t="s">
        <v>24</v>
      </c>
    </row>
    <row r="14" customFormat="false" ht="15" hidden="false" customHeight="true" outlineLevel="0" collapsed="false">
      <c r="A14" s="3" t="s">
        <v>25</v>
      </c>
      <c r="B14" s="3" t="s">
        <v>26</v>
      </c>
    </row>
    <row r="15" customFormat="false" ht="15" hidden="false" customHeight="true" outlineLevel="0" collapsed="false">
      <c r="A15" s="1" t="s">
        <v>27</v>
      </c>
      <c r="B15" s="1" t="s">
        <v>28</v>
      </c>
    </row>
    <row r="16" customFormat="false" ht="15" hidden="false" customHeight="true" outlineLevel="0" collapsed="false">
      <c r="A16" s="1" t="s">
        <v>29</v>
      </c>
      <c r="B16" s="1" t="s">
        <v>30</v>
      </c>
    </row>
    <row r="17" customFormat="false" ht="15" hidden="false" customHeight="true" outlineLevel="0" collapsed="false">
      <c r="A17" s="1" t="s">
        <v>31</v>
      </c>
      <c r="B17" s="1" t="s">
        <v>32</v>
      </c>
    </row>
    <row r="18" customFormat="false" ht="15" hidden="false" customHeight="false" outlineLevel="0" collapsed="false">
      <c r="A18" s="1" t="s">
        <v>33</v>
      </c>
      <c r="B18" s="1" t="s">
        <v>34</v>
      </c>
    </row>
    <row r="19" customFormat="false" ht="15" hidden="false" customHeight="false" outlineLevel="0" collapsed="false">
      <c r="A19" s="1" t="s">
        <v>35</v>
      </c>
      <c r="B19" s="1" t="s">
        <v>36</v>
      </c>
    </row>
  </sheetData>
  <autoFilter ref="A1:B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12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4" min="3" style="1" width="23"/>
    <col collapsed="false" customWidth="true" hidden="false" outlineLevel="0" max="5" min="5" style="1" width="34"/>
    <col collapsed="false" customWidth="true" hidden="false" outlineLevel="0" max="7" min="6" style="1" width="23"/>
    <col collapsed="false" customWidth="true" hidden="false" outlineLevel="0" max="8" min="8" style="1" width="18"/>
    <col collapsed="false" customWidth="true" hidden="false" outlineLevel="0" max="11" min="9" style="1" width="34"/>
    <col collapsed="false" customWidth="true" hidden="false" outlineLevel="0" max="12" min="12" style="1" width="18"/>
    <col collapsed="false" customWidth="true" hidden="false" outlineLevel="0" max="13" min="13" style="1" width="48"/>
    <col collapsed="false" customWidth="true" hidden="false" outlineLevel="0" max="26" min="14" style="1" width="18"/>
    <col collapsed="false" customWidth="true" hidden="false" outlineLevel="0" max="28" min="27" style="1" width="48"/>
    <col collapsed="false" customWidth="true" hidden="false" outlineLevel="0" max="33" min="29" style="1" width="18"/>
    <col collapsed="false" customWidth="true" hidden="false" outlineLevel="0" max="35" min="34" style="1" width="48"/>
    <col collapsed="false" customWidth="true" hidden="false" outlineLevel="0" max="37" min="36" style="1" width="18"/>
    <col collapsed="false" customWidth="true" hidden="false" outlineLevel="0" max="38" min="38" style="1" width="50"/>
    <col collapsed="false" customWidth="true" hidden="false" outlineLevel="0" max="40" min="39" style="1" width="18"/>
    <col collapsed="false" customWidth="true" hidden="false" outlineLevel="0" max="42" min="41" style="1" width="48"/>
    <col collapsed="false" customWidth="true" hidden="false" outlineLevel="0" max="52" min="43" style="1" width="18"/>
  </cols>
  <sheetData>
    <row r="1" customFormat="false" ht="36" hidden="false" customHeight="true" outlineLevel="0" collapsed="false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1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  <c r="AI1" s="5" t="s">
        <v>70</v>
      </c>
      <c r="AJ1" s="5" t="s">
        <v>71</v>
      </c>
      <c r="AK1" s="5" t="s">
        <v>72</v>
      </c>
      <c r="AL1" s="5" t="s">
        <v>73</v>
      </c>
      <c r="AM1" s="5" t="s">
        <v>74</v>
      </c>
      <c r="AN1" s="5" t="s">
        <v>75</v>
      </c>
      <c r="AO1" s="5" t="s">
        <v>76</v>
      </c>
      <c r="AP1" s="5" t="s">
        <v>77</v>
      </c>
      <c r="AQ1" s="5" t="s">
        <v>78</v>
      </c>
      <c r="AR1" s="5" t="s">
        <v>79</v>
      </c>
      <c r="AS1" s="5" t="s">
        <v>80</v>
      </c>
      <c r="AT1" s="5" t="s">
        <v>81</v>
      </c>
      <c r="AU1" s="5" t="s">
        <v>82</v>
      </c>
      <c r="AV1" s="5" t="s">
        <v>83</v>
      </c>
      <c r="AW1" s="5" t="s">
        <v>84</v>
      </c>
      <c r="AX1" s="5" t="s">
        <v>85</v>
      </c>
      <c r="AY1" s="5" t="s">
        <v>86</v>
      </c>
      <c r="AZ1" s="5" t="s">
        <v>87</v>
      </c>
    </row>
    <row r="2" customFormat="false" ht="33.75" hidden="false" customHeight="true" outlineLevel="0" collapsed="false">
      <c r="A2" s="6" t="n">
        <v>2</v>
      </c>
      <c r="B2" s="7" t="s">
        <v>88</v>
      </c>
      <c r="C2" s="6" t="s">
        <v>89</v>
      </c>
      <c r="D2" s="6" t="s">
        <v>90</v>
      </c>
      <c r="E2" s="6" t="s">
        <v>91</v>
      </c>
      <c r="F2" s="6"/>
      <c r="G2" s="6"/>
      <c r="H2" s="6" t="s">
        <v>92</v>
      </c>
      <c r="I2" s="7" t="s">
        <v>93</v>
      </c>
      <c r="J2" s="7" t="s">
        <v>94</v>
      </c>
      <c r="K2" s="7" t="s">
        <v>95</v>
      </c>
      <c r="L2" s="6" t="s">
        <v>96</v>
      </c>
      <c r="M2" s="6" t="s">
        <v>97</v>
      </c>
      <c r="N2" s="6" t="s">
        <v>98</v>
      </c>
      <c r="O2" s="6" t="s">
        <v>99</v>
      </c>
      <c r="P2" s="6" t="s">
        <v>100</v>
      </c>
      <c r="Q2" s="6"/>
      <c r="R2" s="6"/>
      <c r="S2" s="6"/>
      <c r="T2" s="6"/>
      <c r="U2" s="6"/>
      <c r="V2" s="6" t="s">
        <v>101</v>
      </c>
      <c r="W2" s="6" t="s">
        <v>102</v>
      </c>
      <c r="X2" s="6" t="s">
        <v>89</v>
      </c>
      <c r="Y2" s="6"/>
      <c r="Z2" s="6" t="s">
        <v>103</v>
      </c>
      <c r="AA2" s="6" t="s">
        <v>104</v>
      </c>
      <c r="AB2" s="6" t="s">
        <v>105</v>
      </c>
      <c r="AC2" s="6" t="s">
        <v>106</v>
      </c>
      <c r="AD2" s="6"/>
      <c r="AE2" s="6"/>
      <c r="AF2" s="6"/>
      <c r="AG2" s="6"/>
      <c r="AH2" s="6"/>
      <c r="AI2" s="6"/>
      <c r="AJ2" s="6"/>
      <c r="AK2" s="6"/>
      <c r="AL2" s="6" t="s">
        <v>107</v>
      </c>
      <c r="AM2" s="6" t="s">
        <v>108</v>
      </c>
      <c r="AN2" s="6" t="n">
        <v>2</v>
      </c>
      <c r="AO2" s="6" t="s">
        <v>109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customFormat="false" ht="33.75" hidden="false" customHeight="true" outlineLevel="0" collapsed="false">
      <c r="A3" s="6" t="n">
        <v>3</v>
      </c>
      <c r="B3" s="7" t="s">
        <v>110</v>
      </c>
      <c r="C3" s="6" t="s">
        <v>111</v>
      </c>
      <c r="D3" s="6" t="s">
        <v>90</v>
      </c>
      <c r="E3" s="6" t="s">
        <v>91</v>
      </c>
      <c r="F3" s="6"/>
      <c r="G3" s="6"/>
      <c r="H3" s="6" t="s">
        <v>92</v>
      </c>
      <c r="I3" s="7" t="s">
        <v>93</v>
      </c>
      <c r="J3" s="7" t="s">
        <v>112</v>
      </c>
      <c r="K3" s="7" t="s">
        <v>113</v>
      </c>
      <c r="L3" s="6" t="s">
        <v>96</v>
      </c>
      <c r="M3" s="6" t="s">
        <v>97</v>
      </c>
      <c r="N3" s="6" t="s">
        <v>98</v>
      </c>
      <c r="O3" s="6" t="s">
        <v>99</v>
      </c>
      <c r="P3" s="6" t="s">
        <v>100</v>
      </c>
      <c r="Q3" s="6"/>
      <c r="R3" s="6"/>
      <c r="S3" s="6"/>
      <c r="T3" s="6"/>
      <c r="U3" s="6"/>
      <c r="V3" s="6" t="s">
        <v>114</v>
      </c>
      <c r="W3" s="6" t="s">
        <v>102</v>
      </c>
      <c r="X3" s="6" t="s">
        <v>111</v>
      </c>
      <c r="Y3" s="6"/>
      <c r="Z3" s="6" t="s">
        <v>103</v>
      </c>
      <c r="AA3" s="6" t="s">
        <v>104</v>
      </c>
      <c r="AB3" s="6" t="s">
        <v>105</v>
      </c>
      <c r="AC3" s="6" t="s">
        <v>106</v>
      </c>
      <c r="AD3" s="6"/>
      <c r="AE3" s="6"/>
      <c r="AF3" s="6"/>
      <c r="AG3" s="6"/>
      <c r="AH3" s="6"/>
      <c r="AI3" s="6"/>
      <c r="AJ3" s="6"/>
      <c r="AK3" s="6"/>
      <c r="AL3" s="6" t="s">
        <v>107</v>
      </c>
      <c r="AM3" s="6" t="s">
        <v>108</v>
      </c>
      <c r="AN3" s="6" t="n">
        <v>3</v>
      </c>
      <c r="AO3" s="6" t="s">
        <v>109</v>
      </c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customFormat="false" ht="33.75" hidden="false" customHeight="true" outlineLevel="0" collapsed="false">
      <c r="A4" s="6" t="n">
        <v>4</v>
      </c>
      <c r="B4" s="7" t="s">
        <v>115</v>
      </c>
      <c r="C4" s="6" t="s">
        <v>116</v>
      </c>
      <c r="D4" s="6" t="s">
        <v>90</v>
      </c>
      <c r="E4" s="6" t="s">
        <v>91</v>
      </c>
      <c r="F4" s="6"/>
      <c r="G4" s="6"/>
      <c r="H4" s="6" t="s">
        <v>92</v>
      </c>
      <c r="I4" s="7" t="s">
        <v>93</v>
      </c>
      <c r="J4" s="7" t="s">
        <v>117</v>
      </c>
      <c r="K4" s="7" t="s">
        <v>118</v>
      </c>
      <c r="L4" s="6" t="s">
        <v>96</v>
      </c>
      <c r="M4" s="6" t="s">
        <v>97</v>
      </c>
      <c r="N4" s="6" t="s">
        <v>98</v>
      </c>
      <c r="O4" s="6" t="s">
        <v>99</v>
      </c>
      <c r="P4" s="6" t="s">
        <v>100</v>
      </c>
      <c r="Q4" s="6"/>
      <c r="R4" s="6"/>
      <c r="S4" s="6"/>
      <c r="T4" s="6"/>
      <c r="U4" s="6"/>
      <c r="V4" s="6" t="s">
        <v>114</v>
      </c>
      <c r="W4" s="6" t="s">
        <v>102</v>
      </c>
      <c r="X4" s="6" t="s">
        <v>116</v>
      </c>
      <c r="Y4" s="6"/>
      <c r="Z4" s="6" t="s">
        <v>103</v>
      </c>
      <c r="AA4" s="6" t="s">
        <v>104</v>
      </c>
      <c r="AB4" s="6" t="s">
        <v>105</v>
      </c>
      <c r="AC4" s="6" t="s">
        <v>106</v>
      </c>
      <c r="AD4" s="6"/>
      <c r="AE4" s="6"/>
      <c r="AF4" s="6"/>
      <c r="AG4" s="6"/>
      <c r="AH4" s="6"/>
      <c r="AI4" s="6"/>
      <c r="AJ4" s="6"/>
      <c r="AK4" s="6"/>
      <c r="AL4" s="6" t="s">
        <v>107</v>
      </c>
      <c r="AM4" s="6" t="s">
        <v>108</v>
      </c>
      <c r="AN4" s="6" t="n">
        <v>4</v>
      </c>
      <c r="AO4" s="6" t="s">
        <v>109</v>
      </c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customFormat="false" ht="33.75" hidden="false" customHeight="true" outlineLevel="0" collapsed="false">
      <c r="A5" s="6" t="n">
        <v>5</v>
      </c>
      <c r="B5" s="7" t="s">
        <v>119</v>
      </c>
      <c r="C5" s="6" t="s">
        <v>120</v>
      </c>
      <c r="D5" s="6" t="s">
        <v>90</v>
      </c>
      <c r="E5" s="6" t="s">
        <v>91</v>
      </c>
      <c r="F5" s="6"/>
      <c r="G5" s="6"/>
      <c r="H5" s="6" t="s">
        <v>92</v>
      </c>
      <c r="I5" s="7" t="s">
        <v>93</v>
      </c>
      <c r="J5" s="7" t="s">
        <v>121</v>
      </c>
      <c r="K5" s="7" t="s">
        <v>122</v>
      </c>
      <c r="L5" s="6" t="s">
        <v>96</v>
      </c>
      <c r="M5" s="6" t="s">
        <v>97</v>
      </c>
      <c r="N5" s="6" t="s">
        <v>98</v>
      </c>
      <c r="O5" s="6" t="s">
        <v>99</v>
      </c>
      <c r="P5" s="6" t="s">
        <v>100</v>
      </c>
      <c r="Q5" s="6"/>
      <c r="R5" s="6"/>
      <c r="S5" s="6"/>
      <c r="T5" s="6"/>
      <c r="U5" s="6"/>
      <c r="V5" s="6" t="s">
        <v>123</v>
      </c>
      <c r="W5" s="6" t="s">
        <v>102</v>
      </c>
      <c r="X5" s="6" t="s">
        <v>120</v>
      </c>
      <c r="Y5" s="6"/>
      <c r="Z5" s="6" t="s">
        <v>103</v>
      </c>
      <c r="AA5" s="6" t="s">
        <v>104</v>
      </c>
      <c r="AB5" s="6" t="s">
        <v>105</v>
      </c>
      <c r="AC5" s="6" t="s">
        <v>106</v>
      </c>
      <c r="AD5" s="6"/>
      <c r="AE5" s="6"/>
      <c r="AF5" s="6"/>
      <c r="AG5" s="6"/>
      <c r="AH5" s="6"/>
      <c r="AI5" s="6"/>
      <c r="AJ5" s="6"/>
      <c r="AK5" s="6"/>
      <c r="AL5" s="6" t="s">
        <v>107</v>
      </c>
      <c r="AM5" s="6" t="s">
        <v>108</v>
      </c>
      <c r="AN5" s="6" t="n">
        <v>5</v>
      </c>
      <c r="AO5" s="6" t="s">
        <v>109</v>
      </c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customFormat="false" ht="33.75" hidden="false" customHeight="true" outlineLevel="0" collapsed="false">
      <c r="A6" s="6" t="n">
        <v>6</v>
      </c>
      <c r="B6" s="7" t="s">
        <v>124</v>
      </c>
      <c r="C6" s="6" t="s">
        <v>125</v>
      </c>
      <c r="D6" s="6" t="s">
        <v>90</v>
      </c>
      <c r="E6" s="6" t="s">
        <v>91</v>
      </c>
      <c r="F6" s="6"/>
      <c r="G6" s="6"/>
      <c r="H6" s="6" t="s">
        <v>92</v>
      </c>
      <c r="I6" s="7" t="s">
        <v>93</v>
      </c>
      <c r="J6" s="7" t="s">
        <v>126</v>
      </c>
      <c r="K6" s="7" t="s">
        <v>127</v>
      </c>
      <c r="L6" s="6" t="s">
        <v>96</v>
      </c>
      <c r="M6" s="6" t="s">
        <v>97</v>
      </c>
      <c r="N6" s="6" t="s">
        <v>98</v>
      </c>
      <c r="O6" s="6" t="s">
        <v>99</v>
      </c>
      <c r="P6" s="6" t="s">
        <v>100</v>
      </c>
      <c r="Q6" s="6"/>
      <c r="R6" s="6"/>
      <c r="S6" s="6"/>
      <c r="T6" s="6"/>
      <c r="U6" s="6"/>
      <c r="V6" s="6" t="s">
        <v>128</v>
      </c>
      <c r="W6" s="6" t="s">
        <v>102</v>
      </c>
      <c r="X6" s="6" t="s">
        <v>125</v>
      </c>
      <c r="Y6" s="6"/>
      <c r="Z6" s="6" t="s">
        <v>103</v>
      </c>
      <c r="AA6" s="6" t="s">
        <v>104</v>
      </c>
      <c r="AB6" s="6" t="s">
        <v>105</v>
      </c>
      <c r="AC6" s="6" t="s">
        <v>106</v>
      </c>
      <c r="AD6" s="6"/>
      <c r="AE6" s="6"/>
      <c r="AF6" s="6"/>
      <c r="AG6" s="6"/>
      <c r="AH6" s="6"/>
      <c r="AI6" s="6"/>
      <c r="AJ6" s="6"/>
      <c r="AK6" s="6"/>
      <c r="AL6" s="6" t="s">
        <v>107</v>
      </c>
      <c r="AM6" s="6" t="s">
        <v>108</v>
      </c>
      <c r="AN6" s="6" t="n">
        <v>6</v>
      </c>
      <c r="AO6" s="6" t="s">
        <v>109</v>
      </c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customFormat="false" ht="33.75" hidden="false" customHeight="true" outlineLevel="0" collapsed="false">
      <c r="A7" s="6" t="n">
        <v>7</v>
      </c>
      <c r="B7" s="7" t="s">
        <v>129</v>
      </c>
      <c r="C7" s="6" t="s">
        <v>130</v>
      </c>
      <c r="D7" s="6" t="s">
        <v>90</v>
      </c>
      <c r="E7" s="6" t="s">
        <v>91</v>
      </c>
      <c r="F7" s="6"/>
      <c r="G7" s="6"/>
      <c r="H7" s="6" t="s">
        <v>92</v>
      </c>
      <c r="I7" s="7" t="s">
        <v>93</v>
      </c>
      <c r="J7" s="7" t="s">
        <v>131</v>
      </c>
      <c r="K7" s="7" t="s">
        <v>132</v>
      </c>
      <c r="L7" s="6" t="s">
        <v>96</v>
      </c>
      <c r="M7" s="6" t="s">
        <v>97</v>
      </c>
      <c r="N7" s="6" t="s">
        <v>98</v>
      </c>
      <c r="O7" s="6" t="s">
        <v>99</v>
      </c>
      <c r="P7" s="6" t="s">
        <v>100</v>
      </c>
      <c r="Q7" s="6"/>
      <c r="R7" s="6"/>
      <c r="S7" s="6"/>
      <c r="T7" s="6"/>
      <c r="U7" s="6"/>
      <c r="V7" s="6" t="s">
        <v>133</v>
      </c>
      <c r="W7" s="6" t="s">
        <v>102</v>
      </c>
      <c r="X7" s="6" t="s">
        <v>130</v>
      </c>
      <c r="Y7" s="6"/>
      <c r="Z7" s="6" t="s">
        <v>103</v>
      </c>
      <c r="AA7" s="6" t="s">
        <v>104</v>
      </c>
      <c r="AB7" s="6" t="s">
        <v>105</v>
      </c>
      <c r="AC7" s="6" t="s">
        <v>106</v>
      </c>
      <c r="AD7" s="6"/>
      <c r="AE7" s="6"/>
      <c r="AF7" s="6"/>
      <c r="AG7" s="6"/>
      <c r="AH7" s="6"/>
      <c r="AI7" s="6"/>
      <c r="AJ7" s="6"/>
      <c r="AK7" s="6"/>
      <c r="AL7" s="6" t="s">
        <v>107</v>
      </c>
      <c r="AM7" s="6" t="s">
        <v>108</v>
      </c>
      <c r="AN7" s="6" t="n">
        <v>7</v>
      </c>
      <c r="AO7" s="6" t="s">
        <v>109</v>
      </c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customFormat="false" ht="33.75" hidden="false" customHeight="true" outlineLevel="0" collapsed="false">
      <c r="A8" s="6" t="n">
        <v>8</v>
      </c>
      <c r="B8" s="7" t="s">
        <v>134</v>
      </c>
      <c r="C8" s="6" t="s">
        <v>135</v>
      </c>
      <c r="D8" s="6" t="s">
        <v>90</v>
      </c>
      <c r="E8" s="6" t="s">
        <v>91</v>
      </c>
      <c r="F8" s="6"/>
      <c r="G8" s="6"/>
      <c r="H8" s="6" t="s">
        <v>92</v>
      </c>
      <c r="I8" s="7" t="s">
        <v>93</v>
      </c>
      <c r="J8" s="7" t="s">
        <v>136</v>
      </c>
      <c r="K8" s="7" t="s">
        <v>137</v>
      </c>
      <c r="L8" s="6" t="s">
        <v>96</v>
      </c>
      <c r="M8" s="6" t="s">
        <v>97</v>
      </c>
      <c r="N8" s="6" t="s">
        <v>98</v>
      </c>
      <c r="O8" s="6" t="s">
        <v>99</v>
      </c>
      <c r="P8" s="6" t="s">
        <v>100</v>
      </c>
      <c r="Q8" s="6"/>
      <c r="R8" s="6"/>
      <c r="S8" s="6"/>
      <c r="T8" s="6"/>
      <c r="U8" s="6"/>
      <c r="V8" s="6" t="s">
        <v>128</v>
      </c>
      <c r="W8" s="6" t="s">
        <v>102</v>
      </c>
      <c r="X8" s="6" t="s">
        <v>135</v>
      </c>
      <c r="Y8" s="6"/>
      <c r="Z8" s="6" t="s">
        <v>103</v>
      </c>
      <c r="AA8" s="6" t="s">
        <v>104</v>
      </c>
      <c r="AB8" s="6" t="s">
        <v>105</v>
      </c>
      <c r="AC8" s="6" t="s">
        <v>106</v>
      </c>
      <c r="AD8" s="6"/>
      <c r="AE8" s="6"/>
      <c r="AF8" s="6"/>
      <c r="AG8" s="6"/>
      <c r="AH8" s="6"/>
      <c r="AI8" s="6"/>
      <c r="AJ8" s="6"/>
      <c r="AK8" s="6"/>
      <c r="AL8" s="6" t="s">
        <v>107</v>
      </c>
      <c r="AM8" s="6" t="s">
        <v>108</v>
      </c>
      <c r="AN8" s="6" t="n">
        <v>8</v>
      </c>
      <c r="AO8" s="6" t="s">
        <v>109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customFormat="false" ht="33.75" hidden="false" customHeight="true" outlineLevel="0" collapsed="false">
      <c r="A9" s="6" t="n">
        <v>9</v>
      </c>
      <c r="B9" s="7" t="s">
        <v>138</v>
      </c>
      <c r="C9" s="6" t="s">
        <v>139</v>
      </c>
      <c r="D9" s="6" t="s">
        <v>90</v>
      </c>
      <c r="E9" s="6" t="s">
        <v>91</v>
      </c>
      <c r="F9" s="6"/>
      <c r="G9" s="6"/>
      <c r="H9" s="6" t="s">
        <v>92</v>
      </c>
      <c r="I9" s="7" t="s">
        <v>93</v>
      </c>
      <c r="J9" s="7" t="s">
        <v>140</v>
      </c>
      <c r="K9" s="7" t="s">
        <v>141</v>
      </c>
      <c r="L9" s="6" t="s">
        <v>96</v>
      </c>
      <c r="M9" s="6" t="s">
        <v>97</v>
      </c>
      <c r="N9" s="6" t="s">
        <v>98</v>
      </c>
      <c r="O9" s="6" t="s">
        <v>99</v>
      </c>
      <c r="P9" s="6" t="s">
        <v>100</v>
      </c>
      <c r="Q9" s="6"/>
      <c r="R9" s="6"/>
      <c r="S9" s="6"/>
      <c r="T9" s="6"/>
      <c r="U9" s="6"/>
      <c r="V9" s="6" t="s">
        <v>142</v>
      </c>
      <c r="W9" s="6" t="s">
        <v>102</v>
      </c>
      <c r="X9" s="6" t="s">
        <v>139</v>
      </c>
      <c r="Y9" s="6"/>
      <c r="Z9" s="6" t="s">
        <v>103</v>
      </c>
      <c r="AA9" s="6" t="s">
        <v>104</v>
      </c>
      <c r="AB9" s="6" t="s">
        <v>105</v>
      </c>
      <c r="AC9" s="6" t="s">
        <v>106</v>
      </c>
      <c r="AD9" s="6"/>
      <c r="AE9" s="6"/>
      <c r="AF9" s="6"/>
      <c r="AG9" s="6"/>
      <c r="AH9" s="6"/>
      <c r="AI9" s="6"/>
      <c r="AJ9" s="6"/>
      <c r="AK9" s="6"/>
      <c r="AL9" s="6" t="s">
        <v>107</v>
      </c>
      <c r="AM9" s="6" t="s">
        <v>108</v>
      </c>
      <c r="AN9" s="6" t="n">
        <v>9</v>
      </c>
      <c r="AO9" s="6" t="s">
        <v>109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customFormat="false" ht="33.75" hidden="false" customHeight="true" outlineLevel="0" collapsed="false">
      <c r="A10" s="6" t="n">
        <v>10</v>
      </c>
      <c r="B10" s="7" t="s">
        <v>143</v>
      </c>
      <c r="C10" s="6" t="s">
        <v>144</v>
      </c>
      <c r="D10" s="6" t="s">
        <v>145</v>
      </c>
      <c r="E10" s="6" t="s">
        <v>146</v>
      </c>
      <c r="F10" s="6"/>
      <c r="G10" s="6"/>
      <c r="H10" s="6" t="s">
        <v>92</v>
      </c>
      <c r="I10" s="7" t="s">
        <v>93</v>
      </c>
      <c r="J10" s="7" t="s">
        <v>147</v>
      </c>
      <c r="K10" s="6" t="s">
        <v>148</v>
      </c>
      <c r="L10" s="6" t="s">
        <v>96</v>
      </c>
      <c r="M10" s="6" t="s">
        <v>97</v>
      </c>
      <c r="N10" s="6" t="s">
        <v>149</v>
      </c>
      <c r="O10" s="6" t="s">
        <v>99</v>
      </c>
      <c r="P10" s="6" t="s">
        <v>100</v>
      </c>
      <c r="Q10" s="6"/>
      <c r="R10" s="6"/>
      <c r="S10" s="6"/>
      <c r="T10" s="6"/>
      <c r="U10" s="6"/>
      <c r="V10" s="6" t="s">
        <v>150</v>
      </c>
      <c r="W10" s="6" t="s">
        <v>102</v>
      </c>
      <c r="X10" s="6" t="s">
        <v>144</v>
      </c>
      <c r="Y10" s="6" t="s">
        <v>151</v>
      </c>
      <c r="Z10" s="6" t="s">
        <v>152</v>
      </c>
      <c r="AA10" s="6" t="s">
        <v>153</v>
      </c>
      <c r="AB10" s="6" t="s">
        <v>154</v>
      </c>
      <c r="AC10" s="6" t="s">
        <v>106</v>
      </c>
      <c r="AD10" s="6"/>
      <c r="AE10" s="6"/>
      <c r="AF10" s="6"/>
      <c r="AG10" s="6"/>
      <c r="AH10" s="6"/>
      <c r="AI10" s="6"/>
      <c r="AJ10" s="6"/>
      <c r="AK10" s="6"/>
      <c r="AL10" s="6" t="s">
        <v>107</v>
      </c>
      <c r="AM10" s="6" t="s">
        <v>108</v>
      </c>
      <c r="AN10" s="6" t="n">
        <v>10</v>
      </c>
      <c r="AO10" s="6" t="s">
        <v>109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customFormat="false" ht="33.75" hidden="false" customHeight="true" outlineLevel="0" collapsed="false">
      <c r="A11" s="6" t="n">
        <v>11</v>
      </c>
      <c r="B11" s="7" t="s">
        <v>155</v>
      </c>
      <c r="C11" s="6" t="s">
        <v>156</v>
      </c>
      <c r="D11" s="6" t="s">
        <v>157</v>
      </c>
      <c r="E11" s="6" t="s">
        <v>158</v>
      </c>
      <c r="F11" s="6"/>
      <c r="G11" s="6"/>
      <c r="H11" s="6" t="s">
        <v>159</v>
      </c>
      <c r="I11" s="7" t="s">
        <v>160</v>
      </c>
      <c r="J11" s="7" t="s">
        <v>161</v>
      </c>
      <c r="K11" s="7" t="s">
        <v>162</v>
      </c>
      <c r="L11" s="6" t="s">
        <v>96</v>
      </c>
      <c r="M11" s="6" t="s">
        <v>163</v>
      </c>
      <c r="N11" s="6" t="s">
        <v>164</v>
      </c>
      <c r="O11" s="6" t="s">
        <v>165</v>
      </c>
      <c r="P11" s="6" t="s">
        <v>166</v>
      </c>
      <c r="Q11" s="6"/>
      <c r="R11" s="6"/>
      <c r="S11" s="6"/>
      <c r="T11" s="6"/>
      <c r="U11" s="6"/>
      <c r="V11" s="6"/>
      <c r="W11" s="6" t="s">
        <v>167</v>
      </c>
      <c r="X11" s="6" t="s">
        <v>156</v>
      </c>
      <c r="Y11" s="6"/>
      <c r="Z11" s="6" t="s">
        <v>103</v>
      </c>
      <c r="AA11" s="6" t="s">
        <v>104</v>
      </c>
      <c r="AB11" s="6" t="s">
        <v>105</v>
      </c>
      <c r="AC11" s="6" t="s">
        <v>106</v>
      </c>
      <c r="AD11" s="6"/>
      <c r="AE11" s="6"/>
      <c r="AF11" s="6"/>
      <c r="AG11" s="6"/>
      <c r="AH11" s="6"/>
      <c r="AI11" s="6"/>
      <c r="AJ11" s="6"/>
      <c r="AK11" s="6"/>
      <c r="AL11" s="6" t="s">
        <v>168</v>
      </c>
      <c r="AM11" s="6" t="s">
        <v>169</v>
      </c>
      <c r="AN11" s="6" t="n">
        <v>2</v>
      </c>
      <c r="AO11" s="6" t="s">
        <v>109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customFormat="false" ht="33.75" hidden="false" customHeight="true" outlineLevel="0" collapsed="false">
      <c r="A12" s="6" t="n">
        <v>12</v>
      </c>
      <c r="B12" s="7" t="s">
        <v>170</v>
      </c>
      <c r="C12" s="6" t="s">
        <v>171</v>
      </c>
      <c r="D12" s="6" t="s">
        <v>145</v>
      </c>
      <c r="E12" s="6" t="s">
        <v>146</v>
      </c>
      <c r="F12" s="6"/>
      <c r="G12" s="6"/>
      <c r="H12" s="6" t="s">
        <v>159</v>
      </c>
      <c r="I12" s="7" t="s">
        <v>160</v>
      </c>
      <c r="J12" s="7" t="s">
        <v>172</v>
      </c>
      <c r="K12" s="7" t="s">
        <v>171</v>
      </c>
      <c r="L12" s="6" t="s">
        <v>96</v>
      </c>
      <c r="M12" s="6" t="s">
        <v>163</v>
      </c>
      <c r="N12" s="6" t="s">
        <v>149</v>
      </c>
      <c r="O12" s="6" t="s">
        <v>165</v>
      </c>
      <c r="P12" s="6" t="s">
        <v>173</v>
      </c>
      <c r="Q12" s="6"/>
      <c r="R12" s="6"/>
      <c r="S12" s="6"/>
      <c r="T12" s="6"/>
      <c r="U12" s="6"/>
      <c r="V12" s="6"/>
      <c r="W12" s="6" t="s">
        <v>167</v>
      </c>
      <c r="X12" s="6" t="s">
        <v>171</v>
      </c>
      <c r="Y12" s="6" t="s">
        <v>151</v>
      </c>
      <c r="Z12" s="6" t="s">
        <v>152</v>
      </c>
      <c r="AA12" s="6" t="s">
        <v>153</v>
      </c>
      <c r="AB12" s="6" t="s">
        <v>154</v>
      </c>
      <c r="AC12" s="6" t="s">
        <v>106</v>
      </c>
      <c r="AD12" s="6"/>
      <c r="AE12" s="6"/>
      <c r="AF12" s="6"/>
      <c r="AG12" s="6"/>
      <c r="AH12" s="6"/>
      <c r="AI12" s="6"/>
      <c r="AJ12" s="6"/>
      <c r="AK12" s="6"/>
      <c r="AL12" s="6" t="s">
        <v>168</v>
      </c>
      <c r="AM12" s="6" t="s">
        <v>169</v>
      </c>
      <c r="AN12" s="6" t="n">
        <v>3</v>
      </c>
      <c r="AO12" s="6" t="s">
        <v>109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customFormat="false" ht="33.75" hidden="false" customHeight="true" outlineLevel="0" collapsed="false">
      <c r="A13" s="6" t="n">
        <v>13</v>
      </c>
      <c r="B13" s="7" t="s">
        <v>174</v>
      </c>
      <c r="C13" s="6" t="s">
        <v>175</v>
      </c>
      <c r="D13" s="6" t="s">
        <v>145</v>
      </c>
      <c r="E13" s="6" t="s">
        <v>146</v>
      </c>
      <c r="F13" s="6"/>
      <c r="G13" s="6"/>
      <c r="H13" s="6" t="s">
        <v>159</v>
      </c>
      <c r="I13" s="7" t="s">
        <v>160</v>
      </c>
      <c r="J13" s="7" t="s">
        <v>176</v>
      </c>
      <c r="K13" s="7" t="s">
        <v>177</v>
      </c>
      <c r="L13" s="6" t="s">
        <v>96</v>
      </c>
      <c r="M13" s="6" t="s">
        <v>163</v>
      </c>
      <c r="N13" s="6" t="s">
        <v>149</v>
      </c>
      <c r="O13" s="6" t="s">
        <v>165</v>
      </c>
      <c r="P13" s="6" t="s">
        <v>178</v>
      </c>
      <c r="Q13" s="6"/>
      <c r="R13" s="6"/>
      <c r="S13" s="6"/>
      <c r="T13" s="6"/>
      <c r="U13" s="6"/>
      <c r="V13" s="6"/>
      <c r="W13" s="6" t="s">
        <v>167</v>
      </c>
      <c r="X13" s="6" t="s">
        <v>175</v>
      </c>
      <c r="Y13" s="6" t="s">
        <v>151</v>
      </c>
      <c r="Z13" s="6" t="s">
        <v>152</v>
      </c>
      <c r="AA13" s="6" t="s">
        <v>153</v>
      </c>
      <c r="AB13" s="6" t="s">
        <v>154</v>
      </c>
      <c r="AC13" s="6" t="s">
        <v>106</v>
      </c>
      <c r="AD13" s="6"/>
      <c r="AE13" s="6"/>
      <c r="AF13" s="6"/>
      <c r="AG13" s="6"/>
      <c r="AH13" s="6"/>
      <c r="AI13" s="6"/>
      <c r="AJ13" s="6"/>
      <c r="AK13" s="6"/>
      <c r="AL13" s="6" t="s">
        <v>168</v>
      </c>
      <c r="AM13" s="6" t="s">
        <v>169</v>
      </c>
      <c r="AN13" s="6" t="n">
        <v>4</v>
      </c>
      <c r="AO13" s="6" t="s">
        <v>109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customFormat="false" ht="33.75" hidden="false" customHeight="true" outlineLevel="0" collapsed="false">
      <c r="A14" s="6" t="n">
        <v>14</v>
      </c>
      <c r="B14" s="7" t="s">
        <v>179</v>
      </c>
      <c r="C14" s="6" t="s">
        <v>180</v>
      </c>
      <c r="D14" s="6" t="s">
        <v>181</v>
      </c>
      <c r="E14" s="6" t="s">
        <v>182</v>
      </c>
      <c r="F14" s="6"/>
      <c r="G14" s="6"/>
      <c r="H14" s="6" t="s">
        <v>159</v>
      </c>
      <c r="I14" s="7" t="s">
        <v>160</v>
      </c>
      <c r="J14" s="7" t="s">
        <v>183</v>
      </c>
      <c r="K14" s="7" t="s">
        <v>184</v>
      </c>
      <c r="L14" s="6" t="s">
        <v>96</v>
      </c>
      <c r="M14" s="6" t="s">
        <v>185</v>
      </c>
      <c r="N14" s="6" t="s">
        <v>186</v>
      </c>
      <c r="O14" s="6" t="s">
        <v>165</v>
      </c>
      <c r="P14" s="6" t="s">
        <v>187</v>
      </c>
      <c r="Q14" s="6"/>
      <c r="R14" s="6"/>
      <c r="S14" s="6"/>
      <c r="T14" s="6"/>
      <c r="U14" s="6"/>
      <c r="V14" s="6"/>
      <c r="W14" s="6" t="s">
        <v>167</v>
      </c>
      <c r="X14" s="6" t="s">
        <v>180</v>
      </c>
      <c r="Y14" s="6" t="s">
        <v>188</v>
      </c>
      <c r="Z14" s="6" t="s">
        <v>152</v>
      </c>
      <c r="AA14" s="6" t="s">
        <v>189</v>
      </c>
      <c r="AB14" s="6" t="s">
        <v>154</v>
      </c>
      <c r="AC14" s="6" t="s">
        <v>106</v>
      </c>
      <c r="AD14" s="6"/>
      <c r="AE14" s="6"/>
      <c r="AF14" s="6"/>
      <c r="AG14" s="6"/>
      <c r="AH14" s="6"/>
      <c r="AI14" s="6"/>
      <c r="AJ14" s="6"/>
      <c r="AK14" s="6"/>
      <c r="AL14" s="6" t="s">
        <v>168</v>
      </c>
      <c r="AM14" s="6" t="s">
        <v>169</v>
      </c>
      <c r="AN14" s="6" t="n">
        <v>5</v>
      </c>
      <c r="AO14" s="6" t="s">
        <v>109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customFormat="false" ht="33.75" hidden="false" customHeight="true" outlineLevel="0" collapsed="false">
      <c r="A15" s="6" t="n">
        <v>15</v>
      </c>
      <c r="B15" s="7" t="s">
        <v>190</v>
      </c>
      <c r="C15" s="6" t="s">
        <v>191</v>
      </c>
      <c r="D15" s="6" t="s">
        <v>145</v>
      </c>
      <c r="E15" s="6" t="s">
        <v>146</v>
      </c>
      <c r="F15" s="6"/>
      <c r="G15" s="6"/>
      <c r="H15" s="6" t="s">
        <v>192</v>
      </c>
      <c r="I15" s="7" t="s">
        <v>193</v>
      </c>
      <c r="J15" s="7" t="s">
        <v>194</v>
      </c>
      <c r="K15" s="6"/>
      <c r="L15" s="6" t="s">
        <v>96</v>
      </c>
      <c r="M15" s="6" t="s">
        <v>195</v>
      </c>
      <c r="N15" s="6" t="s">
        <v>149</v>
      </c>
      <c r="O15" s="6" t="s">
        <v>196</v>
      </c>
      <c r="P15" s="6" t="s">
        <v>197</v>
      </c>
      <c r="Q15" s="6"/>
      <c r="R15" s="6" t="s">
        <v>198</v>
      </c>
      <c r="S15" s="6"/>
      <c r="T15" s="6"/>
      <c r="U15" s="6"/>
      <c r="V15" s="6" t="s">
        <v>199</v>
      </c>
      <c r="W15" s="6" t="s">
        <v>200</v>
      </c>
      <c r="X15" s="6" t="s">
        <v>191</v>
      </c>
      <c r="Y15" s="6" t="s">
        <v>151</v>
      </c>
      <c r="Z15" s="6" t="s">
        <v>152</v>
      </c>
      <c r="AA15" s="6" t="s">
        <v>153</v>
      </c>
      <c r="AB15" s="6" t="s">
        <v>154</v>
      </c>
      <c r="AC15" s="6" t="s">
        <v>106</v>
      </c>
      <c r="AD15" s="6"/>
      <c r="AE15" s="6"/>
      <c r="AF15" s="6"/>
      <c r="AG15" s="6"/>
      <c r="AH15" s="6"/>
      <c r="AI15" s="6"/>
      <c r="AJ15" s="6"/>
      <c r="AK15" s="6"/>
      <c r="AL15" s="6" t="s">
        <v>201</v>
      </c>
      <c r="AM15" s="6" t="s">
        <v>202</v>
      </c>
      <c r="AN15" s="6" t="n">
        <v>2</v>
      </c>
      <c r="AO15" s="6" t="s">
        <v>109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customFormat="false" ht="33.75" hidden="false" customHeight="true" outlineLevel="0" collapsed="false">
      <c r="A16" s="6" t="n">
        <v>16</v>
      </c>
      <c r="B16" s="7" t="s">
        <v>203</v>
      </c>
      <c r="C16" s="6" t="s">
        <v>204</v>
      </c>
      <c r="D16" s="6" t="s">
        <v>205</v>
      </c>
      <c r="E16" s="6" t="s">
        <v>206</v>
      </c>
      <c r="F16" s="6"/>
      <c r="G16" s="6"/>
      <c r="H16" s="6" t="s">
        <v>192</v>
      </c>
      <c r="I16" s="7" t="s">
        <v>193</v>
      </c>
      <c r="J16" s="7" t="s">
        <v>207</v>
      </c>
      <c r="K16" s="6"/>
      <c r="L16" s="6" t="s">
        <v>96</v>
      </c>
      <c r="M16" s="6" t="s">
        <v>195</v>
      </c>
      <c r="N16" s="6" t="s">
        <v>208</v>
      </c>
      <c r="O16" s="6" t="s">
        <v>196</v>
      </c>
      <c r="P16" s="6" t="s">
        <v>197</v>
      </c>
      <c r="Q16" s="6"/>
      <c r="R16" s="6" t="s">
        <v>198</v>
      </c>
      <c r="S16" s="6"/>
      <c r="T16" s="6"/>
      <c r="U16" s="6"/>
      <c r="V16" s="6" t="s">
        <v>199</v>
      </c>
      <c r="W16" s="6" t="s">
        <v>200</v>
      </c>
      <c r="X16" s="6" t="s">
        <v>204</v>
      </c>
      <c r="Y16" s="6" t="s">
        <v>209</v>
      </c>
      <c r="Z16" s="6" t="s">
        <v>210</v>
      </c>
      <c r="AA16" s="6" t="s">
        <v>104</v>
      </c>
      <c r="AB16" s="6" t="s">
        <v>154</v>
      </c>
      <c r="AC16" s="6" t="s">
        <v>106</v>
      </c>
      <c r="AD16" s="6"/>
      <c r="AE16" s="6"/>
      <c r="AF16" s="6"/>
      <c r="AG16" s="6"/>
      <c r="AH16" s="6"/>
      <c r="AI16" s="6"/>
      <c r="AJ16" s="6"/>
      <c r="AK16" s="6"/>
      <c r="AL16" s="6" t="s">
        <v>201</v>
      </c>
      <c r="AM16" s="6" t="s">
        <v>202</v>
      </c>
      <c r="AN16" s="6" t="n">
        <v>3</v>
      </c>
      <c r="AO16" s="6" t="s">
        <v>109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customFormat="false" ht="33.75" hidden="false" customHeight="true" outlineLevel="0" collapsed="false">
      <c r="A17" s="6" t="n">
        <v>17</v>
      </c>
      <c r="B17" s="7" t="s">
        <v>211</v>
      </c>
      <c r="C17" s="6" t="s">
        <v>212</v>
      </c>
      <c r="D17" s="6" t="s">
        <v>213</v>
      </c>
      <c r="E17" s="6" t="s">
        <v>214</v>
      </c>
      <c r="F17" s="6"/>
      <c r="G17" s="6"/>
      <c r="H17" s="6" t="s">
        <v>192</v>
      </c>
      <c r="I17" s="7" t="s">
        <v>193</v>
      </c>
      <c r="J17" s="7" t="s">
        <v>215</v>
      </c>
      <c r="K17" s="6"/>
      <c r="L17" s="6" t="s">
        <v>96</v>
      </c>
      <c r="M17" s="6" t="s">
        <v>195</v>
      </c>
      <c r="N17" s="6" t="s">
        <v>216</v>
      </c>
      <c r="O17" s="6" t="s">
        <v>196</v>
      </c>
      <c r="P17" s="6" t="s">
        <v>197</v>
      </c>
      <c r="Q17" s="6"/>
      <c r="R17" s="6" t="s">
        <v>198</v>
      </c>
      <c r="S17" s="6"/>
      <c r="T17" s="6"/>
      <c r="U17" s="6"/>
      <c r="V17" s="6" t="s">
        <v>199</v>
      </c>
      <c r="W17" s="6" t="s">
        <v>200</v>
      </c>
      <c r="X17" s="6" t="s">
        <v>212</v>
      </c>
      <c r="Y17" s="6" t="s">
        <v>217</v>
      </c>
      <c r="Z17" s="6" t="s">
        <v>210</v>
      </c>
      <c r="AA17" s="6" t="s">
        <v>104</v>
      </c>
      <c r="AB17" s="6" t="s">
        <v>154</v>
      </c>
      <c r="AC17" s="6" t="s">
        <v>106</v>
      </c>
      <c r="AD17" s="6"/>
      <c r="AE17" s="6"/>
      <c r="AF17" s="6"/>
      <c r="AG17" s="6"/>
      <c r="AH17" s="6"/>
      <c r="AI17" s="6"/>
      <c r="AJ17" s="6"/>
      <c r="AK17" s="6"/>
      <c r="AL17" s="6" t="s">
        <v>201</v>
      </c>
      <c r="AM17" s="6" t="s">
        <v>202</v>
      </c>
      <c r="AN17" s="6" t="n">
        <v>4</v>
      </c>
      <c r="AO17" s="6" t="s">
        <v>109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customFormat="false" ht="33.75" hidden="false" customHeight="true" outlineLevel="0" collapsed="false">
      <c r="A18" s="6" t="n">
        <v>18</v>
      </c>
      <c r="B18" s="7" t="s">
        <v>218</v>
      </c>
      <c r="C18" s="6" t="s">
        <v>219</v>
      </c>
      <c r="D18" s="6" t="s">
        <v>220</v>
      </c>
      <c r="E18" s="6" t="s">
        <v>221</v>
      </c>
      <c r="F18" s="6"/>
      <c r="G18" s="6"/>
      <c r="H18" s="6" t="s">
        <v>192</v>
      </c>
      <c r="I18" s="7" t="s">
        <v>193</v>
      </c>
      <c r="J18" s="7" t="s">
        <v>222</v>
      </c>
      <c r="K18" s="6"/>
      <c r="L18" s="6" t="s">
        <v>96</v>
      </c>
      <c r="M18" s="6" t="s">
        <v>195</v>
      </c>
      <c r="N18" s="6" t="s">
        <v>223</v>
      </c>
      <c r="O18" s="6" t="s">
        <v>196</v>
      </c>
      <c r="P18" s="6" t="s">
        <v>197</v>
      </c>
      <c r="Q18" s="6"/>
      <c r="R18" s="6" t="s">
        <v>198</v>
      </c>
      <c r="S18" s="6"/>
      <c r="T18" s="6"/>
      <c r="U18" s="6"/>
      <c r="V18" s="6" t="s">
        <v>199</v>
      </c>
      <c r="W18" s="6" t="s">
        <v>200</v>
      </c>
      <c r="X18" s="6" t="s">
        <v>219</v>
      </c>
      <c r="Y18" s="6" t="s">
        <v>224</v>
      </c>
      <c r="Z18" s="6" t="s">
        <v>152</v>
      </c>
      <c r="AA18" s="6" t="s">
        <v>225</v>
      </c>
      <c r="AB18" s="6" t="s">
        <v>154</v>
      </c>
      <c r="AC18" s="6" t="s">
        <v>106</v>
      </c>
      <c r="AD18" s="6"/>
      <c r="AE18" s="6"/>
      <c r="AF18" s="6"/>
      <c r="AG18" s="6"/>
      <c r="AH18" s="6"/>
      <c r="AI18" s="6"/>
      <c r="AJ18" s="6"/>
      <c r="AK18" s="6"/>
      <c r="AL18" s="6" t="s">
        <v>201</v>
      </c>
      <c r="AM18" s="6" t="s">
        <v>202</v>
      </c>
      <c r="AN18" s="6" t="n">
        <v>5</v>
      </c>
      <c r="AO18" s="6" t="s">
        <v>109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customFormat="false" ht="33.75" hidden="false" customHeight="true" outlineLevel="0" collapsed="false">
      <c r="A19" s="6" t="n">
        <v>19</v>
      </c>
      <c r="B19" s="7" t="s">
        <v>226</v>
      </c>
      <c r="C19" s="6" t="s">
        <v>227</v>
      </c>
      <c r="D19" s="6" t="s">
        <v>205</v>
      </c>
      <c r="E19" s="6" t="s">
        <v>206</v>
      </c>
      <c r="F19" s="6"/>
      <c r="G19" s="6"/>
      <c r="H19" s="6" t="s">
        <v>228</v>
      </c>
      <c r="I19" s="7" t="s">
        <v>229</v>
      </c>
      <c r="J19" s="7" t="s">
        <v>230</v>
      </c>
      <c r="K19" s="6"/>
      <c r="L19" s="6" t="s">
        <v>96</v>
      </c>
      <c r="M19" s="6" t="s">
        <v>231</v>
      </c>
      <c r="N19" s="6" t="s">
        <v>208</v>
      </c>
      <c r="O19" s="6" t="s">
        <v>232</v>
      </c>
      <c r="P19" s="6" t="s">
        <v>233</v>
      </c>
      <c r="Q19" s="8" t="n">
        <v>0.000441176666666987</v>
      </c>
      <c r="R19" s="6" t="s">
        <v>234</v>
      </c>
      <c r="S19" s="6"/>
      <c r="T19" s="6"/>
      <c r="U19" s="6"/>
      <c r="V19" s="6" t="s">
        <v>235</v>
      </c>
      <c r="W19" s="6" t="s">
        <v>236</v>
      </c>
      <c r="X19" s="6" t="s">
        <v>227</v>
      </c>
      <c r="Y19" s="6" t="s">
        <v>209</v>
      </c>
      <c r="Z19" s="6" t="s">
        <v>210</v>
      </c>
      <c r="AA19" s="6" t="s">
        <v>104</v>
      </c>
      <c r="AB19" s="6" t="s">
        <v>154</v>
      </c>
      <c r="AC19" s="6" t="s">
        <v>106</v>
      </c>
      <c r="AD19" s="6"/>
      <c r="AE19" s="6"/>
      <c r="AF19" s="6"/>
      <c r="AG19" s="6"/>
      <c r="AH19" s="6"/>
      <c r="AI19" s="6"/>
      <c r="AJ19" s="6"/>
      <c r="AK19" s="6"/>
      <c r="AL19" s="6" t="s">
        <v>237</v>
      </c>
      <c r="AM19" s="6" t="s">
        <v>238</v>
      </c>
      <c r="AN19" s="6" t="n">
        <v>2</v>
      </c>
      <c r="AO19" s="6" t="s">
        <v>109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customFormat="false" ht="33.75" hidden="false" customHeight="true" outlineLevel="0" collapsed="false">
      <c r="A20" s="6" t="n">
        <v>20</v>
      </c>
      <c r="B20" s="7" t="s">
        <v>239</v>
      </c>
      <c r="C20" s="6" t="s">
        <v>240</v>
      </c>
      <c r="D20" s="6" t="s">
        <v>213</v>
      </c>
      <c r="E20" s="6" t="s">
        <v>214</v>
      </c>
      <c r="F20" s="6"/>
      <c r="G20" s="6"/>
      <c r="H20" s="6" t="s">
        <v>228</v>
      </c>
      <c r="I20" s="7" t="s">
        <v>229</v>
      </c>
      <c r="J20" s="7" t="s">
        <v>241</v>
      </c>
      <c r="K20" s="6"/>
      <c r="L20" s="6" t="s">
        <v>96</v>
      </c>
      <c r="M20" s="6" t="s">
        <v>231</v>
      </c>
      <c r="N20" s="6" t="s">
        <v>216</v>
      </c>
      <c r="O20" s="6" t="s">
        <v>232</v>
      </c>
      <c r="P20" s="6" t="s">
        <v>233</v>
      </c>
      <c r="Q20" s="8" t="n">
        <v>0.026504872499999</v>
      </c>
      <c r="R20" s="6" t="s">
        <v>234</v>
      </c>
      <c r="S20" s="6"/>
      <c r="T20" s="6"/>
      <c r="U20" s="6"/>
      <c r="V20" s="6" t="s">
        <v>242</v>
      </c>
      <c r="W20" s="6" t="s">
        <v>236</v>
      </c>
      <c r="X20" s="6" t="s">
        <v>240</v>
      </c>
      <c r="Y20" s="6" t="s">
        <v>217</v>
      </c>
      <c r="Z20" s="6" t="s">
        <v>210</v>
      </c>
      <c r="AA20" s="6" t="s">
        <v>104</v>
      </c>
      <c r="AB20" s="6" t="s">
        <v>154</v>
      </c>
      <c r="AC20" s="6" t="s">
        <v>106</v>
      </c>
      <c r="AD20" s="6"/>
      <c r="AE20" s="6"/>
      <c r="AF20" s="6"/>
      <c r="AG20" s="6"/>
      <c r="AH20" s="6"/>
      <c r="AI20" s="6"/>
      <c r="AJ20" s="6"/>
      <c r="AK20" s="6"/>
      <c r="AL20" s="6" t="s">
        <v>237</v>
      </c>
      <c r="AM20" s="6" t="s">
        <v>238</v>
      </c>
      <c r="AN20" s="6" t="n">
        <v>3</v>
      </c>
      <c r="AO20" s="6" t="s">
        <v>109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customFormat="false" ht="33.75" hidden="false" customHeight="true" outlineLevel="0" collapsed="false">
      <c r="A21" s="6" t="n">
        <v>21</v>
      </c>
      <c r="B21" s="7" t="s">
        <v>243</v>
      </c>
      <c r="C21" s="6" t="s">
        <v>244</v>
      </c>
      <c r="D21" s="6" t="s">
        <v>220</v>
      </c>
      <c r="E21" s="6" t="s">
        <v>221</v>
      </c>
      <c r="F21" s="6"/>
      <c r="G21" s="6"/>
      <c r="H21" s="6" t="s">
        <v>228</v>
      </c>
      <c r="I21" s="7" t="s">
        <v>229</v>
      </c>
      <c r="J21" s="7" t="s">
        <v>245</v>
      </c>
      <c r="K21" s="6"/>
      <c r="L21" s="6" t="s">
        <v>96</v>
      </c>
      <c r="M21" s="6" t="s">
        <v>231</v>
      </c>
      <c r="N21" s="6" t="s">
        <v>223</v>
      </c>
      <c r="O21" s="6" t="s">
        <v>232</v>
      </c>
      <c r="P21" s="6" t="s">
        <v>233</v>
      </c>
      <c r="Q21" s="8" t="n">
        <v>0.0714824675000008</v>
      </c>
      <c r="R21" s="6" t="s">
        <v>234</v>
      </c>
      <c r="S21" s="6"/>
      <c r="T21" s="6"/>
      <c r="U21" s="6"/>
      <c r="V21" s="6" t="s">
        <v>246</v>
      </c>
      <c r="W21" s="6" t="s">
        <v>236</v>
      </c>
      <c r="X21" s="6" t="s">
        <v>244</v>
      </c>
      <c r="Y21" s="6" t="s">
        <v>224</v>
      </c>
      <c r="Z21" s="6" t="s">
        <v>152</v>
      </c>
      <c r="AA21" s="6" t="s">
        <v>225</v>
      </c>
      <c r="AB21" s="6" t="s">
        <v>154</v>
      </c>
      <c r="AC21" s="6" t="s">
        <v>106</v>
      </c>
      <c r="AD21" s="6"/>
      <c r="AE21" s="6"/>
      <c r="AF21" s="6"/>
      <c r="AG21" s="6"/>
      <c r="AH21" s="6"/>
      <c r="AI21" s="6"/>
      <c r="AJ21" s="6"/>
      <c r="AK21" s="6"/>
      <c r="AL21" s="6" t="s">
        <v>237</v>
      </c>
      <c r="AM21" s="6" t="s">
        <v>238</v>
      </c>
      <c r="AN21" s="6" t="n">
        <v>4</v>
      </c>
      <c r="AO21" s="6" t="s">
        <v>109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customFormat="false" ht="33.75" hidden="false" customHeight="true" outlineLevel="0" collapsed="false">
      <c r="A22" s="6" t="n">
        <v>22</v>
      </c>
      <c r="B22" s="7" t="s">
        <v>247</v>
      </c>
      <c r="C22" s="6" t="s">
        <v>248</v>
      </c>
      <c r="D22" s="6" t="s">
        <v>249</v>
      </c>
      <c r="E22" s="6" t="s">
        <v>250</v>
      </c>
      <c r="F22" s="6"/>
      <c r="G22" s="6"/>
      <c r="H22" s="6" t="s">
        <v>228</v>
      </c>
      <c r="I22" s="7" t="s">
        <v>229</v>
      </c>
      <c r="J22" s="7" t="s">
        <v>251</v>
      </c>
      <c r="K22" s="6"/>
      <c r="L22" s="6" t="s">
        <v>96</v>
      </c>
      <c r="M22" s="6" t="s">
        <v>231</v>
      </c>
      <c r="N22" s="6" t="s">
        <v>252</v>
      </c>
      <c r="O22" s="6" t="s">
        <v>232</v>
      </c>
      <c r="P22" s="6" t="s">
        <v>233</v>
      </c>
      <c r="Q22" s="8" t="n">
        <v>0.018707923333333</v>
      </c>
      <c r="R22" s="6" t="s">
        <v>234</v>
      </c>
      <c r="S22" s="6"/>
      <c r="T22" s="6"/>
      <c r="U22" s="6"/>
      <c r="V22" s="6" t="s">
        <v>253</v>
      </c>
      <c r="W22" s="6" t="s">
        <v>236</v>
      </c>
      <c r="X22" s="6" t="s">
        <v>248</v>
      </c>
      <c r="Y22" s="6"/>
      <c r="Z22" s="6" t="s">
        <v>103</v>
      </c>
      <c r="AA22" s="6" t="s">
        <v>104</v>
      </c>
      <c r="AB22" s="6" t="s">
        <v>105</v>
      </c>
      <c r="AC22" s="6" t="s">
        <v>106</v>
      </c>
      <c r="AD22" s="6"/>
      <c r="AE22" s="6"/>
      <c r="AF22" s="6"/>
      <c r="AG22" s="6"/>
      <c r="AH22" s="6"/>
      <c r="AI22" s="6"/>
      <c r="AJ22" s="6"/>
      <c r="AK22" s="6"/>
      <c r="AL22" s="6" t="s">
        <v>237</v>
      </c>
      <c r="AM22" s="6" t="s">
        <v>238</v>
      </c>
      <c r="AN22" s="6" t="n">
        <v>5</v>
      </c>
      <c r="AO22" s="6" t="s">
        <v>109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customFormat="false" ht="33.75" hidden="false" customHeight="true" outlineLevel="0" collapsed="false">
      <c r="A23" s="6" t="n">
        <v>23</v>
      </c>
      <c r="B23" s="7" t="s">
        <v>254</v>
      </c>
      <c r="C23" s="6" t="s">
        <v>255</v>
      </c>
      <c r="D23" s="6" t="s">
        <v>256</v>
      </c>
      <c r="E23" s="6" t="s">
        <v>257</v>
      </c>
      <c r="F23" s="6"/>
      <c r="G23" s="6"/>
      <c r="H23" s="6" t="s">
        <v>228</v>
      </c>
      <c r="I23" s="7" t="s">
        <v>229</v>
      </c>
      <c r="J23" s="7" t="s">
        <v>258</v>
      </c>
      <c r="K23" s="6"/>
      <c r="L23" s="6" t="s">
        <v>96</v>
      </c>
      <c r="M23" s="6" t="s">
        <v>231</v>
      </c>
      <c r="N23" s="6" t="s">
        <v>259</v>
      </c>
      <c r="O23" s="6" t="s">
        <v>232</v>
      </c>
      <c r="P23" s="6" t="s">
        <v>233</v>
      </c>
      <c r="Q23" s="8" t="n">
        <v>0.01102399625</v>
      </c>
      <c r="R23" s="6" t="s">
        <v>234</v>
      </c>
      <c r="S23" s="6"/>
      <c r="T23" s="6"/>
      <c r="U23" s="6"/>
      <c r="V23" s="6" t="s">
        <v>260</v>
      </c>
      <c r="W23" s="6" t="s">
        <v>236</v>
      </c>
      <c r="X23" s="6" t="s">
        <v>255</v>
      </c>
      <c r="Y23" s="6"/>
      <c r="Z23" s="6" t="s">
        <v>103</v>
      </c>
      <c r="AA23" s="6" t="s">
        <v>104</v>
      </c>
      <c r="AB23" s="6" t="s">
        <v>105</v>
      </c>
      <c r="AC23" s="6" t="s">
        <v>106</v>
      </c>
      <c r="AD23" s="6"/>
      <c r="AE23" s="6"/>
      <c r="AF23" s="6"/>
      <c r="AG23" s="6"/>
      <c r="AH23" s="6"/>
      <c r="AI23" s="6"/>
      <c r="AJ23" s="6"/>
      <c r="AK23" s="6"/>
      <c r="AL23" s="6" t="s">
        <v>237</v>
      </c>
      <c r="AM23" s="6" t="s">
        <v>238</v>
      </c>
      <c r="AN23" s="6" t="n">
        <v>6</v>
      </c>
      <c r="AO23" s="6" t="s">
        <v>109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customFormat="false" ht="33.75" hidden="false" customHeight="true" outlineLevel="0" collapsed="false">
      <c r="A24" s="6" t="n">
        <v>24</v>
      </c>
      <c r="B24" s="7" t="s">
        <v>261</v>
      </c>
      <c r="C24" s="6" t="s">
        <v>262</v>
      </c>
      <c r="D24" s="6" t="s">
        <v>263</v>
      </c>
      <c r="E24" s="6" t="s">
        <v>264</v>
      </c>
      <c r="F24" s="6"/>
      <c r="G24" s="6"/>
      <c r="H24" s="6" t="s">
        <v>228</v>
      </c>
      <c r="I24" s="7" t="s">
        <v>229</v>
      </c>
      <c r="J24" s="7" t="s">
        <v>265</v>
      </c>
      <c r="K24" s="6"/>
      <c r="L24" s="6" t="s">
        <v>96</v>
      </c>
      <c r="M24" s="6" t="s">
        <v>231</v>
      </c>
      <c r="N24" s="6" t="s">
        <v>266</v>
      </c>
      <c r="O24" s="6" t="s">
        <v>232</v>
      </c>
      <c r="P24" s="6" t="s">
        <v>233</v>
      </c>
      <c r="Q24" s="8" t="n">
        <v>0.00384895223377976</v>
      </c>
      <c r="R24" s="6" t="s">
        <v>234</v>
      </c>
      <c r="S24" s="6"/>
      <c r="T24" s="6"/>
      <c r="U24" s="6"/>
      <c r="V24" s="6" t="s">
        <v>260</v>
      </c>
      <c r="W24" s="6" t="s">
        <v>236</v>
      </c>
      <c r="X24" s="6" t="s">
        <v>262</v>
      </c>
      <c r="Y24" s="6"/>
      <c r="Z24" s="6" t="s">
        <v>103</v>
      </c>
      <c r="AA24" s="6" t="s">
        <v>104</v>
      </c>
      <c r="AB24" s="6" t="s">
        <v>105</v>
      </c>
      <c r="AC24" s="6" t="s">
        <v>106</v>
      </c>
      <c r="AD24" s="6"/>
      <c r="AE24" s="6"/>
      <c r="AF24" s="6"/>
      <c r="AG24" s="6"/>
      <c r="AH24" s="6"/>
      <c r="AI24" s="6"/>
      <c r="AJ24" s="6"/>
      <c r="AK24" s="6"/>
      <c r="AL24" s="6" t="s">
        <v>237</v>
      </c>
      <c r="AM24" s="6" t="s">
        <v>238</v>
      </c>
      <c r="AN24" s="6" t="n">
        <v>7</v>
      </c>
      <c r="AO24" s="6" t="s">
        <v>109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customFormat="false" ht="33.75" hidden="false" customHeight="true" outlineLevel="0" collapsed="false">
      <c r="A25" s="6" t="n">
        <v>25</v>
      </c>
      <c r="B25" s="7" t="s">
        <v>267</v>
      </c>
      <c r="C25" s="6" t="s">
        <v>268</v>
      </c>
      <c r="D25" s="6" t="s">
        <v>269</v>
      </c>
      <c r="E25" s="6" t="s">
        <v>270</v>
      </c>
      <c r="F25" s="6"/>
      <c r="G25" s="6"/>
      <c r="H25" s="6" t="s">
        <v>228</v>
      </c>
      <c r="I25" s="7" t="s">
        <v>229</v>
      </c>
      <c r="J25" s="7" t="s">
        <v>271</v>
      </c>
      <c r="K25" s="6"/>
      <c r="L25" s="6" t="s">
        <v>96</v>
      </c>
      <c r="M25" s="6" t="s">
        <v>231</v>
      </c>
      <c r="N25" s="6" t="s">
        <v>272</v>
      </c>
      <c r="O25" s="6" t="s">
        <v>232</v>
      </c>
      <c r="P25" s="6" t="s">
        <v>233</v>
      </c>
      <c r="Q25" s="8" t="n">
        <v>2.54699999997846E-005</v>
      </c>
      <c r="R25" s="6" t="s">
        <v>234</v>
      </c>
      <c r="S25" s="6"/>
      <c r="T25" s="6"/>
      <c r="U25" s="6"/>
      <c r="V25" s="6" t="s">
        <v>273</v>
      </c>
      <c r="W25" s="6" t="s">
        <v>236</v>
      </c>
      <c r="X25" s="6" t="s">
        <v>268</v>
      </c>
      <c r="Y25" s="6"/>
      <c r="Z25" s="6" t="s">
        <v>103</v>
      </c>
      <c r="AA25" s="6" t="s">
        <v>104</v>
      </c>
      <c r="AB25" s="6" t="s">
        <v>105</v>
      </c>
      <c r="AC25" s="6" t="s">
        <v>106</v>
      </c>
      <c r="AD25" s="6"/>
      <c r="AE25" s="6"/>
      <c r="AF25" s="6"/>
      <c r="AG25" s="6"/>
      <c r="AH25" s="6"/>
      <c r="AI25" s="6"/>
      <c r="AJ25" s="6"/>
      <c r="AK25" s="6"/>
      <c r="AL25" s="6" t="s">
        <v>237</v>
      </c>
      <c r="AM25" s="6" t="s">
        <v>238</v>
      </c>
      <c r="AN25" s="6" t="n">
        <v>8</v>
      </c>
      <c r="AO25" s="6" t="s">
        <v>109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customFormat="false" ht="33.75" hidden="false" customHeight="true" outlineLevel="0" collapsed="false">
      <c r="A26" s="6" t="n">
        <v>26</v>
      </c>
      <c r="B26" s="7" t="s">
        <v>274</v>
      </c>
      <c r="C26" s="6" t="s">
        <v>275</v>
      </c>
      <c r="D26" s="6" t="s">
        <v>145</v>
      </c>
      <c r="E26" s="6" t="s">
        <v>146</v>
      </c>
      <c r="F26" s="6"/>
      <c r="G26" s="6"/>
      <c r="H26" s="6" t="s">
        <v>276</v>
      </c>
      <c r="I26" s="7" t="s">
        <v>277</v>
      </c>
      <c r="J26" s="7" t="s">
        <v>278</v>
      </c>
      <c r="K26" s="7" t="s">
        <v>279</v>
      </c>
      <c r="L26" s="6" t="s">
        <v>280</v>
      </c>
      <c r="M26" s="6" t="s">
        <v>281</v>
      </c>
      <c r="N26" s="6" t="s">
        <v>149</v>
      </c>
      <c r="O26" s="6" t="s">
        <v>282</v>
      </c>
      <c r="P26" s="6" t="s">
        <v>283</v>
      </c>
      <c r="Q26" s="9" t="n">
        <v>101</v>
      </c>
      <c r="R26" s="6" t="s">
        <v>284</v>
      </c>
      <c r="S26" s="6"/>
      <c r="T26" s="6"/>
      <c r="U26" s="6"/>
      <c r="V26" s="6"/>
      <c r="W26" s="6" t="s">
        <v>279</v>
      </c>
      <c r="X26" s="6" t="s">
        <v>275</v>
      </c>
      <c r="Y26" s="6" t="s">
        <v>151</v>
      </c>
      <c r="Z26" s="6" t="s">
        <v>152</v>
      </c>
      <c r="AA26" s="6" t="s">
        <v>153</v>
      </c>
      <c r="AB26" s="6" t="s">
        <v>154</v>
      </c>
      <c r="AC26" s="6" t="s">
        <v>106</v>
      </c>
      <c r="AD26" s="6"/>
      <c r="AE26" s="6"/>
      <c r="AF26" s="6"/>
      <c r="AG26" s="6"/>
      <c r="AH26" s="6"/>
      <c r="AI26" s="6"/>
      <c r="AJ26" s="6"/>
      <c r="AK26" s="6"/>
      <c r="AL26" s="6" t="s">
        <v>285</v>
      </c>
      <c r="AM26" s="6" t="s">
        <v>276</v>
      </c>
      <c r="AN26" s="6" t="n">
        <v>2</v>
      </c>
      <c r="AO26" s="6" t="s">
        <v>286</v>
      </c>
      <c r="AP26" s="6" t="s">
        <v>287</v>
      </c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customFormat="false" ht="33.75" hidden="false" customHeight="true" outlineLevel="0" collapsed="false">
      <c r="A27" s="6" t="n">
        <v>27</v>
      </c>
      <c r="B27" s="7" t="s">
        <v>288</v>
      </c>
      <c r="C27" s="6" t="s">
        <v>289</v>
      </c>
      <c r="D27" s="6" t="s">
        <v>181</v>
      </c>
      <c r="E27" s="6" t="s">
        <v>182</v>
      </c>
      <c r="F27" s="6"/>
      <c r="G27" s="6"/>
      <c r="H27" s="6" t="s">
        <v>276</v>
      </c>
      <c r="I27" s="7" t="s">
        <v>290</v>
      </c>
      <c r="J27" s="7" t="s">
        <v>291</v>
      </c>
      <c r="K27" s="7" t="s">
        <v>292</v>
      </c>
      <c r="L27" s="6" t="s">
        <v>280</v>
      </c>
      <c r="M27" s="6" t="s">
        <v>293</v>
      </c>
      <c r="N27" s="6" t="s">
        <v>186</v>
      </c>
      <c r="O27" s="6" t="s">
        <v>282</v>
      </c>
      <c r="P27" s="6" t="s">
        <v>294</v>
      </c>
      <c r="Q27" s="8" t="n">
        <v>228</v>
      </c>
      <c r="R27" s="6" t="s">
        <v>295</v>
      </c>
      <c r="S27" s="6"/>
      <c r="T27" s="6"/>
      <c r="U27" s="6"/>
      <c r="V27" s="6"/>
      <c r="W27" s="6" t="s">
        <v>292</v>
      </c>
      <c r="X27" s="6" t="s">
        <v>289</v>
      </c>
      <c r="Y27" s="6" t="s">
        <v>188</v>
      </c>
      <c r="Z27" s="6" t="s">
        <v>152</v>
      </c>
      <c r="AA27" s="6" t="s">
        <v>189</v>
      </c>
      <c r="AB27" s="6" t="s">
        <v>154</v>
      </c>
      <c r="AC27" s="6" t="s">
        <v>106</v>
      </c>
      <c r="AD27" s="6"/>
      <c r="AE27" s="6"/>
      <c r="AF27" s="6"/>
      <c r="AG27" s="6"/>
      <c r="AH27" s="6"/>
      <c r="AI27" s="6"/>
      <c r="AJ27" s="6"/>
      <c r="AK27" s="6"/>
      <c r="AL27" s="6" t="s">
        <v>285</v>
      </c>
      <c r="AM27" s="6" t="s">
        <v>276</v>
      </c>
      <c r="AN27" s="6" t="n">
        <v>3</v>
      </c>
      <c r="AO27" s="6" t="s">
        <v>286</v>
      </c>
      <c r="AP27" s="6" t="s">
        <v>296</v>
      </c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customFormat="false" ht="33.75" hidden="false" customHeight="true" outlineLevel="0" collapsed="false">
      <c r="A28" s="6" t="n">
        <v>28</v>
      </c>
      <c r="B28" s="7" t="s">
        <v>297</v>
      </c>
      <c r="C28" s="6" t="s">
        <v>298</v>
      </c>
      <c r="D28" s="6" t="s">
        <v>145</v>
      </c>
      <c r="E28" s="6" t="s">
        <v>146</v>
      </c>
      <c r="F28" s="6"/>
      <c r="G28" s="6"/>
      <c r="H28" s="6" t="s">
        <v>276</v>
      </c>
      <c r="I28" s="7" t="s">
        <v>299</v>
      </c>
      <c r="J28" s="7" t="s">
        <v>300</v>
      </c>
      <c r="K28" s="7" t="s">
        <v>301</v>
      </c>
      <c r="L28" s="6" t="s">
        <v>280</v>
      </c>
      <c r="M28" s="6" t="s">
        <v>302</v>
      </c>
      <c r="N28" s="6" t="s">
        <v>149</v>
      </c>
      <c r="O28" s="6" t="s">
        <v>282</v>
      </c>
      <c r="P28" s="6" t="s">
        <v>303</v>
      </c>
      <c r="Q28" s="8" t="n">
        <v>16.7</v>
      </c>
      <c r="R28" s="6" t="s">
        <v>304</v>
      </c>
      <c r="S28" s="6"/>
      <c r="T28" s="6"/>
      <c r="U28" s="6"/>
      <c r="V28" s="6"/>
      <c r="W28" s="6" t="s">
        <v>301</v>
      </c>
      <c r="X28" s="6" t="s">
        <v>298</v>
      </c>
      <c r="Y28" s="6" t="s">
        <v>151</v>
      </c>
      <c r="Z28" s="6" t="s">
        <v>152</v>
      </c>
      <c r="AA28" s="6" t="s">
        <v>153</v>
      </c>
      <c r="AB28" s="6" t="s">
        <v>154</v>
      </c>
      <c r="AC28" s="6" t="s">
        <v>106</v>
      </c>
      <c r="AD28" s="6"/>
      <c r="AE28" s="6"/>
      <c r="AF28" s="6"/>
      <c r="AG28" s="6"/>
      <c r="AH28" s="6"/>
      <c r="AI28" s="6"/>
      <c r="AJ28" s="6"/>
      <c r="AK28" s="6"/>
      <c r="AL28" s="6" t="s">
        <v>285</v>
      </c>
      <c r="AM28" s="6" t="s">
        <v>276</v>
      </c>
      <c r="AN28" s="6" t="n">
        <v>4</v>
      </c>
      <c r="AO28" s="6" t="s">
        <v>286</v>
      </c>
      <c r="AP28" s="6" t="s">
        <v>305</v>
      </c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customFormat="false" ht="33.75" hidden="false" customHeight="true" outlineLevel="0" collapsed="false">
      <c r="A29" s="6" t="n">
        <v>29</v>
      </c>
      <c r="B29" s="7" t="s">
        <v>306</v>
      </c>
      <c r="C29" s="6" t="s">
        <v>307</v>
      </c>
      <c r="D29" s="6" t="s">
        <v>181</v>
      </c>
      <c r="E29" s="6" t="s">
        <v>182</v>
      </c>
      <c r="F29" s="6"/>
      <c r="G29" s="6"/>
      <c r="H29" s="6" t="s">
        <v>276</v>
      </c>
      <c r="I29" s="7" t="s">
        <v>308</v>
      </c>
      <c r="J29" s="7" t="s">
        <v>309</v>
      </c>
      <c r="K29" s="7" t="s">
        <v>310</v>
      </c>
      <c r="L29" s="6" t="s">
        <v>280</v>
      </c>
      <c r="M29" s="6" t="s">
        <v>302</v>
      </c>
      <c r="N29" s="6" t="s">
        <v>186</v>
      </c>
      <c r="O29" s="6" t="s">
        <v>282</v>
      </c>
      <c r="P29" s="6" t="s">
        <v>311</v>
      </c>
      <c r="Q29" s="8" t="n">
        <v>0.86</v>
      </c>
      <c r="R29" s="6" t="s">
        <v>312</v>
      </c>
      <c r="S29" s="6"/>
      <c r="T29" s="6"/>
      <c r="U29" s="6"/>
      <c r="V29" s="6"/>
      <c r="W29" s="6" t="s">
        <v>310</v>
      </c>
      <c r="X29" s="6" t="s">
        <v>307</v>
      </c>
      <c r="Y29" s="6" t="s">
        <v>188</v>
      </c>
      <c r="Z29" s="6" t="s">
        <v>152</v>
      </c>
      <c r="AA29" s="6" t="s">
        <v>189</v>
      </c>
      <c r="AB29" s="6" t="s">
        <v>154</v>
      </c>
      <c r="AC29" s="6" t="s">
        <v>106</v>
      </c>
      <c r="AD29" s="6"/>
      <c r="AE29" s="6"/>
      <c r="AF29" s="6"/>
      <c r="AG29" s="6"/>
      <c r="AH29" s="6"/>
      <c r="AI29" s="6"/>
      <c r="AJ29" s="6"/>
      <c r="AK29" s="6"/>
      <c r="AL29" s="6" t="s">
        <v>285</v>
      </c>
      <c r="AM29" s="6" t="s">
        <v>276</v>
      </c>
      <c r="AN29" s="6" t="n">
        <v>5</v>
      </c>
      <c r="AO29" s="6" t="s">
        <v>286</v>
      </c>
      <c r="AP29" s="6" t="s">
        <v>313</v>
      </c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customFormat="false" ht="33.75" hidden="false" customHeight="true" outlineLevel="0" collapsed="false">
      <c r="A30" s="6" t="n">
        <v>30</v>
      </c>
      <c r="B30" s="7" t="s">
        <v>314</v>
      </c>
      <c r="C30" s="6" t="s">
        <v>315</v>
      </c>
      <c r="D30" s="6" t="s">
        <v>316</v>
      </c>
      <c r="E30" s="6" t="s">
        <v>317</v>
      </c>
      <c r="F30" s="6"/>
      <c r="G30" s="6"/>
      <c r="H30" s="6" t="s">
        <v>276</v>
      </c>
      <c r="I30" s="7" t="s">
        <v>318</v>
      </c>
      <c r="J30" s="7" t="s">
        <v>319</v>
      </c>
      <c r="K30" s="7" t="s">
        <v>320</v>
      </c>
      <c r="L30" s="6" t="s">
        <v>280</v>
      </c>
      <c r="M30" s="6" t="s">
        <v>321</v>
      </c>
      <c r="N30" s="6" t="s">
        <v>322</v>
      </c>
      <c r="O30" s="6" t="s">
        <v>282</v>
      </c>
      <c r="P30" s="6" t="s">
        <v>323</v>
      </c>
      <c r="Q30" s="8" t="n">
        <v>1</v>
      </c>
      <c r="R30" s="6" t="s">
        <v>324</v>
      </c>
      <c r="S30" s="6"/>
      <c r="T30" s="6"/>
      <c r="U30" s="6"/>
      <c r="V30" s="6"/>
      <c r="W30" s="6" t="s">
        <v>320</v>
      </c>
      <c r="X30" s="6" t="s">
        <v>315</v>
      </c>
      <c r="Y30" s="6" t="s">
        <v>325</v>
      </c>
      <c r="Z30" s="6" t="s">
        <v>152</v>
      </c>
      <c r="AA30" s="6" t="s">
        <v>104</v>
      </c>
      <c r="AB30" s="6" t="s">
        <v>154</v>
      </c>
      <c r="AC30" s="6" t="s">
        <v>106</v>
      </c>
      <c r="AD30" s="6"/>
      <c r="AE30" s="6"/>
      <c r="AF30" s="6"/>
      <c r="AG30" s="6"/>
      <c r="AH30" s="6"/>
      <c r="AI30" s="6"/>
      <c r="AJ30" s="6"/>
      <c r="AK30" s="6"/>
      <c r="AL30" s="6" t="s">
        <v>285</v>
      </c>
      <c r="AM30" s="6" t="s">
        <v>276</v>
      </c>
      <c r="AN30" s="6" t="n">
        <v>6</v>
      </c>
      <c r="AO30" s="6" t="s">
        <v>286</v>
      </c>
      <c r="AP30" s="6" t="s">
        <v>326</v>
      </c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customFormat="false" ht="33.75" hidden="false" customHeight="true" outlineLevel="0" collapsed="false">
      <c r="A31" s="6" t="n">
        <v>31</v>
      </c>
      <c r="B31" s="7" t="s">
        <v>327</v>
      </c>
      <c r="C31" s="6" t="s">
        <v>328</v>
      </c>
      <c r="D31" s="6" t="s">
        <v>157</v>
      </c>
      <c r="E31" s="6" t="s">
        <v>158</v>
      </c>
      <c r="F31" s="6"/>
      <c r="G31" s="6"/>
      <c r="H31" s="6" t="s">
        <v>276</v>
      </c>
      <c r="I31" s="7" t="s">
        <v>329</v>
      </c>
      <c r="J31" s="7" t="s">
        <v>330</v>
      </c>
      <c r="K31" s="7" t="s">
        <v>331</v>
      </c>
      <c r="L31" s="6" t="s">
        <v>332</v>
      </c>
      <c r="M31" s="6" t="s">
        <v>333</v>
      </c>
      <c r="N31" s="6" t="s">
        <v>164</v>
      </c>
      <c r="O31" s="6" t="s">
        <v>282</v>
      </c>
      <c r="P31" s="6" t="s">
        <v>334</v>
      </c>
      <c r="Q31" s="8" t="n">
        <v>1</v>
      </c>
      <c r="R31" s="6" t="s">
        <v>324</v>
      </c>
      <c r="S31" s="6"/>
      <c r="T31" s="6"/>
      <c r="U31" s="6"/>
      <c r="V31" s="6"/>
      <c r="W31" s="6" t="s">
        <v>331</v>
      </c>
      <c r="X31" s="6" t="s">
        <v>328</v>
      </c>
      <c r="Y31" s="6"/>
      <c r="Z31" s="6" t="s">
        <v>103</v>
      </c>
      <c r="AA31" s="6" t="s">
        <v>104</v>
      </c>
      <c r="AB31" s="6" t="s">
        <v>105</v>
      </c>
      <c r="AC31" s="6" t="s">
        <v>106</v>
      </c>
      <c r="AD31" s="6"/>
      <c r="AE31" s="6"/>
      <c r="AF31" s="6"/>
      <c r="AG31" s="6"/>
      <c r="AH31" s="6"/>
      <c r="AI31" s="6"/>
      <c r="AJ31" s="6"/>
      <c r="AK31" s="6"/>
      <c r="AL31" s="6" t="s">
        <v>285</v>
      </c>
      <c r="AM31" s="6" t="s">
        <v>276</v>
      </c>
      <c r="AN31" s="6" t="n">
        <v>7</v>
      </c>
      <c r="AO31" s="6" t="s">
        <v>335</v>
      </c>
      <c r="AP31" s="6" t="s">
        <v>336</v>
      </c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customFormat="false" ht="33.75" hidden="false" customHeight="true" outlineLevel="0" collapsed="false">
      <c r="A32" s="6" t="n">
        <v>32</v>
      </c>
      <c r="B32" s="7" t="s">
        <v>337</v>
      </c>
      <c r="C32" s="6" t="s">
        <v>338</v>
      </c>
      <c r="D32" s="6" t="s">
        <v>145</v>
      </c>
      <c r="E32" s="6" t="s">
        <v>146</v>
      </c>
      <c r="F32" s="6"/>
      <c r="G32" s="6"/>
      <c r="H32" s="6" t="s">
        <v>276</v>
      </c>
      <c r="I32" s="7" t="s">
        <v>339</v>
      </c>
      <c r="J32" s="7" t="s">
        <v>340</v>
      </c>
      <c r="K32" s="6" t="s">
        <v>341</v>
      </c>
      <c r="L32" s="6" t="s">
        <v>332</v>
      </c>
      <c r="M32" s="6" t="s">
        <v>342</v>
      </c>
      <c r="N32" s="6" t="s">
        <v>149</v>
      </c>
      <c r="O32" s="6" t="s">
        <v>282</v>
      </c>
      <c r="P32" s="6" t="s">
        <v>343</v>
      </c>
      <c r="Q32" s="8" t="n">
        <v>1</v>
      </c>
      <c r="R32" s="6" t="s">
        <v>324</v>
      </c>
      <c r="S32" s="6"/>
      <c r="T32" s="6"/>
      <c r="U32" s="6"/>
      <c r="V32" s="6"/>
      <c r="W32" s="6" t="s">
        <v>341</v>
      </c>
      <c r="X32" s="6" t="s">
        <v>338</v>
      </c>
      <c r="Y32" s="6" t="s">
        <v>151</v>
      </c>
      <c r="Z32" s="6" t="s">
        <v>152</v>
      </c>
      <c r="AA32" s="6" t="s">
        <v>153</v>
      </c>
      <c r="AB32" s="6" t="s">
        <v>154</v>
      </c>
      <c r="AC32" s="6" t="s">
        <v>106</v>
      </c>
      <c r="AD32" s="6"/>
      <c r="AE32" s="6"/>
      <c r="AF32" s="6"/>
      <c r="AG32" s="6"/>
      <c r="AH32" s="6"/>
      <c r="AI32" s="6"/>
      <c r="AJ32" s="6"/>
      <c r="AK32" s="6"/>
      <c r="AL32" s="6" t="s">
        <v>285</v>
      </c>
      <c r="AM32" s="6" t="s">
        <v>276</v>
      </c>
      <c r="AN32" s="6" t="n">
        <v>8</v>
      </c>
      <c r="AO32" s="6" t="s">
        <v>335</v>
      </c>
      <c r="AP32" s="6" t="s">
        <v>344</v>
      </c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customFormat="false" ht="33.75" hidden="false" customHeight="true" outlineLevel="0" collapsed="false">
      <c r="A33" s="6" t="n">
        <v>33</v>
      </c>
      <c r="B33" s="7" t="s">
        <v>345</v>
      </c>
      <c r="C33" s="6" t="s">
        <v>346</v>
      </c>
      <c r="D33" s="6" t="s">
        <v>145</v>
      </c>
      <c r="E33" s="6" t="s">
        <v>146</v>
      </c>
      <c r="F33" s="6" t="s">
        <v>347</v>
      </c>
      <c r="G33" s="6" t="s">
        <v>348</v>
      </c>
      <c r="H33" s="6" t="s">
        <v>349</v>
      </c>
      <c r="I33" s="7" t="s">
        <v>350</v>
      </c>
      <c r="J33" s="7" t="s">
        <v>351</v>
      </c>
      <c r="K33" s="6"/>
      <c r="L33" s="6" t="s">
        <v>352</v>
      </c>
      <c r="M33" s="6" t="s">
        <v>353</v>
      </c>
      <c r="N33" s="6" t="s">
        <v>149</v>
      </c>
      <c r="O33" s="6" t="s">
        <v>354</v>
      </c>
      <c r="P33" s="6" t="s">
        <v>283</v>
      </c>
      <c r="Q33" s="9" t="n">
        <v>101.52</v>
      </c>
      <c r="R33" s="6" t="s">
        <v>284</v>
      </c>
      <c r="S33" s="6" t="n">
        <v>23</v>
      </c>
      <c r="T33" s="6" t="n">
        <v>101.3</v>
      </c>
      <c r="U33" s="6" t="n">
        <v>0.001</v>
      </c>
      <c r="V33" s="6" t="s">
        <v>355</v>
      </c>
      <c r="W33" s="6" t="s">
        <v>356</v>
      </c>
      <c r="X33" s="6" t="s">
        <v>346</v>
      </c>
      <c r="Y33" s="6" t="s">
        <v>151</v>
      </c>
      <c r="Z33" s="6" t="s">
        <v>152</v>
      </c>
      <c r="AA33" s="6" t="s">
        <v>153</v>
      </c>
      <c r="AB33" s="6" t="s">
        <v>154</v>
      </c>
      <c r="AC33" s="6" t="s">
        <v>106</v>
      </c>
      <c r="AD33" s="6"/>
      <c r="AE33" s="6"/>
      <c r="AF33" s="6"/>
      <c r="AG33" s="6"/>
      <c r="AH33" s="6"/>
      <c r="AI33" s="6"/>
      <c r="AJ33" s="6"/>
      <c r="AK33" s="6"/>
      <c r="AL33" s="6" t="s">
        <v>357</v>
      </c>
      <c r="AM33" s="6" t="s">
        <v>358</v>
      </c>
      <c r="AN33" s="6" t="n">
        <v>2</v>
      </c>
      <c r="AO33" s="6" t="s">
        <v>359</v>
      </c>
      <c r="AP33" s="6" t="s">
        <v>360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customFormat="false" ht="33.75" hidden="false" customHeight="true" outlineLevel="0" collapsed="false">
      <c r="A34" s="6" t="n">
        <v>34</v>
      </c>
      <c r="B34" s="7" t="s">
        <v>361</v>
      </c>
      <c r="C34" s="6" t="s">
        <v>362</v>
      </c>
      <c r="D34" s="6" t="s">
        <v>145</v>
      </c>
      <c r="E34" s="6" t="s">
        <v>146</v>
      </c>
      <c r="F34" s="6" t="s">
        <v>347</v>
      </c>
      <c r="G34" s="6" t="s">
        <v>348</v>
      </c>
      <c r="H34" s="6" t="s">
        <v>349</v>
      </c>
      <c r="I34" s="7" t="s">
        <v>350</v>
      </c>
      <c r="J34" s="7" t="s">
        <v>363</v>
      </c>
      <c r="K34" s="6"/>
      <c r="L34" s="6" t="s">
        <v>364</v>
      </c>
      <c r="M34" s="6" t="s">
        <v>365</v>
      </c>
      <c r="N34" s="6" t="s">
        <v>149</v>
      </c>
      <c r="O34" s="6" t="s">
        <v>354</v>
      </c>
      <c r="P34" s="6" t="s">
        <v>366</v>
      </c>
      <c r="Q34" s="8" t="n">
        <v>1.699</v>
      </c>
      <c r="R34" s="6" t="s">
        <v>367</v>
      </c>
      <c r="S34" s="6" t="n">
        <v>20</v>
      </c>
      <c r="T34" s="6" t="n">
        <v>101.3</v>
      </c>
      <c r="U34" s="6" t="n">
        <v>0.001</v>
      </c>
      <c r="V34" s="6" t="s">
        <v>355</v>
      </c>
      <c r="W34" s="6" t="s">
        <v>356</v>
      </c>
      <c r="X34" s="6" t="s">
        <v>362</v>
      </c>
      <c r="Y34" s="6" t="s">
        <v>151</v>
      </c>
      <c r="Z34" s="6" t="s">
        <v>152</v>
      </c>
      <c r="AA34" s="6" t="s">
        <v>153</v>
      </c>
      <c r="AB34" s="6" t="s">
        <v>154</v>
      </c>
      <c r="AC34" s="6" t="s">
        <v>106</v>
      </c>
      <c r="AD34" s="6"/>
      <c r="AE34" s="6"/>
      <c r="AF34" s="6"/>
      <c r="AG34" s="6"/>
      <c r="AH34" s="6"/>
      <c r="AI34" s="6"/>
      <c r="AJ34" s="6"/>
      <c r="AK34" s="6"/>
      <c r="AL34" s="6" t="s">
        <v>357</v>
      </c>
      <c r="AM34" s="6" t="s">
        <v>358</v>
      </c>
      <c r="AN34" s="6" t="n">
        <v>3</v>
      </c>
      <c r="AO34" s="6" t="s">
        <v>368</v>
      </c>
      <c r="AP34" s="6" t="s">
        <v>369</v>
      </c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customFormat="false" ht="33.75" hidden="false" customHeight="true" outlineLevel="0" collapsed="false">
      <c r="A35" s="6" t="n">
        <v>35</v>
      </c>
      <c r="B35" s="7" t="s">
        <v>370</v>
      </c>
      <c r="C35" s="6" t="s">
        <v>371</v>
      </c>
      <c r="D35" s="6" t="s">
        <v>372</v>
      </c>
      <c r="E35" s="6" t="s">
        <v>373</v>
      </c>
      <c r="F35" s="6" t="s">
        <v>374</v>
      </c>
      <c r="G35" s="6" t="s">
        <v>375</v>
      </c>
      <c r="H35" s="6" t="s">
        <v>349</v>
      </c>
      <c r="I35" s="7" t="s">
        <v>350</v>
      </c>
      <c r="J35" s="7" t="s">
        <v>376</v>
      </c>
      <c r="K35" s="6"/>
      <c r="L35" s="6" t="s">
        <v>377</v>
      </c>
      <c r="M35" s="6" t="s">
        <v>353</v>
      </c>
      <c r="N35" s="6" t="s">
        <v>378</v>
      </c>
      <c r="O35" s="6" t="s">
        <v>354</v>
      </c>
      <c r="P35" s="6" t="s">
        <v>283</v>
      </c>
      <c r="Q35" s="9" t="n">
        <v>100.94</v>
      </c>
      <c r="R35" s="6" t="s">
        <v>284</v>
      </c>
      <c r="S35" s="6" t="n">
        <v>23</v>
      </c>
      <c r="T35" s="6" t="n">
        <v>101.3</v>
      </c>
      <c r="U35" s="6" t="n">
        <v>0.001</v>
      </c>
      <c r="V35" s="6" t="s">
        <v>355</v>
      </c>
      <c r="W35" s="6" t="s">
        <v>356</v>
      </c>
      <c r="X35" s="6" t="s">
        <v>371</v>
      </c>
      <c r="Y35" s="6" t="s">
        <v>379</v>
      </c>
      <c r="Z35" s="6" t="s">
        <v>152</v>
      </c>
      <c r="AA35" s="6" t="s">
        <v>225</v>
      </c>
      <c r="AB35" s="6" t="s">
        <v>154</v>
      </c>
      <c r="AC35" s="6" t="s">
        <v>106</v>
      </c>
      <c r="AD35" s="6"/>
      <c r="AE35" s="6"/>
      <c r="AF35" s="6"/>
      <c r="AG35" s="6"/>
      <c r="AH35" s="6"/>
      <c r="AI35" s="6"/>
      <c r="AJ35" s="6"/>
      <c r="AK35" s="6"/>
      <c r="AL35" s="6" t="s">
        <v>357</v>
      </c>
      <c r="AM35" s="6" t="s">
        <v>358</v>
      </c>
      <c r="AN35" s="6" t="n">
        <v>4</v>
      </c>
      <c r="AO35" s="6" t="s">
        <v>380</v>
      </c>
      <c r="AP35" s="6" t="s">
        <v>360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customFormat="false" ht="33.75" hidden="false" customHeight="true" outlineLevel="0" collapsed="false">
      <c r="A36" s="6" t="n">
        <v>36</v>
      </c>
      <c r="B36" s="7" t="s">
        <v>381</v>
      </c>
      <c r="C36" s="6" t="s">
        <v>382</v>
      </c>
      <c r="D36" s="6" t="s">
        <v>181</v>
      </c>
      <c r="E36" s="6" t="s">
        <v>182</v>
      </c>
      <c r="F36" s="6" t="s">
        <v>383</v>
      </c>
      <c r="G36" s="6" t="s">
        <v>384</v>
      </c>
      <c r="H36" s="6" t="s">
        <v>349</v>
      </c>
      <c r="I36" s="7" t="s">
        <v>350</v>
      </c>
      <c r="J36" s="7" t="s">
        <v>385</v>
      </c>
      <c r="K36" s="6"/>
      <c r="L36" s="6" t="s">
        <v>352</v>
      </c>
      <c r="M36" s="6" t="s">
        <v>353</v>
      </c>
      <c r="N36" s="6" t="s">
        <v>186</v>
      </c>
      <c r="O36" s="6" t="s">
        <v>354</v>
      </c>
      <c r="P36" s="6" t="s">
        <v>283</v>
      </c>
      <c r="Q36" s="9" t="n">
        <v>100.9</v>
      </c>
      <c r="R36" s="6" t="s">
        <v>284</v>
      </c>
      <c r="S36" s="6" t="n">
        <v>23</v>
      </c>
      <c r="T36" s="6" t="n">
        <v>101.3</v>
      </c>
      <c r="U36" s="6" t="n">
        <v>0.001</v>
      </c>
      <c r="V36" s="6" t="s">
        <v>355</v>
      </c>
      <c r="W36" s="6" t="s">
        <v>356</v>
      </c>
      <c r="X36" s="6" t="s">
        <v>382</v>
      </c>
      <c r="Y36" s="6" t="s">
        <v>188</v>
      </c>
      <c r="Z36" s="6" t="s">
        <v>152</v>
      </c>
      <c r="AA36" s="6" t="s">
        <v>189</v>
      </c>
      <c r="AB36" s="6" t="s">
        <v>154</v>
      </c>
      <c r="AC36" s="6" t="s">
        <v>106</v>
      </c>
      <c r="AD36" s="6"/>
      <c r="AE36" s="6"/>
      <c r="AF36" s="6"/>
      <c r="AG36" s="6"/>
      <c r="AH36" s="6"/>
      <c r="AI36" s="6"/>
      <c r="AJ36" s="6"/>
      <c r="AK36" s="6"/>
      <c r="AL36" s="6" t="s">
        <v>357</v>
      </c>
      <c r="AM36" s="6" t="s">
        <v>358</v>
      </c>
      <c r="AN36" s="6" t="n">
        <v>5</v>
      </c>
      <c r="AO36" s="6" t="s">
        <v>359</v>
      </c>
      <c r="AP36" s="6" t="s">
        <v>360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customFormat="false" ht="33.75" hidden="false" customHeight="true" outlineLevel="0" collapsed="false">
      <c r="A37" s="6" t="n">
        <v>37</v>
      </c>
      <c r="B37" s="7" t="s">
        <v>386</v>
      </c>
      <c r="C37" s="6" t="s">
        <v>387</v>
      </c>
      <c r="D37" s="6" t="s">
        <v>181</v>
      </c>
      <c r="E37" s="6" t="s">
        <v>182</v>
      </c>
      <c r="F37" s="6" t="s">
        <v>383</v>
      </c>
      <c r="G37" s="6" t="s">
        <v>384</v>
      </c>
      <c r="H37" s="6" t="s">
        <v>349</v>
      </c>
      <c r="I37" s="7" t="s">
        <v>350</v>
      </c>
      <c r="J37" s="7" t="s">
        <v>388</v>
      </c>
      <c r="K37" s="6"/>
      <c r="L37" s="6" t="s">
        <v>389</v>
      </c>
      <c r="M37" s="6" t="s">
        <v>390</v>
      </c>
      <c r="N37" s="6" t="s">
        <v>186</v>
      </c>
      <c r="O37" s="6" t="s">
        <v>354</v>
      </c>
      <c r="P37" s="6" t="s">
        <v>283</v>
      </c>
      <c r="Q37" s="9" t="n">
        <v>100.9</v>
      </c>
      <c r="R37" s="6" t="s">
        <v>284</v>
      </c>
      <c r="S37" s="6" t="n">
        <v>23</v>
      </c>
      <c r="T37" s="6" t="n">
        <v>101.3</v>
      </c>
      <c r="U37" s="6" t="n">
        <v>0.001</v>
      </c>
      <c r="V37" s="6" t="s">
        <v>355</v>
      </c>
      <c r="W37" s="6" t="s">
        <v>356</v>
      </c>
      <c r="X37" s="6" t="s">
        <v>387</v>
      </c>
      <c r="Y37" s="6" t="s">
        <v>188</v>
      </c>
      <c r="Z37" s="6" t="s">
        <v>152</v>
      </c>
      <c r="AA37" s="6" t="s">
        <v>189</v>
      </c>
      <c r="AB37" s="6" t="s">
        <v>154</v>
      </c>
      <c r="AC37" s="6" t="s">
        <v>106</v>
      </c>
      <c r="AD37" s="6"/>
      <c r="AE37" s="6"/>
      <c r="AF37" s="6"/>
      <c r="AG37" s="6"/>
      <c r="AH37" s="6"/>
      <c r="AI37" s="6"/>
      <c r="AJ37" s="6"/>
      <c r="AK37" s="6"/>
      <c r="AL37" s="6" t="s">
        <v>357</v>
      </c>
      <c r="AM37" s="6" t="s">
        <v>358</v>
      </c>
      <c r="AN37" s="6" t="n">
        <v>6</v>
      </c>
      <c r="AO37" s="6" t="s">
        <v>391</v>
      </c>
      <c r="AP37" s="6" t="s">
        <v>360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customFormat="false" ht="33.75" hidden="false" customHeight="true" outlineLevel="0" collapsed="false">
      <c r="A38" s="6" t="n">
        <v>38</v>
      </c>
      <c r="B38" s="7" t="s">
        <v>392</v>
      </c>
      <c r="C38" s="6" t="s">
        <v>393</v>
      </c>
      <c r="D38" s="6" t="s">
        <v>181</v>
      </c>
      <c r="E38" s="6" t="s">
        <v>182</v>
      </c>
      <c r="F38" s="6" t="s">
        <v>394</v>
      </c>
      <c r="G38" s="6" t="s">
        <v>395</v>
      </c>
      <c r="H38" s="6" t="s">
        <v>349</v>
      </c>
      <c r="I38" s="7" t="s">
        <v>350</v>
      </c>
      <c r="J38" s="7" t="s">
        <v>396</v>
      </c>
      <c r="K38" s="6"/>
      <c r="L38" s="6" t="s">
        <v>352</v>
      </c>
      <c r="M38" s="6" t="s">
        <v>353</v>
      </c>
      <c r="N38" s="6" t="s">
        <v>186</v>
      </c>
      <c r="O38" s="6" t="s">
        <v>354</v>
      </c>
      <c r="P38" s="6" t="s">
        <v>283</v>
      </c>
      <c r="Q38" s="9" t="n">
        <v>97.85</v>
      </c>
      <c r="R38" s="6" t="s">
        <v>284</v>
      </c>
      <c r="S38" s="6" t="n">
        <v>23</v>
      </c>
      <c r="T38" s="6" t="n">
        <v>101.3</v>
      </c>
      <c r="U38" s="6" t="n">
        <v>0.001</v>
      </c>
      <c r="V38" s="6" t="s">
        <v>355</v>
      </c>
      <c r="W38" s="6" t="s">
        <v>356</v>
      </c>
      <c r="X38" s="6" t="s">
        <v>393</v>
      </c>
      <c r="Y38" s="6" t="s">
        <v>188</v>
      </c>
      <c r="Z38" s="6" t="s">
        <v>152</v>
      </c>
      <c r="AA38" s="6" t="s">
        <v>189</v>
      </c>
      <c r="AB38" s="6" t="s">
        <v>154</v>
      </c>
      <c r="AC38" s="6" t="s">
        <v>106</v>
      </c>
      <c r="AD38" s="6"/>
      <c r="AE38" s="6"/>
      <c r="AF38" s="6"/>
      <c r="AG38" s="6"/>
      <c r="AH38" s="6"/>
      <c r="AI38" s="6"/>
      <c r="AJ38" s="6"/>
      <c r="AK38" s="6"/>
      <c r="AL38" s="6" t="s">
        <v>357</v>
      </c>
      <c r="AM38" s="6" t="s">
        <v>358</v>
      </c>
      <c r="AN38" s="6" t="n">
        <v>7</v>
      </c>
      <c r="AO38" s="6" t="s">
        <v>359</v>
      </c>
      <c r="AP38" s="6" t="s">
        <v>360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customFormat="false" ht="33.75" hidden="false" customHeight="true" outlineLevel="0" collapsed="false">
      <c r="A39" s="6" t="n">
        <v>39</v>
      </c>
      <c r="B39" s="7" t="s">
        <v>397</v>
      </c>
      <c r="C39" s="6" t="s">
        <v>398</v>
      </c>
      <c r="D39" s="6" t="s">
        <v>181</v>
      </c>
      <c r="E39" s="6" t="s">
        <v>182</v>
      </c>
      <c r="F39" s="6" t="s">
        <v>394</v>
      </c>
      <c r="G39" s="6" t="s">
        <v>395</v>
      </c>
      <c r="H39" s="6" t="s">
        <v>349</v>
      </c>
      <c r="I39" s="7" t="s">
        <v>350</v>
      </c>
      <c r="J39" s="7" t="s">
        <v>399</v>
      </c>
      <c r="K39" s="6"/>
      <c r="L39" s="6" t="s">
        <v>364</v>
      </c>
      <c r="M39" s="6" t="s">
        <v>365</v>
      </c>
      <c r="N39" s="6" t="s">
        <v>186</v>
      </c>
      <c r="O39" s="6" t="s">
        <v>354</v>
      </c>
      <c r="P39" s="6" t="s">
        <v>366</v>
      </c>
      <c r="Q39" s="8" t="n">
        <v>1.762</v>
      </c>
      <c r="R39" s="6" t="s">
        <v>367</v>
      </c>
      <c r="S39" s="6" t="n">
        <v>20</v>
      </c>
      <c r="T39" s="6" t="n">
        <v>101.3</v>
      </c>
      <c r="U39" s="6" t="n">
        <v>0.001</v>
      </c>
      <c r="V39" s="6" t="s">
        <v>355</v>
      </c>
      <c r="W39" s="6" t="s">
        <v>356</v>
      </c>
      <c r="X39" s="6" t="s">
        <v>398</v>
      </c>
      <c r="Y39" s="6" t="s">
        <v>188</v>
      </c>
      <c r="Z39" s="6" t="s">
        <v>152</v>
      </c>
      <c r="AA39" s="6" t="s">
        <v>189</v>
      </c>
      <c r="AB39" s="6" t="s">
        <v>154</v>
      </c>
      <c r="AC39" s="6" t="s">
        <v>106</v>
      </c>
      <c r="AD39" s="6"/>
      <c r="AE39" s="6"/>
      <c r="AF39" s="6"/>
      <c r="AG39" s="6"/>
      <c r="AH39" s="6"/>
      <c r="AI39" s="6"/>
      <c r="AJ39" s="6"/>
      <c r="AK39" s="6"/>
      <c r="AL39" s="6" t="s">
        <v>357</v>
      </c>
      <c r="AM39" s="6" t="s">
        <v>358</v>
      </c>
      <c r="AN39" s="6" t="n">
        <v>8</v>
      </c>
      <c r="AO39" s="6" t="s">
        <v>368</v>
      </c>
      <c r="AP39" s="6" t="s">
        <v>369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customFormat="false" ht="33.75" hidden="false" customHeight="true" outlineLevel="0" collapsed="false">
      <c r="A40" s="6" t="n">
        <v>40</v>
      </c>
      <c r="B40" s="7" t="s">
        <v>400</v>
      </c>
      <c r="C40" s="6" t="s">
        <v>401</v>
      </c>
      <c r="D40" s="6" t="s">
        <v>220</v>
      </c>
      <c r="E40" s="6" t="s">
        <v>221</v>
      </c>
      <c r="F40" s="6" t="s">
        <v>402</v>
      </c>
      <c r="G40" s="6" t="s">
        <v>403</v>
      </c>
      <c r="H40" s="6" t="s">
        <v>349</v>
      </c>
      <c r="I40" s="7" t="s">
        <v>350</v>
      </c>
      <c r="J40" s="7" t="s">
        <v>404</v>
      </c>
      <c r="K40" s="6"/>
      <c r="L40" s="6" t="s">
        <v>377</v>
      </c>
      <c r="M40" s="6" t="s">
        <v>353</v>
      </c>
      <c r="N40" s="6" t="s">
        <v>223</v>
      </c>
      <c r="O40" s="6" t="s">
        <v>354</v>
      </c>
      <c r="P40" s="6" t="s">
        <v>283</v>
      </c>
      <c r="Q40" s="9" t="n">
        <v>68.4</v>
      </c>
      <c r="R40" s="6" t="s">
        <v>284</v>
      </c>
      <c r="S40" s="6" t="n">
        <v>23</v>
      </c>
      <c r="T40" s="6" t="n">
        <v>101.3</v>
      </c>
      <c r="U40" s="6" t="n">
        <v>0.001</v>
      </c>
      <c r="V40" s="6" t="s">
        <v>355</v>
      </c>
      <c r="W40" s="6" t="s">
        <v>356</v>
      </c>
      <c r="X40" s="6" t="s">
        <v>401</v>
      </c>
      <c r="Y40" s="6" t="s">
        <v>224</v>
      </c>
      <c r="Z40" s="6" t="s">
        <v>152</v>
      </c>
      <c r="AA40" s="6" t="s">
        <v>225</v>
      </c>
      <c r="AB40" s="6" t="s">
        <v>154</v>
      </c>
      <c r="AC40" s="6" t="s">
        <v>106</v>
      </c>
      <c r="AD40" s="6"/>
      <c r="AE40" s="6"/>
      <c r="AF40" s="6"/>
      <c r="AG40" s="6"/>
      <c r="AH40" s="6"/>
      <c r="AI40" s="6"/>
      <c r="AJ40" s="6"/>
      <c r="AK40" s="6"/>
      <c r="AL40" s="6" t="s">
        <v>357</v>
      </c>
      <c r="AM40" s="6" t="s">
        <v>358</v>
      </c>
      <c r="AN40" s="6" t="n">
        <v>9</v>
      </c>
      <c r="AO40" s="6" t="s">
        <v>380</v>
      </c>
      <c r="AP40" s="6" t="s">
        <v>360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customFormat="false" ht="33.75" hidden="false" customHeight="true" outlineLevel="0" collapsed="false">
      <c r="A41" s="6" t="n">
        <v>41</v>
      </c>
      <c r="B41" s="7" t="s">
        <v>405</v>
      </c>
      <c r="C41" s="6" t="s">
        <v>406</v>
      </c>
      <c r="D41" s="6" t="s">
        <v>145</v>
      </c>
      <c r="E41" s="6" t="s">
        <v>146</v>
      </c>
      <c r="F41" s="6" t="s">
        <v>347</v>
      </c>
      <c r="G41" s="6" t="s">
        <v>348</v>
      </c>
      <c r="H41" s="6" t="s">
        <v>349</v>
      </c>
      <c r="I41" s="7" t="s">
        <v>350</v>
      </c>
      <c r="J41" s="7" t="s">
        <v>407</v>
      </c>
      <c r="K41" s="6"/>
      <c r="L41" s="6" t="s">
        <v>364</v>
      </c>
      <c r="M41" s="6" t="s">
        <v>365</v>
      </c>
      <c r="N41" s="6" t="s">
        <v>149</v>
      </c>
      <c r="O41" s="6" t="s">
        <v>354</v>
      </c>
      <c r="P41" s="6" t="s">
        <v>408</v>
      </c>
      <c r="Q41" s="8" t="n">
        <v>392.6</v>
      </c>
      <c r="R41" s="6" t="s">
        <v>409</v>
      </c>
      <c r="S41" s="6" t="n">
        <v>23</v>
      </c>
      <c r="T41" s="6" t="n">
        <v>101.3</v>
      </c>
      <c r="U41" s="6" t="n">
        <v>0.001</v>
      </c>
      <c r="V41" s="6" t="s">
        <v>355</v>
      </c>
      <c r="W41" s="6" t="s">
        <v>356</v>
      </c>
      <c r="X41" s="6" t="s">
        <v>406</v>
      </c>
      <c r="Y41" s="6" t="s">
        <v>151</v>
      </c>
      <c r="Z41" s="6" t="s">
        <v>152</v>
      </c>
      <c r="AA41" s="6" t="s">
        <v>153</v>
      </c>
      <c r="AB41" s="6" t="s">
        <v>154</v>
      </c>
      <c r="AC41" s="6" t="s">
        <v>106</v>
      </c>
      <c r="AD41" s="6"/>
      <c r="AE41" s="6"/>
      <c r="AF41" s="6"/>
      <c r="AG41" s="6"/>
      <c r="AH41" s="6"/>
      <c r="AI41" s="6"/>
      <c r="AJ41" s="6"/>
      <c r="AK41" s="6"/>
      <c r="AL41" s="6" t="s">
        <v>357</v>
      </c>
      <c r="AM41" s="6" t="s">
        <v>358</v>
      </c>
      <c r="AN41" s="6" t="n">
        <v>10</v>
      </c>
      <c r="AO41" s="6" t="s">
        <v>368</v>
      </c>
      <c r="AP41" s="6" t="s">
        <v>360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customFormat="false" ht="33.75" hidden="false" customHeight="true" outlineLevel="0" collapsed="false">
      <c r="A42" s="6" t="n">
        <v>42</v>
      </c>
      <c r="B42" s="7" t="s">
        <v>410</v>
      </c>
      <c r="C42" s="6" t="s">
        <v>411</v>
      </c>
      <c r="D42" s="6" t="s">
        <v>181</v>
      </c>
      <c r="E42" s="6" t="s">
        <v>182</v>
      </c>
      <c r="F42" s="6" t="s">
        <v>394</v>
      </c>
      <c r="G42" s="6" t="s">
        <v>395</v>
      </c>
      <c r="H42" s="6" t="s">
        <v>349</v>
      </c>
      <c r="I42" s="7" t="s">
        <v>350</v>
      </c>
      <c r="J42" s="7" t="s">
        <v>412</v>
      </c>
      <c r="K42" s="6"/>
      <c r="L42" s="6" t="s">
        <v>364</v>
      </c>
      <c r="M42" s="6" t="s">
        <v>365</v>
      </c>
      <c r="N42" s="6" t="s">
        <v>186</v>
      </c>
      <c r="O42" s="6" t="s">
        <v>354</v>
      </c>
      <c r="P42" s="6" t="s">
        <v>408</v>
      </c>
      <c r="Q42" s="8" t="n">
        <v>386.8</v>
      </c>
      <c r="R42" s="6" t="s">
        <v>409</v>
      </c>
      <c r="S42" s="6" t="n">
        <v>23</v>
      </c>
      <c r="T42" s="6" t="n">
        <v>101.3</v>
      </c>
      <c r="U42" s="6" t="n">
        <v>0.001</v>
      </c>
      <c r="V42" s="6" t="s">
        <v>355</v>
      </c>
      <c r="W42" s="6" t="s">
        <v>356</v>
      </c>
      <c r="X42" s="6" t="s">
        <v>411</v>
      </c>
      <c r="Y42" s="6" t="s">
        <v>188</v>
      </c>
      <c r="Z42" s="6" t="s">
        <v>152</v>
      </c>
      <c r="AA42" s="6" t="s">
        <v>189</v>
      </c>
      <c r="AB42" s="6" t="s">
        <v>154</v>
      </c>
      <c r="AC42" s="6" t="s">
        <v>106</v>
      </c>
      <c r="AD42" s="6"/>
      <c r="AE42" s="6"/>
      <c r="AF42" s="6"/>
      <c r="AG42" s="6"/>
      <c r="AH42" s="6"/>
      <c r="AI42" s="6"/>
      <c r="AJ42" s="6"/>
      <c r="AK42" s="6"/>
      <c r="AL42" s="6" t="s">
        <v>357</v>
      </c>
      <c r="AM42" s="6" t="s">
        <v>358</v>
      </c>
      <c r="AN42" s="6" t="n">
        <v>11</v>
      </c>
      <c r="AO42" s="6" t="s">
        <v>368</v>
      </c>
      <c r="AP42" s="6" t="s">
        <v>360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customFormat="false" ht="33.75" hidden="false" customHeight="true" outlineLevel="0" collapsed="false">
      <c r="A43" s="6" t="n">
        <v>43</v>
      </c>
      <c r="B43" s="7" t="s">
        <v>413</v>
      </c>
      <c r="C43" s="6" t="s">
        <v>414</v>
      </c>
      <c r="D43" s="6" t="s">
        <v>181</v>
      </c>
      <c r="E43" s="6" t="s">
        <v>182</v>
      </c>
      <c r="F43" s="6" t="s">
        <v>394</v>
      </c>
      <c r="G43" s="6" t="s">
        <v>395</v>
      </c>
      <c r="H43" s="6" t="s">
        <v>349</v>
      </c>
      <c r="I43" s="7" t="s">
        <v>415</v>
      </c>
      <c r="J43" s="7" t="s">
        <v>416</v>
      </c>
      <c r="K43" s="6"/>
      <c r="L43" s="6" t="s">
        <v>364</v>
      </c>
      <c r="M43" s="6" t="s">
        <v>365</v>
      </c>
      <c r="N43" s="6" t="s">
        <v>186</v>
      </c>
      <c r="O43" s="6" t="s">
        <v>417</v>
      </c>
      <c r="P43" s="6" t="s">
        <v>294</v>
      </c>
      <c r="Q43" s="8" t="n">
        <v>219</v>
      </c>
      <c r="R43" s="6" t="s">
        <v>295</v>
      </c>
      <c r="S43" s="6" t="n">
        <v>23</v>
      </c>
      <c r="T43" s="6" t="n">
        <v>101.3</v>
      </c>
      <c r="U43" s="6" t="n">
        <v>0.001</v>
      </c>
      <c r="V43" s="6" t="s">
        <v>418</v>
      </c>
      <c r="W43" s="6" t="s">
        <v>419</v>
      </c>
      <c r="X43" s="6" t="s">
        <v>414</v>
      </c>
      <c r="Y43" s="6" t="s">
        <v>188</v>
      </c>
      <c r="Z43" s="6" t="s">
        <v>152</v>
      </c>
      <c r="AA43" s="6" t="s">
        <v>189</v>
      </c>
      <c r="AB43" s="6" t="s">
        <v>154</v>
      </c>
      <c r="AC43" s="6" t="s">
        <v>106</v>
      </c>
      <c r="AD43" s="6"/>
      <c r="AE43" s="6"/>
      <c r="AF43" s="6"/>
      <c r="AG43" s="6"/>
      <c r="AH43" s="6"/>
      <c r="AI43" s="6"/>
      <c r="AJ43" s="6"/>
      <c r="AK43" s="6"/>
      <c r="AL43" s="6" t="s">
        <v>420</v>
      </c>
      <c r="AM43" s="6" t="s">
        <v>421</v>
      </c>
      <c r="AN43" s="6" t="n">
        <v>2</v>
      </c>
      <c r="AO43" s="6" t="s">
        <v>368</v>
      </c>
      <c r="AP43" s="6" t="s">
        <v>422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customFormat="false" ht="33.75" hidden="false" customHeight="true" outlineLevel="0" collapsed="false">
      <c r="A44" s="6" t="n">
        <v>44</v>
      </c>
      <c r="B44" s="7" t="s">
        <v>423</v>
      </c>
      <c r="C44" s="6" t="s">
        <v>424</v>
      </c>
      <c r="D44" s="6" t="s">
        <v>181</v>
      </c>
      <c r="E44" s="6" t="s">
        <v>182</v>
      </c>
      <c r="F44" s="6" t="s">
        <v>394</v>
      </c>
      <c r="G44" s="6" t="s">
        <v>395</v>
      </c>
      <c r="H44" s="6" t="s">
        <v>349</v>
      </c>
      <c r="I44" s="7" t="s">
        <v>415</v>
      </c>
      <c r="J44" s="7" t="s">
        <v>425</v>
      </c>
      <c r="K44" s="6"/>
      <c r="L44" s="6" t="s">
        <v>426</v>
      </c>
      <c r="M44" s="6" t="s">
        <v>427</v>
      </c>
      <c r="N44" s="6" t="s">
        <v>186</v>
      </c>
      <c r="O44" s="6" t="s">
        <v>417</v>
      </c>
      <c r="P44" s="6" t="s">
        <v>294</v>
      </c>
      <c r="Q44" s="8" t="n">
        <v>176</v>
      </c>
      <c r="R44" s="6" t="s">
        <v>295</v>
      </c>
      <c r="S44" s="6" t="n">
        <v>85</v>
      </c>
      <c r="T44" s="6" t="n">
        <v>101.3</v>
      </c>
      <c r="U44" s="6" t="n">
        <v>0.01</v>
      </c>
      <c r="V44" s="6" t="s">
        <v>428</v>
      </c>
      <c r="W44" s="6" t="s">
        <v>419</v>
      </c>
      <c r="X44" s="6" t="s">
        <v>424</v>
      </c>
      <c r="Y44" s="6" t="s">
        <v>188</v>
      </c>
      <c r="Z44" s="6" t="s">
        <v>152</v>
      </c>
      <c r="AA44" s="6" t="s">
        <v>189</v>
      </c>
      <c r="AB44" s="6" t="s">
        <v>154</v>
      </c>
      <c r="AC44" s="6" t="s">
        <v>106</v>
      </c>
      <c r="AD44" s="6"/>
      <c r="AE44" s="6"/>
      <c r="AF44" s="6"/>
      <c r="AG44" s="6"/>
      <c r="AH44" s="6"/>
      <c r="AI44" s="6"/>
      <c r="AJ44" s="6"/>
      <c r="AK44" s="6"/>
      <c r="AL44" s="6" t="s">
        <v>420</v>
      </c>
      <c r="AM44" s="6" t="s">
        <v>421</v>
      </c>
      <c r="AN44" s="6" t="n">
        <v>3</v>
      </c>
      <c r="AO44" s="6" t="s">
        <v>429</v>
      </c>
      <c r="AP44" s="6" t="s">
        <v>430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customFormat="false" ht="33.75" hidden="false" customHeight="true" outlineLevel="0" collapsed="false">
      <c r="A45" s="6" t="n">
        <v>45</v>
      </c>
      <c r="B45" s="7" t="s">
        <v>431</v>
      </c>
      <c r="C45" s="6" t="s">
        <v>432</v>
      </c>
      <c r="D45" s="6" t="s">
        <v>181</v>
      </c>
      <c r="E45" s="6" t="s">
        <v>182</v>
      </c>
      <c r="F45" s="6" t="s">
        <v>394</v>
      </c>
      <c r="G45" s="6" t="s">
        <v>395</v>
      </c>
      <c r="H45" s="6" t="s">
        <v>349</v>
      </c>
      <c r="I45" s="7" t="s">
        <v>415</v>
      </c>
      <c r="J45" s="7" t="s">
        <v>433</v>
      </c>
      <c r="K45" s="6"/>
      <c r="L45" s="6" t="s">
        <v>364</v>
      </c>
      <c r="M45" s="6" t="s">
        <v>365</v>
      </c>
      <c r="N45" s="6" t="s">
        <v>186</v>
      </c>
      <c r="O45" s="6" t="s">
        <v>417</v>
      </c>
      <c r="P45" s="6" t="s">
        <v>434</v>
      </c>
      <c r="Q45" s="8" t="n">
        <v>0.92</v>
      </c>
      <c r="R45" s="6" t="s">
        <v>435</v>
      </c>
      <c r="S45" s="6" t="n">
        <v>23</v>
      </c>
      <c r="T45" s="6" t="n">
        <v>101.3</v>
      </c>
      <c r="U45" s="6" t="n">
        <v>0.001</v>
      </c>
      <c r="V45" s="6" t="s">
        <v>418</v>
      </c>
      <c r="W45" s="6" t="s">
        <v>419</v>
      </c>
      <c r="X45" s="6" t="s">
        <v>432</v>
      </c>
      <c r="Y45" s="6" t="s">
        <v>188</v>
      </c>
      <c r="Z45" s="6" t="s">
        <v>152</v>
      </c>
      <c r="AA45" s="6" t="s">
        <v>189</v>
      </c>
      <c r="AB45" s="6" t="s">
        <v>154</v>
      </c>
      <c r="AC45" s="6" t="s">
        <v>106</v>
      </c>
      <c r="AD45" s="6"/>
      <c r="AE45" s="6"/>
      <c r="AF45" s="6"/>
      <c r="AG45" s="6"/>
      <c r="AH45" s="6"/>
      <c r="AI45" s="6"/>
      <c r="AJ45" s="6"/>
      <c r="AK45" s="6"/>
      <c r="AL45" s="6" t="s">
        <v>420</v>
      </c>
      <c r="AM45" s="6" t="s">
        <v>421</v>
      </c>
      <c r="AN45" s="6" t="n">
        <v>4</v>
      </c>
      <c r="AO45" s="6" t="s">
        <v>368</v>
      </c>
      <c r="AP45" s="6" t="s">
        <v>422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customFormat="false" ht="33.75" hidden="false" customHeight="true" outlineLevel="0" collapsed="false">
      <c r="A46" s="6" t="n">
        <v>46</v>
      </c>
      <c r="B46" s="7" t="s">
        <v>436</v>
      </c>
      <c r="C46" s="6" t="s">
        <v>437</v>
      </c>
      <c r="D46" s="6" t="s">
        <v>145</v>
      </c>
      <c r="E46" s="6" t="s">
        <v>146</v>
      </c>
      <c r="F46" s="6" t="s">
        <v>347</v>
      </c>
      <c r="G46" s="6" t="s">
        <v>348</v>
      </c>
      <c r="H46" s="6" t="s">
        <v>349</v>
      </c>
      <c r="I46" s="7" t="s">
        <v>415</v>
      </c>
      <c r="J46" s="7" t="s">
        <v>438</v>
      </c>
      <c r="K46" s="6"/>
      <c r="L46" s="6" t="s">
        <v>364</v>
      </c>
      <c r="M46" s="6" t="s">
        <v>365</v>
      </c>
      <c r="N46" s="6" t="s">
        <v>149</v>
      </c>
      <c r="O46" s="6" t="s">
        <v>417</v>
      </c>
      <c r="P46" s="6" t="s">
        <v>294</v>
      </c>
      <c r="Q46" s="8" t="n">
        <v>205</v>
      </c>
      <c r="R46" s="6" t="s">
        <v>295</v>
      </c>
      <c r="S46" s="6" t="n">
        <v>23</v>
      </c>
      <c r="T46" s="6" t="n">
        <v>101.3</v>
      </c>
      <c r="U46" s="6" t="n">
        <v>0.001</v>
      </c>
      <c r="V46" s="6" t="s">
        <v>439</v>
      </c>
      <c r="W46" s="6" t="s">
        <v>419</v>
      </c>
      <c r="X46" s="6" t="s">
        <v>437</v>
      </c>
      <c r="Y46" s="6" t="s">
        <v>151</v>
      </c>
      <c r="Z46" s="6" t="s">
        <v>152</v>
      </c>
      <c r="AA46" s="6" t="s">
        <v>153</v>
      </c>
      <c r="AB46" s="6" t="s">
        <v>154</v>
      </c>
      <c r="AC46" s="6" t="s">
        <v>106</v>
      </c>
      <c r="AD46" s="6"/>
      <c r="AE46" s="6"/>
      <c r="AF46" s="6"/>
      <c r="AG46" s="6"/>
      <c r="AH46" s="6"/>
      <c r="AI46" s="6"/>
      <c r="AJ46" s="6"/>
      <c r="AK46" s="6"/>
      <c r="AL46" s="6" t="s">
        <v>420</v>
      </c>
      <c r="AM46" s="6" t="s">
        <v>421</v>
      </c>
      <c r="AN46" s="6" t="n">
        <v>5</v>
      </c>
      <c r="AO46" s="6" t="s">
        <v>368</v>
      </c>
      <c r="AP46" s="6" t="s">
        <v>440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customFormat="false" ht="33.75" hidden="false" customHeight="true" outlineLevel="0" collapsed="false">
      <c r="A47" s="6" t="n">
        <v>47</v>
      </c>
      <c r="B47" s="7" t="s">
        <v>441</v>
      </c>
      <c r="C47" s="6" t="s">
        <v>442</v>
      </c>
      <c r="D47" s="6" t="s">
        <v>145</v>
      </c>
      <c r="E47" s="6" t="s">
        <v>146</v>
      </c>
      <c r="F47" s="6" t="s">
        <v>347</v>
      </c>
      <c r="G47" s="6" t="s">
        <v>348</v>
      </c>
      <c r="H47" s="6" t="s">
        <v>443</v>
      </c>
      <c r="I47" s="7" t="s">
        <v>444</v>
      </c>
      <c r="J47" s="7" t="s">
        <v>445</v>
      </c>
      <c r="K47" s="6"/>
      <c r="L47" s="6" t="s">
        <v>364</v>
      </c>
      <c r="M47" s="6" t="s">
        <v>446</v>
      </c>
      <c r="N47" s="6" t="s">
        <v>149</v>
      </c>
      <c r="O47" s="6" t="s">
        <v>447</v>
      </c>
      <c r="P47" s="6" t="s">
        <v>448</v>
      </c>
      <c r="Q47" s="6"/>
      <c r="R47" s="6" t="s">
        <v>449</v>
      </c>
      <c r="S47" s="6"/>
      <c r="T47" s="6"/>
      <c r="U47" s="6"/>
      <c r="V47" s="6"/>
      <c r="W47" s="6" t="s">
        <v>450</v>
      </c>
      <c r="X47" s="6" t="s">
        <v>442</v>
      </c>
      <c r="Y47" s="6" t="s">
        <v>151</v>
      </c>
      <c r="Z47" s="6" t="s">
        <v>152</v>
      </c>
      <c r="AA47" s="6" t="s">
        <v>153</v>
      </c>
      <c r="AB47" s="6" t="s">
        <v>154</v>
      </c>
      <c r="AC47" s="6" t="s">
        <v>106</v>
      </c>
      <c r="AD47" s="6"/>
      <c r="AE47" s="6"/>
      <c r="AF47" s="6"/>
      <c r="AG47" s="6"/>
      <c r="AH47" s="6"/>
      <c r="AI47" s="6"/>
      <c r="AJ47" s="6"/>
      <c r="AK47" s="6"/>
      <c r="AL47" s="6" t="s">
        <v>451</v>
      </c>
      <c r="AM47" s="6" t="s">
        <v>452</v>
      </c>
      <c r="AN47" s="6" t="n">
        <v>2</v>
      </c>
      <c r="AO47" s="6" t="s">
        <v>368</v>
      </c>
      <c r="AP47" s="6" t="s">
        <v>453</v>
      </c>
      <c r="AQ47" s="8" t="n">
        <v>3.2</v>
      </c>
      <c r="AR47" s="8" t="n">
        <v>2.1</v>
      </c>
      <c r="AS47" s="8" t="n">
        <v>1.2</v>
      </c>
      <c r="AT47" s="8" t="n">
        <v>0.4</v>
      </c>
      <c r="AU47" s="8" t="n">
        <v>4</v>
      </c>
      <c r="AV47" s="8" t="n">
        <v>2</v>
      </c>
      <c r="AW47" s="6"/>
      <c r="AX47" s="6"/>
      <c r="AY47" s="6"/>
      <c r="AZ47" s="6"/>
    </row>
    <row r="48" customFormat="false" ht="33.75" hidden="false" customHeight="true" outlineLevel="0" collapsed="false">
      <c r="A48" s="6" t="n">
        <v>48</v>
      </c>
      <c r="B48" s="7" t="s">
        <v>454</v>
      </c>
      <c r="C48" s="6" t="s">
        <v>455</v>
      </c>
      <c r="D48" s="6" t="s">
        <v>372</v>
      </c>
      <c r="E48" s="6" t="s">
        <v>373</v>
      </c>
      <c r="F48" s="6" t="s">
        <v>374</v>
      </c>
      <c r="G48" s="6" t="s">
        <v>375</v>
      </c>
      <c r="H48" s="6" t="s">
        <v>443</v>
      </c>
      <c r="I48" s="7" t="s">
        <v>444</v>
      </c>
      <c r="J48" s="7" t="s">
        <v>456</v>
      </c>
      <c r="K48" s="6"/>
      <c r="L48" s="6" t="s">
        <v>457</v>
      </c>
      <c r="M48" s="6" t="s">
        <v>446</v>
      </c>
      <c r="N48" s="6" t="s">
        <v>378</v>
      </c>
      <c r="O48" s="6" t="s">
        <v>447</v>
      </c>
      <c r="P48" s="6" t="s">
        <v>448</v>
      </c>
      <c r="Q48" s="6"/>
      <c r="R48" s="6" t="s">
        <v>449</v>
      </c>
      <c r="S48" s="6"/>
      <c r="T48" s="6"/>
      <c r="U48" s="6"/>
      <c r="V48" s="6"/>
      <c r="W48" s="6" t="s">
        <v>450</v>
      </c>
      <c r="X48" s="6" t="s">
        <v>455</v>
      </c>
      <c r="Y48" s="6" t="s">
        <v>379</v>
      </c>
      <c r="Z48" s="6" t="s">
        <v>152</v>
      </c>
      <c r="AA48" s="6" t="s">
        <v>225</v>
      </c>
      <c r="AB48" s="6" t="s">
        <v>154</v>
      </c>
      <c r="AC48" s="6" t="s">
        <v>458</v>
      </c>
      <c r="AD48" s="6" t="s">
        <v>459</v>
      </c>
      <c r="AE48" s="6" t="s">
        <v>460</v>
      </c>
      <c r="AF48" s="6" t="s">
        <v>461</v>
      </c>
      <c r="AG48" s="10" t="n">
        <v>46209</v>
      </c>
      <c r="AH48" s="6" t="s">
        <v>462</v>
      </c>
      <c r="AI48" s="6" t="s">
        <v>463</v>
      </c>
      <c r="AJ48" s="6" t="n">
        <v>7</v>
      </c>
      <c r="AK48" s="6" t="s">
        <v>449</v>
      </c>
      <c r="AL48" s="6" t="s">
        <v>451</v>
      </c>
      <c r="AM48" s="6" t="s">
        <v>452</v>
      </c>
      <c r="AN48" s="6" t="n">
        <v>3</v>
      </c>
      <c r="AO48" s="6" t="s">
        <v>464</v>
      </c>
      <c r="AP48" s="6" t="s">
        <v>465</v>
      </c>
      <c r="AQ48" s="8" t="n">
        <v>6.2</v>
      </c>
      <c r="AR48" s="8" t="n">
        <v>2.8</v>
      </c>
      <c r="AS48" s="8" t="n">
        <v>0.9</v>
      </c>
      <c r="AT48" s="8" t="n">
        <v>0.5</v>
      </c>
      <c r="AU48" s="8" t="n">
        <v>4.8</v>
      </c>
      <c r="AV48" s="8" t="n">
        <v>2.4</v>
      </c>
      <c r="AW48" s="6"/>
      <c r="AX48" s="6"/>
      <c r="AY48" s="6"/>
      <c r="AZ48" s="6"/>
    </row>
    <row r="49" customFormat="false" ht="33.75" hidden="false" customHeight="true" outlineLevel="0" collapsed="false">
      <c r="A49" s="6" t="n">
        <v>49</v>
      </c>
      <c r="B49" s="7" t="s">
        <v>466</v>
      </c>
      <c r="C49" s="6" t="s">
        <v>467</v>
      </c>
      <c r="D49" s="6" t="s">
        <v>181</v>
      </c>
      <c r="E49" s="6" t="s">
        <v>182</v>
      </c>
      <c r="F49" s="6" t="s">
        <v>383</v>
      </c>
      <c r="G49" s="6" t="s">
        <v>384</v>
      </c>
      <c r="H49" s="6" t="s">
        <v>443</v>
      </c>
      <c r="I49" s="7" t="s">
        <v>444</v>
      </c>
      <c r="J49" s="7" t="s">
        <v>468</v>
      </c>
      <c r="K49" s="6"/>
      <c r="L49" s="6" t="s">
        <v>364</v>
      </c>
      <c r="M49" s="6" t="s">
        <v>446</v>
      </c>
      <c r="N49" s="6" t="s">
        <v>186</v>
      </c>
      <c r="O49" s="6" t="s">
        <v>447</v>
      </c>
      <c r="P49" s="6" t="s">
        <v>448</v>
      </c>
      <c r="Q49" s="6"/>
      <c r="R49" s="6" t="s">
        <v>449</v>
      </c>
      <c r="S49" s="6"/>
      <c r="T49" s="6"/>
      <c r="U49" s="6"/>
      <c r="V49" s="6"/>
      <c r="W49" s="6" t="s">
        <v>450</v>
      </c>
      <c r="X49" s="6" t="s">
        <v>467</v>
      </c>
      <c r="Y49" s="6" t="s">
        <v>188</v>
      </c>
      <c r="Z49" s="6" t="s">
        <v>152</v>
      </c>
      <c r="AA49" s="6" t="s">
        <v>189</v>
      </c>
      <c r="AB49" s="6" t="s">
        <v>154</v>
      </c>
      <c r="AC49" s="6" t="s">
        <v>106</v>
      </c>
      <c r="AD49" s="6"/>
      <c r="AE49" s="6"/>
      <c r="AF49" s="6"/>
      <c r="AG49" s="6"/>
      <c r="AH49" s="6"/>
      <c r="AI49" s="6"/>
      <c r="AJ49" s="6"/>
      <c r="AK49" s="6"/>
      <c r="AL49" s="6" t="s">
        <v>451</v>
      </c>
      <c r="AM49" s="6" t="s">
        <v>452</v>
      </c>
      <c r="AN49" s="6" t="n">
        <v>4</v>
      </c>
      <c r="AO49" s="6" t="s">
        <v>368</v>
      </c>
      <c r="AP49" s="6" t="s">
        <v>469</v>
      </c>
      <c r="AQ49" s="8" t="n">
        <v>4.8</v>
      </c>
      <c r="AR49" s="8" t="n">
        <v>3.6</v>
      </c>
      <c r="AS49" s="8" t="n">
        <v>3.2</v>
      </c>
      <c r="AT49" s="8" t="n">
        <v>1.1</v>
      </c>
      <c r="AU49" s="8" t="n">
        <v>5</v>
      </c>
      <c r="AV49" s="8" t="n">
        <v>3.9</v>
      </c>
      <c r="AW49" s="6"/>
      <c r="AX49" s="6"/>
      <c r="AY49" s="6"/>
      <c r="AZ49" s="6"/>
    </row>
    <row r="50" customFormat="false" ht="33.75" hidden="false" customHeight="true" outlineLevel="0" collapsed="false">
      <c r="A50" s="6" t="n">
        <v>50</v>
      </c>
      <c r="B50" s="7" t="s">
        <v>470</v>
      </c>
      <c r="C50" s="6" t="s">
        <v>471</v>
      </c>
      <c r="D50" s="6" t="s">
        <v>181</v>
      </c>
      <c r="E50" s="6" t="s">
        <v>182</v>
      </c>
      <c r="F50" s="6" t="s">
        <v>394</v>
      </c>
      <c r="G50" s="6" t="s">
        <v>395</v>
      </c>
      <c r="H50" s="6" t="s">
        <v>443</v>
      </c>
      <c r="I50" s="7" t="s">
        <v>444</v>
      </c>
      <c r="J50" s="7" t="s">
        <v>472</v>
      </c>
      <c r="K50" s="6"/>
      <c r="L50" s="6" t="s">
        <v>364</v>
      </c>
      <c r="M50" s="6" t="s">
        <v>446</v>
      </c>
      <c r="N50" s="6" t="s">
        <v>186</v>
      </c>
      <c r="O50" s="6" t="s">
        <v>447</v>
      </c>
      <c r="P50" s="6" t="s">
        <v>448</v>
      </c>
      <c r="Q50" s="6"/>
      <c r="R50" s="6" t="s">
        <v>449</v>
      </c>
      <c r="S50" s="6"/>
      <c r="T50" s="6"/>
      <c r="U50" s="6"/>
      <c r="V50" s="6"/>
      <c r="W50" s="6" t="s">
        <v>450</v>
      </c>
      <c r="X50" s="6" t="s">
        <v>471</v>
      </c>
      <c r="Y50" s="6" t="s">
        <v>188</v>
      </c>
      <c r="Z50" s="6" t="s">
        <v>152</v>
      </c>
      <c r="AA50" s="6" t="s">
        <v>189</v>
      </c>
      <c r="AB50" s="6" t="s">
        <v>154</v>
      </c>
      <c r="AC50" s="6" t="s">
        <v>106</v>
      </c>
      <c r="AD50" s="6"/>
      <c r="AE50" s="6"/>
      <c r="AF50" s="6"/>
      <c r="AG50" s="6"/>
      <c r="AH50" s="6"/>
      <c r="AI50" s="6"/>
      <c r="AJ50" s="6"/>
      <c r="AK50" s="6"/>
      <c r="AL50" s="6" t="s">
        <v>451</v>
      </c>
      <c r="AM50" s="6" t="s">
        <v>452</v>
      </c>
      <c r="AN50" s="6" t="n">
        <v>5</v>
      </c>
      <c r="AO50" s="6" t="s">
        <v>368</v>
      </c>
      <c r="AP50" s="6" t="s">
        <v>473</v>
      </c>
      <c r="AQ50" s="8" t="n">
        <v>4.6</v>
      </c>
      <c r="AR50" s="8" t="n">
        <v>5</v>
      </c>
      <c r="AS50" s="8" t="n">
        <v>4.6</v>
      </c>
      <c r="AT50" s="8" t="n">
        <v>1.2</v>
      </c>
      <c r="AU50" s="8" t="n">
        <v>5.4</v>
      </c>
      <c r="AV50" s="8" t="n">
        <v>4.7</v>
      </c>
      <c r="AW50" s="6"/>
      <c r="AX50" s="6"/>
      <c r="AY50" s="6"/>
      <c r="AZ50" s="6"/>
    </row>
    <row r="51" customFormat="false" ht="33.75" hidden="false" customHeight="true" outlineLevel="0" collapsed="false">
      <c r="A51" s="6" t="n">
        <v>51</v>
      </c>
      <c r="B51" s="7" t="s">
        <v>474</v>
      </c>
      <c r="C51" s="6" t="s">
        <v>475</v>
      </c>
      <c r="D51" s="6" t="s">
        <v>181</v>
      </c>
      <c r="E51" s="6" t="s">
        <v>182</v>
      </c>
      <c r="F51" s="6" t="s">
        <v>394</v>
      </c>
      <c r="G51" s="6" t="s">
        <v>395</v>
      </c>
      <c r="H51" s="6" t="s">
        <v>443</v>
      </c>
      <c r="I51" s="7" t="s">
        <v>444</v>
      </c>
      <c r="J51" s="7" t="s">
        <v>476</v>
      </c>
      <c r="K51" s="6"/>
      <c r="L51" s="6" t="s">
        <v>389</v>
      </c>
      <c r="M51" s="6" t="s">
        <v>477</v>
      </c>
      <c r="N51" s="6" t="s">
        <v>186</v>
      </c>
      <c r="O51" s="6" t="s">
        <v>447</v>
      </c>
      <c r="P51" s="6" t="s">
        <v>448</v>
      </c>
      <c r="Q51" s="6"/>
      <c r="R51" s="6" t="s">
        <v>449</v>
      </c>
      <c r="S51" s="6"/>
      <c r="T51" s="6"/>
      <c r="U51" s="6"/>
      <c r="V51" s="6"/>
      <c r="W51" s="6" t="s">
        <v>450</v>
      </c>
      <c r="X51" s="6" t="s">
        <v>475</v>
      </c>
      <c r="Y51" s="6" t="s">
        <v>188</v>
      </c>
      <c r="Z51" s="6" t="s">
        <v>152</v>
      </c>
      <c r="AA51" s="6" t="s">
        <v>189</v>
      </c>
      <c r="AB51" s="6" t="s">
        <v>154</v>
      </c>
      <c r="AC51" s="6" t="s">
        <v>106</v>
      </c>
      <c r="AD51" s="6"/>
      <c r="AE51" s="6"/>
      <c r="AF51" s="6"/>
      <c r="AG51" s="6"/>
      <c r="AH51" s="6"/>
      <c r="AI51" s="6"/>
      <c r="AJ51" s="6"/>
      <c r="AK51" s="6"/>
      <c r="AL51" s="6" t="s">
        <v>451</v>
      </c>
      <c r="AM51" s="6" t="s">
        <v>452</v>
      </c>
      <c r="AN51" s="6" t="n">
        <v>6</v>
      </c>
      <c r="AO51" s="6" t="s">
        <v>391</v>
      </c>
      <c r="AP51" s="6" t="s">
        <v>478</v>
      </c>
      <c r="AQ51" s="8" t="n">
        <v>4.6</v>
      </c>
      <c r="AR51" s="8" t="n">
        <v>5.1</v>
      </c>
      <c r="AS51" s="8" t="n">
        <v>4.6</v>
      </c>
      <c r="AT51" s="8" t="n">
        <v>1.2</v>
      </c>
      <c r="AU51" s="8" t="n">
        <v>5.4</v>
      </c>
      <c r="AV51" s="8" t="n">
        <v>4.7</v>
      </c>
      <c r="AW51" s="6"/>
      <c r="AX51" s="6"/>
      <c r="AY51" s="6"/>
      <c r="AZ51" s="6"/>
    </row>
    <row r="52" customFormat="false" ht="33.75" hidden="false" customHeight="true" outlineLevel="0" collapsed="false">
      <c r="A52" s="6" t="n">
        <v>52</v>
      </c>
      <c r="B52" s="7" t="s">
        <v>479</v>
      </c>
      <c r="C52" s="6" t="s">
        <v>480</v>
      </c>
      <c r="D52" s="6" t="s">
        <v>220</v>
      </c>
      <c r="E52" s="6" t="s">
        <v>221</v>
      </c>
      <c r="F52" s="6" t="s">
        <v>402</v>
      </c>
      <c r="G52" s="6" t="s">
        <v>403</v>
      </c>
      <c r="H52" s="6" t="s">
        <v>443</v>
      </c>
      <c r="I52" s="7" t="s">
        <v>444</v>
      </c>
      <c r="J52" s="7" t="s">
        <v>481</v>
      </c>
      <c r="K52" s="6"/>
      <c r="L52" s="6" t="s">
        <v>457</v>
      </c>
      <c r="M52" s="6" t="s">
        <v>446</v>
      </c>
      <c r="N52" s="6" t="s">
        <v>223</v>
      </c>
      <c r="O52" s="6" t="s">
        <v>447</v>
      </c>
      <c r="P52" s="6" t="s">
        <v>448</v>
      </c>
      <c r="Q52" s="6"/>
      <c r="R52" s="6" t="s">
        <v>449</v>
      </c>
      <c r="S52" s="6"/>
      <c r="T52" s="6"/>
      <c r="U52" s="6"/>
      <c r="V52" s="6"/>
      <c r="W52" s="6" t="s">
        <v>450</v>
      </c>
      <c r="X52" s="6" t="s">
        <v>480</v>
      </c>
      <c r="Y52" s="6" t="s">
        <v>224</v>
      </c>
      <c r="Z52" s="6" t="s">
        <v>152</v>
      </c>
      <c r="AA52" s="6" t="s">
        <v>225</v>
      </c>
      <c r="AB52" s="6" t="s">
        <v>154</v>
      </c>
      <c r="AC52" s="6" t="s">
        <v>106</v>
      </c>
      <c r="AD52" s="6"/>
      <c r="AE52" s="6"/>
      <c r="AF52" s="6"/>
      <c r="AG52" s="6"/>
      <c r="AH52" s="6"/>
      <c r="AI52" s="6"/>
      <c r="AJ52" s="6"/>
      <c r="AK52" s="6"/>
      <c r="AL52" s="6" t="s">
        <v>451</v>
      </c>
      <c r="AM52" s="6" t="s">
        <v>452</v>
      </c>
      <c r="AN52" s="6" t="n">
        <v>7</v>
      </c>
      <c r="AO52" s="6" t="s">
        <v>464</v>
      </c>
      <c r="AP52" s="6" t="s">
        <v>482</v>
      </c>
      <c r="AQ52" s="8" t="n">
        <v>4.4</v>
      </c>
      <c r="AR52" s="8" t="n">
        <v>3.9</v>
      </c>
      <c r="AS52" s="8" t="n">
        <v>5.4</v>
      </c>
      <c r="AT52" s="8" t="n">
        <v>1</v>
      </c>
      <c r="AU52" s="8" t="n">
        <v>6</v>
      </c>
      <c r="AV52" s="8" t="n">
        <v>4.1</v>
      </c>
      <c r="AW52" s="6"/>
      <c r="AX52" s="6"/>
      <c r="AY52" s="6"/>
      <c r="AZ52" s="6"/>
    </row>
    <row r="53" customFormat="false" ht="33.75" hidden="false" customHeight="true" outlineLevel="0" collapsed="false">
      <c r="A53" s="6" t="n">
        <v>53</v>
      </c>
      <c r="B53" s="7" t="s">
        <v>483</v>
      </c>
      <c r="C53" s="6" t="s">
        <v>484</v>
      </c>
      <c r="D53" s="6" t="s">
        <v>145</v>
      </c>
      <c r="E53" s="6" t="s">
        <v>146</v>
      </c>
      <c r="F53" s="6" t="s">
        <v>347</v>
      </c>
      <c r="G53" s="6" t="s">
        <v>348</v>
      </c>
      <c r="H53" s="6" t="s">
        <v>485</v>
      </c>
      <c r="I53" s="7" t="s">
        <v>486</v>
      </c>
      <c r="J53" s="7" t="s">
        <v>487</v>
      </c>
      <c r="K53" s="6"/>
      <c r="L53" s="6" t="s">
        <v>96</v>
      </c>
      <c r="M53" s="6" t="s">
        <v>488</v>
      </c>
      <c r="N53" s="6" t="s">
        <v>149</v>
      </c>
      <c r="O53" s="6" t="s">
        <v>489</v>
      </c>
      <c r="P53" s="6" t="s">
        <v>490</v>
      </c>
      <c r="Q53" s="6"/>
      <c r="R53" s="6"/>
      <c r="S53" s="6"/>
      <c r="T53" s="6"/>
      <c r="U53" s="6"/>
      <c r="V53" s="6"/>
      <c r="W53" s="6" t="s">
        <v>491</v>
      </c>
      <c r="X53" s="6" t="s">
        <v>484</v>
      </c>
      <c r="Y53" s="6" t="s">
        <v>151</v>
      </c>
      <c r="Z53" s="6" t="s">
        <v>152</v>
      </c>
      <c r="AA53" s="6" t="s">
        <v>153</v>
      </c>
      <c r="AB53" s="6" t="s">
        <v>154</v>
      </c>
      <c r="AC53" s="6" t="s">
        <v>106</v>
      </c>
      <c r="AD53" s="6"/>
      <c r="AE53" s="6"/>
      <c r="AF53" s="6"/>
      <c r="AG53" s="6"/>
      <c r="AH53" s="6"/>
      <c r="AI53" s="6"/>
      <c r="AJ53" s="6"/>
      <c r="AK53" s="6"/>
      <c r="AL53" s="6" t="s">
        <v>492</v>
      </c>
      <c r="AM53" s="6" t="s">
        <v>493</v>
      </c>
      <c r="AN53" s="6" t="n">
        <v>2</v>
      </c>
      <c r="AO53" s="6" t="s">
        <v>109</v>
      </c>
      <c r="AP53" s="6" t="s">
        <v>494</v>
      </c>
      <c r="AQ53" s="6"/>
      <c r="AR53" s="6"/>
      <c r="AS53" s="6"/>
      <c r="AT53" s="6"/>
      <c r="AU53" s="6"/>
      <c r="AV53" s="6"/>
      <c r="AW53" s="8" t="n">
        <v>38</v>
      </c>
      <c r="AX53" s="8" t="n">
        <v>500</v>
      </c>
      <c r="AY53" s="6"/>
      <c r="AZ53" s="6"/>
    </row>
    <row r="54" customFormat="false" ht="33.75" hidden="false" customHeight="true" outlineLevel="0" collapsed="false">
      <c r="A54" s="6" t="n">
        <v>54</v>
      </c>
      <c r="B54" s="7" t="s">
        <v>495</v>
      </c>
      <c r="C54" s="6" t="s">
        <v>496</v>
      </c>
      <c r="D54" s="6" t="s">
        <v>372</v>
      </c>
      <c r="E54" s="6" t="s">
        <v>373</v>
      </c>
      <c r="F54" s="6" t="s">
        <v>374</v>
      </c>
      <c r="G54" s="6" t="s">
        <v>375</v>
      </c>
      <c r="H54" s="6" t="s">
        <v>485</v>
      </c>
      <c r="I54" s="7" t="s">
        <v>486</v>
      </c>
      <c r="J54" s="7" t="s">
        <v>497</v>
      </c>
      <c r="K54" s="6"/>
      <c r="L54" s="6" t="s">
        <v>96</v>
      </c>
      <c r="M54" s="6" t="s">
        <v>488</v>
      </c>
      <c r="N54" s="6" t="s">
        <v>378</v>
      </c>
      <c r="O54" s="6" t="s">
        <v>489</v>
      </c>
      <c r="P54" s="6" t="s">
        <v>490</v>
      </c>
      <c r="Q54" s="6"/>
      <c r="R54" s="6"/>
      <c r="S54" s="6"/>
      <c r="T54" s="6"/>
      <c r="U54" s="6"/>
      <c r="V54" s="6"/>
      <c r="W54" s="6" t="s">
        <v>491</v>
      </c>
      <c r="X54" s="6" t="s">
        <v>496</v>
      </c>
      <c r="Y54" s="6" t="s">
        <v>379</v>
      </c>
      <c r="Z54" s="6" t="s">
        <v>152</v>
      </c>
      <c r="AA54" s="6" t="s">
        <v>225</v>
      </c>
      <c r="AB54" s="6" t="s">
        <v>154</v>
      </c>
      <c r="AC54" s="6" t="s">
        <v>106</v>
      </c>
      <c r="AD54" s="6"/>
      <c r="AE54" s="6"/>
      <c r="AF54" s="6"/>
      <c r="AG54" s="6"/>
      <c r="AH54" s="6"/>
      <c r="AI54" s="6"/>
      <c r="AJ54" s="6"/>
      <c r="AK54" s="6"/>
      <c r="AL54" s="6" t="s">
        <v>492</v>
      </c>
      <c r="AM54" s="6" t="s">
        <v>493</v>
      </c>
      <c r="AN54" s="6" t="n">
        <v>3</v>
      </c>
      <c r="AO54" s="6" t="s">
        <v>109</v>
      </c>
      <c r="AP54" s="6" t="s">
        <v>498</v>
      </c>
      <c r="AQ54" s="6"/>
      <c r="AR54" s="6"/>
      <c r="AS54" s="6"/>
      <c r="AT54" s="6"/>
      <c r="AU54" s="6"/>
      <c r="AV54" s="6"/>
      <c r="AW54" s="8" t="n">
        <v>42</v>
      </c>
      <c r="AX54" s="8" t="n">
        <v>450</v>
      </c>
      <c r="AY54" s="6"/>
      <c r="AZ54" s="6"/>
    </row>
    <row r="55" customFormat="false" ht="33.75" hidden="false" customHeight="true" outlineLevel="0" collapsed="false">
      <c r="A55" s="6" t="n">
        <v>55</v>
      </c>
      <c r="B55" s="7" t="s">
        <v>499</v>
      </c>
      <c r="C55" s="6" t="s">
        <v>500</v>
      </c>
      <c r="D55" s="6" t="s">
        <v>181</v>
      </c>
      <c r="E55" s="6" t="s">
        <v>182</v>
      </c>
      <c r="F55" s="6" t="s">
        <v>383</v>
      </c>
      <c r="G55" s="6" t="s">
        <v>384</v>
      </c>
      <c r="H55" s="6" t="s">
        <v>485</v>
      </c>
      <c r="I55" s="7" t="s">
        <v>486</v>
      </c>
      <c r="J55" s="7" t="s">
        <v>501</v>
      </c>
      <c r="K55" s="6"/>
      <c r="L55" s="6" t="s">
        <v>96</v>
      </c>
      <c r="M55" s="6" t="s">
        <v>488</v>
      </c>
      <c r="N55" s="6" t="s">
        <v>186</v>
      </c>
      <c r="O55" s="6" t="s">
        <v>489</v>
      </c>
      <c r="P55" s="6" t="s">
        <v>490</v>
      </c>
      <c r="Q55" s="6"/>
      <c r="R55" s="6"/>
      <c r="S55" s="6"/>
      <c r="T55" s="6"/>
      <c r="U55" s="6"/>
      <c r="V55" s="6"/>
      <c r="W55" s="6" t="s">
        <v>491</v>
      </c>
      <c r="X55" s="6" t="s">
        <v>500</v>
      </c>
      <c r="Y55" s="6" t="s">
        <v>188</v>
      </c>
      <c r="Z55" s="6" t="s">
        <v>152</v>
      </c>
      <c r="AA55" s="6" t="s">
        <v>189</v>
      </c>
      <c r="AB55" s="6" t="s">
        <v>154</v>
      </c>
      <c r="AC55" s="6" t="s">
        <v>106</v>
      </c>
      <c r="AD55" s="6"/>
      <c r="AE55" s="6"/>
      <c r="AF55" s="6"/>
      <c r="AG55" s="6"/>
      <c r="AH55" s="6"/>
      <c r="AI55" s="6"/>
      <c r="AJ55" s="6"/>
      <c r="AK55" s="6"/>
      <c r="AL55" s="6" t="s">
        <v>492</v>
      </c>
      <c r="AM55" s="6" t="s">
        <v>493</v>
      </c>
      <c r="AN55" s="6" t="n">
        <v>4</v>
      </c>
      <c r="AO55" s="6" t="s">
        <v>109</v>
      </c>
      <c r="AP55" s="6" t="s">
        <v>502</v>
      </c>
      <c r="AQ55" s="6"/>
      <c r="AR55" s="6"/>
      <c r="AS55" s="6"/>
      <c r="AT55" s="6"/>
      <c r="AU55" s="6"/>
      <c r="AV55" s="6"/>
      <c r="AW55" s="8" t="n">
        <v>48</v>
      </c>
      <c r="AX55" s="8" t="n">
        <v>410</v>
      </c>
      <c r="AY55" s="6"/>
      <c r="AZ55" s="6"/>
    </row>
    <row r="56" customFormat="false" ht="33.75" hidden="false" customHeight="true" outlineLevel="0" collapsed="false">
      <c r="A56" s="6" t="n">
        <v>56</v>
      </c>
      <c r="B56" s="7" t="s">
        <v>503</v>
      </c>
      <c r="C56" s="6" t="s">
        <v>504</v>
      </c>
      <c r="D56" s="6" t="s">
        <v>181</v>
      </c>
      <c r="E56" s="6" t="s">
        <v>182</v>
      </c>
      <c r="F56" s="6" t="s">
        <v>394</v>
      </c>
      <c r="G56" s="6" t="s">
        <v>395</v>
      </c>
      <c r="H56" s="6" t="s">
        <v>485</v>
      </c>
      <c r="I56" s="7" t="s">
        <v>486</v>
      </c>
      <c r="J56" s="7" t="s">
        <v>505</v>
      </c>
      <c r="K56" s="6"/>
      <c r="L56" s="6" t="s">
        <v>96</v>
      </c>
      <c r="M56" s="6" t="s">
        <v>488</v>
      </c>
      <c r="N56" s="6" t="s">
        <v>186</v>
      </c>
      <c r="O56" s="6" t="s">
        <v>489</v>
      </c>
      <c r="P56" s="6" t="s">
        <v>490</v>
      </c>
      <c r="Q56" s="6"/>
      <c r="R56" s="6"/>
      <c r="S56" s="6"/>
      <c r="T56" s="6"/>
      <c r="U56" s="6"/>
      <c r="V56" s="6"/>
      <c r="W56" s="6" t="s">
        <v>491</v>
      </c>
      <c r="X56" s="6" t="s">
        <v>504</v>
      </c>
      <c r="Y56" s="6" t="s">
        <v>188</v>
      </c>
      <c r="Z56" s="6" t="s">
        <v>152</v>
      </c>
      <c r="AA56" s="6" t="s">
        <v>189</v>
      </c>
      <c r="AB56" s="6" t="s">
        <v>154</v>
      </c>
      <c r="AC56" s="6" t="s">
        <v>106</v>
      </c>
      <c r="AD56" s="6"/>
      <c r="AE56" s="6"/>
      <c r="AF56" s="6"/>
      <c r="AG56" s="6"/>
      <c r="AH56" s="6"/>
      <c r="AI56" s="6"/>
      <c r="AJ56" s="6"/>
      <c r="AK56" s="6"/>
      <c r="AL56" s="6" t="s">
        <v>492</v>
      </c>
      <c r="AM56" s="6" t="s">
        <v>493</v>
      </c>
      <c r="AN56" s="6" t="n">
        <v>5</v>
      </c>
      <c r="AO56" s="6" t="s">
        <v>109</v>
      </c>
      <c r="AP56" s="6" t="s">
        <v>506</v>
      </c>
      <c r="AQ56" s="6"/>
      <c r="AR56" s="6"/>
      <c r="AS56" s="6"/>
      <c r="AT56" s="6"/>
      <c r="AU56" s="6"/>
      <c r="AV56" s="6"/>
      <c r="AW56" s="8" t="n">
        <v>50</v>
      </c>
      <c r="AX56" s="8" t="n">
        <v>400</v>
      </c>
      <c r="AY56" s="6"/>
      <c r="AZ56" s="6"/>
    </row>
    <row r="57" customFormat="false" ht="33.75" hidden="false" customHeight="true" outlineLevel="0" collapsed="false">
      <c r="A57" s="6" t="n">
        <v>57</v>
      </c>
      <c r="B57" s="7" t="s">
        <v>507</v>
      </c>
      <c r="C57" s="6" t="s">
        <v>508</v>
      </c>
      <c r="D57" s="6" t="s">
        <v>220</v>
      </c>
      <c r="E57" s="6" t="s">
        <v>221</v>
      </c>
      <c r="F57" s="6" t="s">
        <v>402</v>
      </c>
      <c r="G57" s="6" t="s">
        <v>403</v>
      </c>
      <c r="H57" s="6" t="s">
        <v>485</v>
      </c>
      <c r="I57" s="7" t="s">
        <v>486</v>
      </c>
      <c r="J57" s="7" t="s">
        <v>509</v>
      </c>
      <c r="K57" s="6"/>
      <c r="L57" s="6" t="s">
        <v>96</v>
      </c>
      <c r="M57" s="6" t="s">
        <v>488</v>
      </c>
      <c r="N57" s="6" t="s">
        <v>223</v>
      </c>
      <c r="O57" s="6" t="s">
        <v>489</v>
      </c>
      <c r="P57" s="6" t="s">
        <v>490</v>
      </c>
      <c r="Q57" s="6"/>
      <c r="R57" s="6"/>
      <c r="S57" s="6"/>
      <c r="T57" s="6"/>
      <c r="U57" s="6"/>
      <c r="V57" s="6"/>
      <c r="W57" s="6" t="s">
        <v>491</v>
      </c>
      <c r="X57" s="6" t="s">
        <v>508</v>
      </c>
      <c r="Y57" s="6" t="s">
        <v>224</v>
      </c>
      <c r="Z57" s="6" t="s">
        <v>152</v>
      </c>
      <c r="AA57" s="6" t="s">
        <v>225</v>
      </c>
      <c r="AB57" s="6" t="s">
        <v>154</v>
      </c>
      <c r="AC57" s="6" t="s">
        <v>106</v>
      </c>
      <c r="AD57" s="6"/>
      <c r="AE57" s="6"/>
      <c r="AF57" s="6"/>
      <c r="AG57" s="6"/>
      <c r="AH57" s="6"/>
      <c r="AI57" s="6"/>
      <c r="AJ57" s="6"/>
      <c r="AK57" s="6"/>
      <c r="AL57" s="6" t="s">
        <v>492</v>
      </c>
      <c r="AM57" s="6" t="s">
        <v>493</v>
      </c>
      <c r="AN57" s="6" t="n">
        <v>6</v>
      </c>
      <c r="AO57" s="6" t="s">
        <v>109</v>
      </c>
      <c r="AP57" s="6" t="s">
        <v>510</v>
      </c>
      <c r="AQ57" s="6"/>
      <c r="AR57" s="6"/>
      <c r="AS57" s="6"/>
      <c r="AT57" s="6"/>
      <c r="AU57" s="6"/>
      <c r="AV57" s="6"/>
      <c r="AW57" s="8" t="n">
        <v>28</v>
      </c>
      <c r="AX57" s="8" t="n">
        <v>320</v>
      </c>
      <c r="AY57" s="6"/>
      <c r="AZ57" s="6"/>
    </row>
    <row r="58" customFormat="false" ht="33.75" hidden="false" customHeight="true" outlineLevel="0" collapsed="false">
      <c r="A58" s="6" t="n">
        <v>58</v>
      </c>
      <c r="B58" s="7" t="s">
        <v>511</v>
      </c>
      <c r="C58" s="6" t="s">
        <v>512</v>
      </c>
      <c r="D58" s="6" t="s">
        <v>145</v>
      </c>
      <c r="E58" s="6" t="s">
        <v>146</v>
      </c>
      <c r="F58" s="6"/>
      <c r="G58" s="6"/>
      <c r="H58" s="6" t="s">
        <v>513</v>
      </c>
      <c r="I58" s="7" t="s">
        <v>514</v>
      </c>
      <c r="J58" s="7" t="s">
        <v>515</v>
      </c>
      <c r="K58" s="6"/>
      <c r="L58" s="6" t="s">
        <v>96</v>
      </c>
      <c r="M58" s="6" t="s">
        <v>516</v>
      </c>
      <c r="N58" s="6" t="s">
        <v>149</v>
      </c>
      <c r="O58" s="6" t="s">
        <v>517</v>
      </c>
      <c r="P58" s="6" t="s">
        <v>151</v>
      </c>
      <c r="Q58" s="6" t="s">
        <v>518</v>
      </c>
      <c r="R58" s="6" t="s">
        <v>519</v>
      </c>
      <c r="S58" s="6"/>
      <c r="T58" s="6"/>
      <c r="U58" s="6"/>
      <c r="V58" s="6"/>
      <c r="W58" s="6" t="s">
        <v>520</v>
      </c>
      <c r="X58" s="6" t="s">
        <v>512</v>
      </c>
      <c r="Y58" s="6" t="s">
        <v>151</v>
      </c>
      <c r="Z58" s="6" t="s">
        <v>152</v>
      </c>
      <c r="AA58" s="6" t="s">
        <v>153</v>
      </c>
      <c r="AB58" s="6" t="s">
        <v>521</v>
      </c>
      <c r="AC58" s="6" t="s">
        <v>106</v>
      </c>
      <c r="AD58" s="6"/>
      <c r="AE58" s="6"/>
      <c r="AF58" s="6"/>
      <c r="AG58" s="6"/>
      <c r="AH58" s="6"/>
      <c r="AI58" s="6"/>
      <c r="AJ58" s="6"/>
      <c r="AK58" s="6"/>
      <c r="AL58" s="6" t="s">
        <v>522</v>
      </c>
      <c r="AM58" s="6" t="s">
        <v>523</v>
      </c>
      <c r="AN58" s="6" t="n">
        <v>2</v>
      </c>
      <c r="AO58" s="6" t="s">
        <v>109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customFormat="false" ht="33.75" hidden="false" customHeight="true" outlineLevel="0" collapsed="false">
      <c r="A59" s="6" t="n">
        <v>59</v>
      </c>
      <c r="B59" s="7" t="s">
        <v>524</v>
      </c>
      <c r="C59" s="6" t="s">
        <v>525</v>
      </c>
      <c r="D59" s="6" t="s">
        <v>372</v>
      </c>
      <c r="E59" s="6" t="s">
        <v>373</v>
      </c>
      <c r="F59" s="6"/>
      <c r="G59" s="6"/>
      <c r="H59" s="6" t="s">
        <v>513</v>
      </c>
      <c r="I59" s="7" t="s">
        <v>514</v>
      </c>
      <c r="J59" s="7" t="s">
        <v>526</v>
      </c>
      <c r="K59" s="6"/>
      <c r="L59" s="6" t="s">
        <v>96</v>
      </c>
      <c r="M59" s="6" t="s">
        <v>516</v>
      </c>
      <c r="N59" s="6" t="s">
        <v>378</v>
      </c>
      <c r="O59" s="6" t="s">
        <v>517</v>
      </c>
      <c r="P59" s="6" t="s">
        <v>379</v>
      </c>
      <c r="Q59" s="6" t="s">
        <v>527</v>
      </c>
      <c r="R59" s="6" t="s">
        <v>519</v>
      </c>
      <c r="S59" s="6"/>
      <c r="T59" s="6"/>
      <c r="U59" s="6"/>
      <c r="V59" s="6"/>
      <c r="W59" s="6" t="s">
        <v>520</v>
      </c>
      <c r="X59" s="6" t="s">
        <v>525</v>
      </c>
      <c r="Y59" s="6" t="s">
        <v>379</v>
      </c>
      <c r="Z59" s="6" t="s">
        <v>152</v>
      </c>
      <c r="AA59" s="6" t="s">
        <v>225</v>
      </c>
      <c r="AB59" s="6" t="s">
        <v>521</v>
      </c>
      <c r="AC59" s="6" t="s">
        <v>106</v>
      </c>
      <c r="AD59" s="6"/>
      <c r="AE59" s="6"/>
      <c r="AF59" s="6"/>
      <c r="AG59" s="6"/>
      <c r="AH59" s="6"/>
      <c r="AI59" s="6"/>
      <c r="AJ59" s="6"/>
      <c r="AK59" s="6"/>
      <c r="AL59" s="6" t="s">
        <v>522</v>
      </c>
      <c r="AM59" s="6" t="s">
        <v>523</v>
      </c>
      <c r="AN59" s="6" t="n">
        <v>3</v>
      </c>
      <c r="AO59" s="6" t="s">
        <v>109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customFormat="false" ht="33.75" hidden="false" customHeight="true" outlineLevel="0" collapsed="false">
      <c r="A60" s="6" t="n">
        <v>60</v>
      </c>
      <c r="B60" s="7" t="s">
        <v>528</v>
      </c>
      <c r="C60" s="6" t="s">
        <v>529</v>
      </c>
      <c r="D60" s="6" t="s">
        <v>181</v>
      </c>
      <c r="E60" s="6" t="s">
        <v>182</v>
      </c>
      <c r="F60" s="6"/>
      <c r="G60" s="6"/>
      <c r="H60" s="6" t="s">
        <v>513</v>
      </c>
      <c r="I60" s="7" t="s">
        <v>514</v>
      </c>
      <c r="J60" s="7" t="s">
        <v>530</v>
      </c>
      <c r="K60" s="6"/>
      <c r="L60" s="6" t="s">
        <v>96</v>
      </c>
      <c r="M60" s="6" t="s">
        <v>516</v>
      </c>
      <c r="N60" s="6" t="s">
        <v>186</v>
      </c>
      <c r="O60" s="6" t="s">
        <v>517</v>
      </c>
      <c r="P60" s="6" t="s">
        <v>188</v>
      </c>
      <c r="Q60" s="6" t="s">
        <v>518</v>
      </c>
      <c r="R60" s="6" t="s">
        <v>519</v>
      </c>
      <c r="S60" s="6"/>
      <c r="T60" s="6"/>
      <c r="U60" s="6"/>
      <c r="V60" s="6"/>
      <c r="W60" s="6" t="s">
        <v>520</v>
      </c>
      <c r="X60" s="6" t="s">
        <v>529</v>
      </c>
      <c r="Y60" s="6" t="s">
        <v>188</v>
      </c>
      <c r="Z60" s="6" t="s">
        <v>152</v>
      </c>
      <c r="AA60" s="6" t="s">
        <v>189</v>
      </c>
      <c r="AB60" s="6" t="s">
        <v>521</v>
      </c>
      <c r="AC60" s="6" t="s">
        <v>106</v>
      </c>
      <c r="AD60" s="6"/>
      <c r="AE60" s="6"/>
      <c r="AF60" s="6"/>
      <c r="AG60" s="6"/>
      <c r="AH60" s="6"/>
      <c r="AI60" s="6"/>
      <c r="AJ60" s="6"/>
      <c r="AK60" s="6"/>
      <c r="AL60" s="6" t="s">
        <v>522</v>
      </c>
      <c r="AM60" s="6" t="s">
        <v>523</v>
      </c>
      <c r="AN60" s="6" t="n">
        <v>4</v>
      </c>
      <c r="AO60" s="6" t="s">
        <v>109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customFormat="false" ht="33.75" hidden="false" customHeight="true" outlineLevel="0" collapsed="false">
      <c r="A61" s="6" t="n">
        <v>61</v>
      </c>
      <c r="B61" s="7" t="s">
        <v>531</v>
      </c>
      <c r="C61" s="6" t="s">
        <v>532</v>
      </c>
      <c r="D61" s="6" t="s">
        <v>220</v>
      </c>
      <c r="E61" s="6" t="s">
        <v>221</v>
      </c>
      <c r="F61" s="6"/>
      <c r="G61" s="6"/>
      <c r="H61" s="6" t="s">
        <v>513</v>
      </c>
      <c r="I61" s="7" t="s">
        <v>514</v>
      </c>
      <c r="J61" s="7" t="s">
        <v>533</v>
      </c>
      <c r="K61" s="6"/>
      <c r="L61" s="6" t="s">
        <v>96</v>
      </c>
      <c r="M61" s="6" t="s">
        <v>516</v>
      </c>
      <c r="N61" s="6" t="s">
        <v>223</v>
      </c>
      <c r="O61" s="6" t="s">
        <v>517</v>
      </c>
      <c r="P61" s="6" t="s">
        <v>224</v>
      </c>
      <c r="Q61" s="6" t="s">
        <v>534</v>
      </c>
      <c r="R61" s="6" t="s">
        <v>519</v>
      </c>
      <c r="S61" s="6"/>
      <c r="T61" s="6"/>
      <c r="U61" s="6"/>
      <c r="V61" s="6"/>
      <c r="W61" s="6" t="s">
        <v>520</v>
      </c>
      <c r="X61" s="6" t="s">
        <v>532</v>
      </c>
      <c r="Y61" s="6" t="s">
        <v>224</v>
      </c>
      <c r="Z61" s="6" t="s">
        <v>152</v>
      </c>
      <c r="AA61" s="6" t="s">
        <v>225</v>
      </c>
      <c r="AB61" s="6" t="s">
        <v>521</v>
      </c>
      <c r="AC61" s="6" t="s">
        <v>106</v>
      </c>
      <c r="AD61" s="6"/>
      <c r="AE61" s="6"/>
      <c r="AF61" s="6"/>
      <c r="AG61" s="6"/>
      <c r="AH61" s="6"/>
      <c r="AI61" s="6"/>
      <c r="AJ61" s="6"/>
      <c r="AK61" s="6"/>
      <c r="AL61" s="6" t="s">
        <v>522</v>
      </c>
      <c r="AM61" s="6" t="s">
        <v>523</v>
      </c>
      <c r="AN61" s="6" t="n">
        <v>5</v>
      </c>
      <c r="AO61" s="6" t="s">
        <v>109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customFormat="false" ht="33.75" hidden="false" customHeight="true" outlineLevel="0" collapsed="false">
      <c r="A62" s="6" t="n">
        <v>62</v>
      </c>
      <c r="B62" s="7" t="s">
        <v>535</v>
      </c>
      <c r="C62" s="6" t="s">
        <v>536</v>
      </c>
      <c r="D62" s="6" t="s">
        <v>316</v>
      </c>
      <c r="E62" s="6" t="s">
        <v>317</v>
      </c>
      <c r="F62" s="6"/>
      <c r="G62" s="6"/>
      <c r="H62" s="6" t="s">
        <v>513</v>
      </c>
      <c r="I62" s="7" t="s">
        <v>514</v>
      </c>
      <c r="J62" s="7" t="s">
        <v>537</v>
      </c>
      <c r="K62" s="6"/>
      <c r="L62" s="6" t="s">
        <v>96</v>
      </c>
      <c r="M62" s="6" t="s">
        <v>516</v>
      </c>
      <c r="N62" s="6" t="s">
        <v>322</v>
      </c>
      <c r="O62" s="6" t="s">
        <v>517</v>
      </c>
      <c r="P62" s="6" t="s">
        <v>325</v>
      </c>
      <c r="Q62" s="6" t="s">
        <v>538</v>
      </c>
      <c r="R62" s="6" t="s">
        <v>519</v>
      </c>
      <c r="S62" s="6"/>
      <c r="T62" s="6"/>
      <c r="U62" s="6"/>
      <c r="V62" s="6"/>
      <c r="W62" s="6" t="s">
        <v>520</v>
      </c>
      <c r="X62" s="6" t="s">
        <v>536</v>
      </c>
      <c r="Y62" s="6" t="s">
        <v>325</v>
      </c>
      <c r="Z62" s="6" t="s">
        <v>152</v>
      </c>
      <c r="AA62" s="6" t="s">
        <v>104</v>
      </c>
      <c r="AB62" s="6" t="s">
        <v>521</v>
      </c>
      <c r="AC62" s="6" t="s">
        <v>106</v>
      </c>
      <c r="AD62" s="6"/>
      <c r="AE62" s="6"/>
      <c r="AF62" s="6"/>
      <c r="AG62" s="6"/>
      <c r="AH62" s="6"/>
      <c r="AI62" s="6"/>
      <c r="AJ62" s="6"/>
      <c r="AK62" s="6"/>
      <c r="AL62" s="6" t="s">
        <v>522</v>
      </c>
      <c r="AM62" s="6" t="s">
        <v>523</v>
      </c>
      <c r="AN62" s="6" t="n">
        <v>6</v>
      </c>
      <c r="AO62" s="6" t="s">
        <v>109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customFormat="false" ht="33.75" hidden="false" customHeight="true" outlineLevel="0" collapsed="false">
      <c r="A63" s="6" t="n">
        <v>63</v>
      </c>
      <c r="B63" s="7" t="s">
        <v>539</v>
      </c>
      <c r="C63" s="6" t="s">
        <v>540</v>
      </c>
      <c r="D63" s="6" t="s">
        <v>205</v>
      </c>
      <c r="E63" s="6" t="s">
        <v>206</v>
      </c>
      <c r="F63" s="6"/>
      <c r="G63" s="6"/>
      <c r="H63" s="6" t="s">
        <v>513</v>
      </c>
      <c r="I63" s="7" t="s">
        <v>541</v>
      </c>
      <c r="J63" s="7" t="s">
        <v>542</v>
      </c>
      <c r="K63" s="6"/>
      <c r="L63" s="6" t="s">
        <v>96</v>
      </c>
      <c r="M63" s="6" t="s">
        <v>516</v>
      </c>
      <c r="N63" s="6" t="s">
        <v>208</v>
      </c>
      <c r="O63" s="6" t="s">
        <v>517</v>
      </c>
      <c r="P63" s="6" t="s">
        <v>209</v>
      </c>
      <c r="Q63" s="6" t="s">
        <v>543</v>
      </c>
      <c r="R63" s="6" t="s">
        <v>519</v>
      </c>
      <c r="S63" s="6"/>
      <c r="T63" s="6"/>
      <c r="U63" s="6"/>
      <c r="V63" s="6"/>
      <c r="W63" s="6" t="s">
        <v>544</v>
      </c>
      <c r="X63" s="6" t="s">
        <v>540</v>
      </c>
      <c r="Y63" s="6" t="s">
        <v>209</v>
      </c>
      <c r="Z63" s="6" t="s">
        <v>210</v>
      </c>
      <c r="AA63" s="6" t="s">
        <v>104</v>
      </c>
      <c r="AB63" s="6" t="s">
        <v>545</v>
      </c>
      <c r="AC63" s="6" t="s">
        <v>106</v>
      </c>
      <c r="AD63" s="6"/>
      <c r="AE63" s="6"/>
      <c r="AF63" s="6"/>
      <c r="AG63" s="6"/>
      <c r="AH63" s="6"/>
      <c r="AI63" s="6"/>
      <c r="AJ63" s="6"/>
      <c r="AK63" s="6"/>
      <c r="AL63" s="6" t="s">
        <v>546</v>
      </c>
      <c r="AM63" s="6" t="s">
        <v>523</v>
      </c>
      <c r="AN63" s="6" t="n">
        <v>7</v>
      </c>
      <c r="AO63" s="6" t="s">
        <v>109</v>
      </c>
      <c r="AP63" s="6" t="s">
        <v>545</v>
      </c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customFormat="false" ht="33.75" hidden="false" customHeight="true" outlineLevel="0" collapsed="false">
      <c r="A64" s="6" t="n">
        <v>64</v>
      </c>
      <c r="B64" s="7" t="s">
        <v>547</v>
      </c>
      <c r="C64" s="6" t="s">
        <v>548</v>
      </c>
      <c r="D64" s="6" t="s">
        <v>213</v>
      </c>
      <c r="E64" s="6" t="s">
        <v>214</v>
      </c>
      <c r="F64" s="6"/>
      <c r="G64" s="6"/>
      <c r="H64" s="6" t="s">
        <v>513</v>
      </c>
      <c r="I64" s="7" t="s">
        <v>541</v>
      </c>
      <c r="J64" s="7" t="s">
        <v>549</v>
      </c>
      <c r="K64" s="6"/>
      <c r="L64" s="6" t="s">
        <v>96</v>
      </c>
      <c r="M64" s="6" t="s">
        <v>516</v>
      </c>
      <c r="N64" s="6" t="s">
        <v>216</v>
      </c>
      <c r="O64" s="6" t="s">
        <v>517</v>
      </c>
      <c r="P64" s="6" t="s">
        <v>217</v>
      </c>
      <c r="Q64" s="6" t="s">
        <v>550</v>
      </c>
      <c r="R64" s="6" t="s">
        <v>519</v>
      </c>
      <c r="S64" s="6"/>
      <c r="T64" s="6"/>
      <c r="U64" s="6"/>
      <c r="V64" s="6"/>
      <c r="W64" s="6" t="s">
        <v>544</v>
      </c>
      <c r="X64" s="6" t="s">
        <v>548</v>
      </c>
      <c r="Y64" s="6" t="s">
        <v>217</v>
      </c>
      <c r="Z64" s="6" t="s">
        <v>210</v>
      </c>
      <c r="AA64" s="6" t="s">
        <v>104</v>
      </c>
      <c r="AB64" s="6" t="s">
        <v>551</v>
      </c>
      <c r="AC64" s="6" t="s">
        <v>106</v>
      </c>
      <c r="AD64" s="6"/>
      <c r="AE64" s="6"/>
      <c r="AF64" s="6"/>
      <c r="AG64" s="6"/>
      <c r="AH64" s="6"/>
      <c r="AI64" s="6"/>
      <c r="AJ64" s="6"/>
      <c r="AK64" s="6"/>
      <c r="AL64" s="6" t="s">
        <v>546</v>
      </c>
      <c r="AM64" s="6" t="s">
        <v>523</v>
      </c>
      <c r="AN64" s="6" t="n">
        <v>8</v>
      </c>
      <c r="AO64" s="6" t="s">
        <v>109</v>
      </c>
      <c r="AP64" s="6" t="s">
        <v>551</v>
      </c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customFormat="false" ht="33.75" hidden="false" customHeight="true" outlineLevel="0" collapsed="false">
      <c r="A65" s="6" t="n">
        <v>65</v>
      </c>
      <c r="B65" s="7" t="s">
        <v>552</v>
      </c>
      <c r="C65" s="6" t="s">
        <v>553</v>
      </c>
      <c r="D65" s="6" t="s">
        <v>145</v>
      </c>
      <c r="E65" s="6" t="s">
        <v>146</v>
      </c>
      <c r="F65" s="6" t="s">
        <v>347</v>
      </c>
      <c r="G65" s="6" t="s">
        <v>348</v>
      </c>
      <c r="H65" s="6" t="s">
        <v>554</v>
      </c>
      <c r="I65" s="7" t="s">
        <v>555</v>
      </c>
      <c r="J65" s="7" t="s">
        <v>556</v>
      </c>
      <c r="K65" s="6"/>
      <c r="L65" s="6" t="s">
        <v>96</v>
      </c>
      <c r="M65" s="6" t="s">
        <v>557</v>
      </c>
      <c r="N65" s="6" t="s">
        <v>149</v>
      </c>
      <c r="O65" s="6" t="s">
        <v>558</v>
      </c>
      <c r="P65" s="6" t="s">
        <v>151</v>
      </c>
      <c r="Q65" s="6" t="s">
        <v>559</v>
      </c>
      <c r="R65" s="6"/>
      <c r="S65" s="6"/>
      <c r="T65" s="6"/>
      <c r="U65" s="6"/>
      <c r="V65" s="6"/>
      <c r="W65" s="6" t="s">
        <v>560</v>
      </c>
      <c r="X65" s="6" t="s">
        <v>553</v>
      </c>
      <c r="Y65" s="6" t="s">
        <v>151</v>
      </c>
      <c r="Z65" s="6" t="s">
        <v>152</v>
      </c>
      <c r="AA65" s="6" t="s">
        <v>153</v>
      </c>
      <c r="AB65" s="6" t="s">
        <v>561</v>
      </c>
      <c r="AC65" s="6" t="s">
        <v>106</v>
      </c>
      <c r="AD65" s="6"/>
      <c r="AE65" s="6"/>
      <c r="AF65" s="6"/>
      <c r="AG65" s="6"/>
      <c r="AH65" s="6"/>
      <c r="AI65" s="6"/>
      <c r="AJ65" s="6"/>
      <c r="AK65" s="6"/>
      <c r="AL65" s="6" t="s">
        <v>562</v>
      </c>
      <c r="AM65" s="6" t="s">
        <v>563</v>
      </c>
      <c r="AN65" s="6" t="n">
        <v>2</v>
      </c>
      <c r="AO65" s="6" t="s">
        <v>109</v>
      </c>
      <c r="AP65" s="6" t="s">
        <v>564</v>
      </c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customFormat="false" ht="33.75" hidden="false" customHeight="true" outlineLevel="0" collapsed="false">
      <c r="A66" s="6" t="n">
        <v>66</v>
      </c>
      <c r="B66" s="7" t="s">
        <v>565</v>
      </c>
      <c r="C66" s="6" t="s">
        <v>566</v>
      </c>
      <c r="D66" s="6" t="s">
        <v>372</v>
      </c>
      <c r="E66" s="6" t="s">
        <v>373</v>
      </c>
      <c r="F66" s="6" t="s">
        <v>374</v>
      </c>
      <c r="G66" s="6" t="s">
        <v>375</v>
      </c>
      <c r="H66" s="6" t="s">
        <v>554</v>
      </c>
      <c r="I66" s="7" t="s">
        <v>555</v>
      </c>
      <c r="J66" s="7" t="s">
        <v>567</v>
      </c>
      <c r="K66" s="6"/>
      <c r="L66" s="6" t="s">
        <v>96</v>
      </c>
      <c r="M66" s="6" t="s">
        <v>557</v>
      </c>
      <c r="N66" s="6" t="s">
        <v>378</v>
      </c>
      <c r="O66" s="6" t="s">
        <v>558</v>
      </c>
      <c r="P66" s="6" t="s">
        <v>379</v>
      </c>
      <c r="Q66" s="6" t="s">
        <v>568</v>
      </c>
      <c r="R66" s="6"/>
      <c r="S66" s="6"/>
      <c r="T66" s="6"/>
      <c r="U66" s="6"/>
      <c r="V66" s="6"/>
      <c r="W66" s="6" t="s">
        <v>560</v>
      </c>
      <c r="X66" s="6" t="s">
        <v>566</v>
      </c>
      <c r="Y66" s="6" t="s">
        <v>379</v>
      </c>
      <c r="Z66" s="6" t="s">
        <v>152</v>
      </c>
      <c r="AA66" s="6" t="s">
        <v>225</v>
      </c>
      <c r="AB66" s="6" t="s">
        <v>569</v>
      </c>
      <c r="AC66" s="6" t="s">
        <v>106</v>
      </c>
      <c r="AD66" s="6"/>
      <c r="AE66" s="6"/>
      <c r="AF66" s="6"/>
      <c r="AG66" s="6"/>
      <c r="AH66" s="6"/>
      <c r="AI66" s="6"/>
      <c r="AJ66" s="6"/>
      <c r="AK66" s="6"/>
      <c r="AL66" s="6" t="s">
        <v>562</v>
      </c>
      <c r="AM66" s="6" t="s">
        <v>563</v>
      </c>
      <c r="AN66" s="6" t="n">
        <v>3</v>
      </c>
      <c r="AO66" s="6" t="s">
        <v>109</v>
      </c>
      <c r="AP66" s="6" t="s">
        <v>570</v>
      </c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customFormat="false" ht="33.75" hidden="false" customHeight="true" outlineLevel="0" collapsed="false">
      <c r="A67" s="6" t="n">
        <v>67</v>
      </c>
      <c r="B67" s="7" t="s">
        <v>571</v>
      </c>
      <c r="C67" s="6" t="s">
        <v>572</v>
      </c>
      <c r="D67" s="6" t="s">
        <v>181</v>
      </c>
      <c r="E67" s="6" t="s">
        <v>182</v>
      </c>
      <c r="F67" s="6" t="s">
        <v>383</v>
      </c>
      <c r="G67" s="6" t="s">
        <v>384</v>
      </c>
      <c r="H67" s="6" t="s">
        <v>554</v>
      </c>
      <c r="I67" s="7" t="s">
        <v>555</v>
      </c>
      <c r="J67" s="7" t="s">
        <v>573</v>
      </c>
      <c r="K67" s="6"/>
      <c r="L67" s="6" t="s">
        <v>96</v>
      </c>
      <c r="M67" s="6" t="s">
        <v>557</v>
      </c>
      <c r="N67" s="6" t="s">
        <v>186</v>
      </c>
      <c r="O67" s="6" t="s">
        <v>558</v>
      </c>
      <c r="P67" s="6" t="s">
        <v>188</v>
      </c>
      <c r="Q67" s="6" t="s">
        <v>574</v>
      </c>
      <c r="R67" s="6"/>
      <c r="S67" s="6"/>
      <c r="T67" s="6"/>
      <c r="U67" s="6"/>
      <c r="V67" s="6"/>
      <c r="W67" s="6" t="s">
        <v>560</v>
      </c>
      <c r="X67" s="6" t="s">
        <v>572</v>
      </c>
      <c r="Y67" s="6" t="s">
        <v>188</v>
      </c>
      <c r="Z67" s="6" t="s">
        <v>152</v>
      </c>
      <c r="AA67" s="6" t="s">
        <v>189</v>
      </c>
      <c r="AB67" s="6" t="s">
        <v>575</v>
      </c>
      <c r="AC67" s="6" t="s">
        <v>106</v>
      </c>
      <c r="AD67" s="6"/>
      <c r="AE67" s="6"/>
      <c r="AF67" s="6"/>
      <c r="AG67" s="6"/>
      <c r="AH67" s="6"/>
      <c r="AI67" s="6"/>
      <c r="AJ67" s="6"/>
      <c r="AK67" s="6"/>
      <c r="AL67" s="6" t="s">
        <v>562</v>
      </c>
      <c r="AM67" s="6" t="s">
        <v>563</v>
      </c>
      <c r="AN67" s="6" t="n">
        <v>4</v>
      </c>
      <c r="AO67" s="6" t="s">
        <v>109</v>
      </c>
      <c r="AP67" s="6" t="s">
        <v>576</v>
      </c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customFormat="false" ht="33.75" hidden="false" customHeight="true" outlineLevel="0" collapsed="false">
      <c r="A68" s="6" t="n">
        <v>68</v>
      </c>
      <c r="B68" s="7" t="s">
        <v>577</v>
      </c>
      <c r="C68" s="6" t="s">
        <v>578</v>
      </c>
      <c r="D68" s="6" t="s">
        <v>181</v>
      </c>
      <c r="E68" s="6" t="s">
        <v>182</v>
      </c>
      <c r="F68" s="6" t="s">
        <v>394</v>
      </c>
      <c r="G68" s="6" t="s">
        <v>395</v>
      </c>
      <c r="H68" s="6" t="s">
        <v>554</v>
      </c>
      <c r="I68" s="7" t="s">
        <v>555</v>
      </c>
      <c r="J68" s="7" t="s">
        <v>579</v>
      </c>
      <c r="K68" s="6"/>
      <c r="L68" s="6" t="s">
        <v>96</v>
      </c>
      <c r="M68" s="6" t="s">
        <v>557</v>
      </c>
      <c r="N68" s="6" t="s">
        <v>186</v>
      </c>
      <c r="O68" s="6" t="s">
        <v>558</v>
      </c>
      <c r="P68" s="6" t="s">
        <v>188</v>
      </c>
      <c r="Q68" s="6" t="s">
        <v>580</v>
      </c>
      <c r="R68" s="6"/>
      <c r="S68" s="6"/>
      <c r="T68" s="6"/>
      <c r="U68" s="6"/>
      <c r="V68" s="6"/>
      <c r="W68" s="6" t="s">
        <v>560</v>
      </c>
      <c r="X68" s="6" t="s">
        <v>578</v>
      </c>
      <c r="Y68" s="6" t="s">
        <v>188</v>
      </c>
      <c r="Z68" s="6" t="s">
        <v>152</v>
      </c>
      <c r="AA68" s="6" t="s">
        <v>189</v>
      </c>
      <c r="AB68" s="6" t="s">
        <v>581</v>
      </c>
      <c r="AC68" s="6" t="s">
        <v>106</v>
      </c>
      <c r="AD68" s="6"/>
      <c r="AE68" s="6"/>
      <c r="AF68" s="6"/>
      <c r="AG68" s="6"/>
      <c r="AH68" s="6"/>
      <c r="AI68" s="6"/>
      <c r="AJ68" s="6"/>
      <c r="AK68" s="6"/>
      <c r="AL68" s="6" t="s">
        <v>562</v>
      </c>
      <c r="AM68" s="6" t="s">
        <v>563</v>
      </c>
      <c r="AN68" s="6" t="n">
        <v>5</v>
      </c>
      <c r="AO68" s="6" t="s">
        <v>109</v>
      </c>
      <c r="AP68" s="6" t="s">
        <v>582</v>
      </c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customFormat="false" ht="33.75" hidden="false" customHeight="true" outlineLevel="0" collapsed="false">
      <c r="A69" s="6" t="n">
        <v>69</v>
      </c>
      <c r="B69" s="7" t="s">
        <v>583</v>
      </c>
      <c r="C69" s="6" t="s">
        <v>584</v>
      </c>
      <c r="D69" s="6" t="s">
        <v>220</v>
      </c>
      <c r="E69" s="6" t="s">
        <v>221</v>
      </c>
      <c r="F69" s="6" t="s">
        <v>402</v>
      </c>
      <c r="G69" s="6" t="s">
        <v>403</v>
      </c>
      <c r="H69" s="6" t="s">
        <v>554</v>
      </c>
      <c r="I69" s="7" t="s">
        <v>555</v>
      </c>
      <c r="J69" s="7" t="s">
        <v>585</v>
      </c>
      <c r="K69" s="6"/>
      <c r="L69" s="6" t="s">
        <v>96</v>
      </c>
      <c r="M69" s="6" t="s">
        <v>557</v>
      </c>
      <c r="N69" s="6" t="s">
        <v>223</v>
      </c>
      <c r="O69" s="6" t="s">
        <v>558</v>
      </c>
      <c r="P69" s="6" t="s">
        <v>224</v>
      </c>
      <c r="Q69" s="6" t="s">
        <v>586</v>
      </c>
      <c r="R69" s="6"/>
      <c r="S69" s="6"/>
      <c r="T69" s="6"/>
      <c r="U69" s="6"/>
      <c r="V69" s="6"/>
      <c r="W69" s="6" t="s">
        <v>560</v>
      </c>
      <c r="X69" s="6" t="s">
        <v>584</v>
      </c>
      <c r="Y69" s="6" t="s">
        <v>224</v>
      </c>
      <c r="Z69" s="6" t="s">
        <v>152</v>
      </c>
      <c r="AA69" s="6" t="s">
        <v>225</v>
      </c>
      <c r="AB69" s="6" t="s">
        <v>587</v>
      </c>
      <c r="AC69" s="6" t="s">
        <v>106</v>
      </c>
      <c r="AD69" s="6"/>
      <c r="AE69" s="6"/>
      <c r="AF69" s="6"/>
      <c r="AG69" s="6"/>
      <c r="AH69" s="6"/>
      <c r="AI69" s="6"/>
      <c r="AJ69" s="6"/>
      <c r="AK69" s="6"/>
      <c r="AL69" s="6" t="s">
        <v>562</v>
      </c>
      <c r="AM69" s="6" t="s">
        <v>563</v>
      </c>
      <c r="AN69" s="6" t="n">
        <v>6</v>
      </c>
      <c r="AO69" s="6" t="s">
        <v>109</v>
      </c>
      <c r="AP69" s="6" t="s">
        <v>588</v>
      </c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customFormat="false" ht="33.75" hidden="false" customHeight="true" outlineLevel="0" collapsed="false">
      <c r="A70" s="6" t="n">
        <v>70</v>
      </c>
      <c r="B70" s="7" t="s">
        <v>589</v>
      </c>
      <c r="C70" s="6" t="s">
        <v>590</v>
      </c>
      <c r="D70" s="6" t="s">
        <v>145</v>
      </c>
      <c r="E70" s="6" t="s">
        <v>146</v>
      </c>
      <c r="F70" s="6" t="s">
        <v>591</v>
      </c>
      <c r="G70" s="6" t="s">
        <v>592</v>
      </c>
      <c r="H70" s="6" t="s">
        <v>554</v>
      </c>
      <c r="I70" s="7" t="s">
        <v>555</v>
      </c>
      <c r="J70" s="7" t="s">
        <v>593</v>
      </c>
      <c r="K70" s="6"/>
      <c r="L70" s="6" t="s">
        <v>594</v>
      </c>
      <c r="M70" s="6" t="s">
        <v>557</v>
      </c>
      <c r="N70" s="6" t="s">
        <v>149</v>
      </c>
      <c r="O70" s="6" t="s">
        <v>558</v>
      </c>
      <c r="P70" s="6" t="s">
        <v>151</v>
      </c>
      <c r="Q70" s="6" t="s">
        <v>595</v>
      </c>
      <c r="R70" s="6"/>
      <c r="S70" s="6"/>
      <c r="T70" s="6"/>
      <c r="U70" s="6"/>
      <c r="V70" s="6"/>
      <c r="W70" s="6" t="s">
        <v>560</v>
      </c>
      <c r="X70" s="6" t="s">
        <v>590</v>
      </c>
      <c r="Y70" s="6" t="s">
        <v>151</v>
      </c>
      <c r="Z70" s="6" t="s">
        <v>152</v>
      </c>
      <c r="AA70" s="6" t="s">
        <v>153</v>
      </c>
      <c r="AB70" s="6" t="s">
        <v>596</v>
      </c>
      <c r="AC70" s="6" t="s">
        <v>106</v>
      </c>
      <c r="AD70" s="6"/>
      <c r="AE70" s="6"/>
      <c r="AF70" s="6"/>
      <c r="AG70" s="6"/>
      <c r="AH70" s="6"/>
      <c r="AI70" s="6"/>
      <c r="AJ70" s="6"/>
      <c r="AK70" s="6"/>
      <c r="AL70" s="6" t="s">
        <v>562</v>
      </c>
      <c r="AM70" s="6" t="s">
        <v>563</v>
      </c>
      <c r="AN70" s="6" t="n">
        <v>7</v>
      </c>
      <c r="AO70" s="6" t="s">
        <v>597</v>
      </c>
      <c r="AP70" s="6" t="s">
        <v>598</v>
      </c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customFormat="false" ht="33.75" hidden="false" customHeight="true" outlineLevel="0" collapsed="false">
      <c r="A71" s="6" t="n">
        <v>71</v>
      </c>
      <c r="B71" s="7" t="s">
        <v>599</v>
      </c>
      <c r="C71" s="6" t="s">
        <v>600</v>
      </c>
      <c r="D71" s="6" t="s">
        <v>181</v>
      </c>
      <c r="E71" s="6" t="s">
        <v>182</v>
      </c>
      <c r="F71" s="6"/>
      <c r="G71" s="6"/>
      <c r="H71" s="6" t="s">
        <v>601</v>
      </c>
      <c r="I71" s="7" t="s">
        <v>602</v>
      </c>
      <c r="J71" s="7" t="s">
        <v>603</v>
      </c>
      <c r="K71" s="6"/>
      <c r="L71" s="6" t="s">
        <v>364</v>
      </c>
      <c r="M71" s="6" t="s">
        <v>604</v>
      </c>
      <c r="N71" s="6" t="s">
        <v>186</v>
      </c>
      <c r="O71" s="6" t="s">
        <v>605</v>
      </c>
      <c r="P71" s="6" t="s">
        <v>606</v>
      </c>
      <c r="Q71" s="6" t="s">
        <v>607</v>
      </c>
      <c r="R71" s="6"/>
      <c r="S71" s="6"/>
      <c r="T71" s="6"/>
      <c r="U71" s="6"/>
      <c r="V71" s="6" t="s">
        <v>608</v>
      </c>
      <c r="W71" s="6" t="s">
        <v>609</v>
      </c>
      <c r="X71" s="6" t="s">
        <v>600</v>
      </c>
      <c r="Y71" s="6" t="s">
        <v>188</v>
      </c>
      <c r="Z71" s="6" t="s">
        <v>152</v>
      </c>
      <c r="AA71" s="6" t="s">
        <v>189</v>
      </c>
      <c r="AB71" s="6" t="s">
        <v>154</v>
      </c>
      <c r="AC71" s="6" t="s">
        <v>106</v>
      </c>
      <c r="AD71" s="6"/>
      <c r="AE71" s="6"/>
      <c r="AF71" s="6"/>
      <c r="AG71" s="6"/>
      <c r="AH71" s="6"/>
      <c r="AI71" s="6"/>
      <c r="AJ71" s="6"/>
      <c r="AK71" s="6"/>
      <c r="AL71" s="6" t="s">
        <v>610</v>
      </c>
      <c r="AM71" s="6" t="s">
        <v>611</v>
      </c>
      <c r="AN71" s="6" t="n">
        <v>2</v>
      </c>
      <c r="AO71" s="6" t="s">
        <v>368</v>
      </c>
      <c r="AP71" s="6" t="s">
        <v>612</v>
      </c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customFormat="false" ht="33.75" hidden="false" customHeight="true" outlineLevel="0" collapsed="false">
      <c r="A72" s="6" t="n">
        <v>72</v>
      </c>
      <c r="B72" s="7" t="s">
        <v>613</v>
      </c>
      <c r="C72" s="6" t="s">
        <v>614</v>
      </c>
      <c r="D72" s="6" t="s">
        <v>181</v>
      </c>
      <c r="E72" s="6" t="s">
        <v>182</v>
      </c>
      <c r="F72" s="6" t="s">
        <v>383</v>
      </c>
      <c r="G72" s="6" t="s">
        <v>384</v>
      </c>
      <c r="H72" s="6" t="s">
        <v>601</v>
      </c>
      <c r="I72" s="7" t="s">
        <v>602</v>
      </c>
      <c r="J72" s="7" t="s">
        <v>615</v>
      </c>
      <c r="K72" s="6"/>
      <c r="L72" s="6" t="s">
        <v>364</v>
      </c>
      <c r="M72" s="6" t="s">
        <v>616</v>
      </c>
      <c r="N72" s="6" t="s">
        <v>186</v>
      </c>
      <c r="O72" s="6" t="s">
        <v>605</v>
      </c>
      <c r="P72" s="6" t="s">
        <v>617</v>
      </c>
      <c r="Q72" s="8" t="n">
        <v>18.4</v>
      </c>
      <c r="R72" s="6" t="s">
        <v>618</v>
      </c>
      <c r="S72" s="6"/>
      <c r="T72" s="6"/>
      <c r="U72" s="6"/>
      <c r="V72" s="6" t="s">
        <v>608</v>
      </c>
      <c r="W72" s="6" t="s">
        <v>609</v>
      </c>
      <c r="X72" s="6" t="s">
        <v>614</v>
      </c>
      <c r="Y72" s="6" t="s">
        <v>188</v>
      </c>
      <c r="Z72" s="6" t="s">
        <v>152</v>
      </c>
      <c r="AA72" s="6" t="s">
        <v>189</v>
      </c>
      <c r="AB72" s="6" t="s">
        <v>154</v>
      </c>
      <c r="AC72" s="6" t="s">
        <v>458</v>
      </c>
      <c r="AD72" s="6" t="s">
        <v>619</v>
      </c>
      <c r="AE72" s="6" t="s">
        <v>620</v>
      </c>
      <c r="AF72" s="6" t="s">
        <v>621</v>
      </c>
      <c r="AG72" s="10" t="n">
        <v>46208</v>
      </c>
      <c r="AH72" s="6" t="s">
        <v>622</v>
      </c>
      <c r="AI72" s="6" t="s">
        <v>623</v>
      </c>
      <c r="AJ72" s="6" t="n">
        <v>17.5</v>
      </c>
      <c r="AK72" s="6" t="s">
        <v>618</v>
      </c>
      <c r="AL72" s="6" t="s">
        <v>610</v>
      </c>
      <c r="AM72" s="6" t="s">
        <v>611</v>
      </c>
      <c r="AN72" s="6" t="n">
        <v>3</v>
      </c>
      <c r="AO72" s="6" t="s">
        <v>368</v>
      </c>
      <c r="AP72" s="6" t="s">
        <v>624</v>
      </c>
      <c r="AQ72" s="6"/>
      <c r="AR72" s="6"/>
      <c r="AS72" s="6"/>
      <c r="AT72" s="6"/>
      <c r="AU72" s="6"/>
      <c r="AV72" s="6"/>
      <c r="AW72" s="6"/>
      <c r="AX72" s="6"/>
      <c r="AY72" s="8" t="n">
        <v>18.4</v>
      </c>
      <c r="AZ72" s="6" t="n">
        <v>12</v>
      </c>
    </row>
    <row r="73" customFormat="false" ht="33.75" hidden="false" customHeight="true" outlineLevel="0" collapsed="false">
      <c r="A73" s="6" t="n">
        <v>73</v>
      </c>
      <c r="B73" s="7" t="s">
        <v>625</v>
      </c>
      <c r="C73" s="6" t="s">
        <v>626</v>
      </c>
      <c r="D73" s="6" t="s">
        <v>181</v>
      </c>
      <c r="E73" s="6" t="s">
        <v>182</v>
      </c>
      <c r="F73" s="6" t="s">
        <v>394</v>
      </c>
      <c r="G73" s="6" t="s">
        <v>395</v>
      </c>
      <c r="H73" s="6" t="s">
        <v>601</v>
      </c>
      <c r="I73" s="7" t="s">
        <v>602</v>
      </c>
      <c r="J73" s="7" t="s">
        <v>627</v>
      </c>
      <c r="K73" s="6"/>
      <c r="L73" s="6" t="s">
        <v>364</v>
      </c>
      <c r="M73" s="6" t="s">
        <v>616</v>
      </c>
      <c r="N73" s="6" t="s">
        <v>186</v>
      </c>
      <c r="O73" s="6" t="s">
        <v>605</v>
      </c>
      <c r="P73" s="6" t="s">
        <v>617</v>
      </c>
      <c r="Q73" s="8" t="n">
        <v>17.8</v>
      </c>
      <c r="R73" s="6" t="s">
        <v>618</v>
      </c>
      <c r="S73" s="6"/>
      <c r="T73" s="6"/>
      <c r="U73" s="6"/>
      <c r="V73" s="6" t="s">
        <v>608</v>
      </c>
      <c r="W73" s="6" t="s">
        <v>609</v>
      </c>
      <c r="X73" s="6" t="s">
        <v>626</v>
      </c>
      <c r="Y73" s="6" t="s">
        <v>188</v>
      </c>
      <c r="Z73" s="6" t="s">
        <v>152</v>
      </c>
      <c r="AA73" s="6" t="s">
        <v>189</v>
      </c>
      <c r="AB73" s="6" t="s">
        <v>154</v>
      </c>
      <c r="AC73" s="6" t="s">
        <v>458</v>
      </c>
      <c r="AD73" s="6" t="s">
        <v>619</v>
      </c>
      <c r="AE73" s="6" t="s">
        <v>620</v>
      </c>
      <c r="AF73" s="6" t="s">
        <v>621</v>
      </c>
      <c r="AG73" s="10" t="n">
        <v>46208</v>
      </c>
      <c r="AH73" s="6" t="s">
        <v>622</v>
      </c>
      <c r="AI73" s="6" t="s">
        <v>623</v>
      </c>
      <c r="AJ73" s="6" t="n">
        <v>17.5</v>
      </c>
      <c r="AK73" s="6" t="s">
        <v>618</v>
      </c>
      <c r="AL73" s="6" t="s">
        <v>610</v>
      </c>
      <c r="AM73" s="6" t="s">
        <v>611</v>
      </c>
      <c r="AN73" s="6" t="n">
        <v>4</v>
      </c>
      <c r="AO73" s="6" t="s">
        <v>368</v>
      </c>
      <c r="AP73" s="6" t="s">
        <v>628</v>
      </c>
      <c r="AQ73" s="6"/>
      <c r="AR73" s="6"/>
      <c r="AS73" s="6"/>
      <c r="AT73" s="6"/>
      <c r="AU73" s="6"/>
      <c r="AV73" s="6"/>
      <c r="AW73" s="6"/>
      <c r="AX73" s="6"/>
      <c r="AY73" s="8" t="n">
        <v>17.8</v>
      </c>
      <c r="AZ73" s="6" t="n">
        <v>12</v>
      </c>
    </row>
    <row r="74" customFormat="false" ht="33.75" hidden="false" customHeight="true" outlineLevel="0" collapsed="false">
      <c r="A74" s="6" t="n">
        <v>74</v>
      </c>
      <c r="B74" s="7" t="s">
        <v>629</v>
      </c>
      <c r="C74" s="6" t="s">
        <v>630</v>
      </c>
      <c r="D74" s="6" t="s">
        <v>181</v>
      </c>
      <c r="E74" s="6" t="s">
        <v>182</v>
      </c>
      <c r="F74" s="6" t="s">
        <v>394</v>
      </c>
      <c r="G74" s="6" t="s">
        <v>395</v>
      </c>
      <c r="H74" s="6" t="s">
        <v>601</v>
      </c>
      <c r="I74" s="7" t="s">
        <v>602</v>
      </c>
      <c r="J74" s="7" t="s">
        <v>631</v>
      </c>
      <c r="K74" s="6"/>
      <c r="L74" s="6" t="s">
        <v>364</v>
      </c>
      <c r="M74" s="6" t="s">
        <v>616</v>
      </c>
      <c r="N74" s="6" t="s">
        <v>186</v>
      </c>
      <c r="O74" s="6" t="s">
        <v>605</v>
      </c>
      <c r="P74" s="6" t="s">
        <v>632</v>
      </c>
      <c r="Q74" s="8" t="n">
        <v>17.1</v>
      </c>
      <c r="R74" s="6" t="s">
        <v>618</v>
      </c>
      <c r="S74" s="6"/>
      <c r="T74" s="6"/>
      <c r="U74" s="6"/>
      <c r="V74" s="6" t="s">
        <v>608</v>
      </c>
      <c r="W74" s="6" t="s">
        <v>609</v>
      </c>
      <c r="X74" s="6" t="s">
        <v>630</v>
      </c>
      <c r="Y74" s="6" t="s">
        <v>188</v>
      </c>
      <c r="Z74" s="6" t="s">
        <v>152</v>
      </c>
      <c r="AA74" s="6" t="s">
        <v>189</v>
      </c>
      <c r="AB74" s="6" t="s">
        <v>154</v>
      </c>
      <c r="AC74" s="6" t="s">
        <v>458</v>
      </c>
      <c r="AD74" s="6" t="s">
        <v>619</v>
      </c>
      <c r="AE74" s="6" t="s">
        <v>620</v>
      </c>
      <c r="AF74" s="6" t="s">
        <v>621</v>
      </c>
      <c r="AG74" s="10" t="n">
        <v>46208</v>
      </c>
      <c r="AH74" s="6" t="s">
        <v>622</v>
      </c>
      <c r="AI74" s="6" t="s">
        <v>623</v>
      </c>
      <c r="AJ74" s="6" t="n">
        <v>17.5</v>
      </c>
      <c r="AK74" s="6" t="s">
        <v>618</v>
      </c>
      <c r="AL74" s="6" t="s">
        <v>610</v>
      </c>
      <c r="AM74" s="6" t="s">
        <v>611</v>
      </c>
      <c r="AN74" s="6" t="n">
        <v>5</v>
      </c>
      <c r="AO74" s="6" t="s">
        <v>368</v>
      </c>
      <c r="AP74" s="6" t="s">
        <v>633</v>
      </c>
      <c r="AQ74" s="6"/>
      <c r="AR74" s="6"/>
      <c r="AS74" s="6"/>
      <c r="AT74" s="6"/>
      <c r="AU74" s="6"/>
      <c r="AV74" s="6"/>
      <c r="AW74" s="6"/>
      <c r="AX74" s="6"/>
      <c r="AY74" s="8" t="n">
        <v>17.1</v>
      </c>
      <c r="AZ74" s="6" t="n">
        <v>1</v>
      </c>
    </row>
    <row r="75" customFormat="false" ht="33.75" hidden="false" customHeight="true" outlineLevel="0" collapsed="false">
      <c r="A75" s="6" t="n">
        <v>75</v>
      </c>
      <c r="B75" s="7" t="s">
        <v>634</v>
      </c>
      <c r="C75" s="6" t="s">
        <v>635</v>
      </c>
      <c r="D75" s="6" t="s">
        <v>181</v>
      </c>
      <c r="E75" s="6" t="s">
        <v>182</v>
      </c>
      <c r="F75" s="6" t="s">
        <v>394</v>
      </c>
      <c r="G75" s="6" t="s">
        <v>395</v>
      </c>
      <c r="H75" s="6" t="s">
        <v>601</v>
      </c>
      <c r="I75" s="7" t="s">
        <v>602</v>
      </c>
      <c r="J75" s="7" t="s">
        <v>636</v>
      </c>
      <c r="K75" s="6"/>
      <c r="L75" s="6" t="s">
        <v>364</v>
      </c>
      <c r="M75" s="6" t="s">
        <v>616</v>
      </c>
      <c r="N75" s="6" t="s">
        <v>186</v>
      </c>
      <c r="O75" s="6" t="s">
        <v>605</v>
      </c>
      <c r="P75" s="6" t="s">
        <v>637</v>
      </c>
      <c r="Q75" s="8" t="n">
        <v>17.8</v>
      </c>
      <c r="R75" s="6" t="s">
        <v>618</v>
      </c>
      <c r="S75" s="6"/>
      <c r="T75" s="6"/>
      <c r="U75" s="6"/>
      <c r="V75" s="6" t="s">
        <v>608</v>
      </c>
      <c r="W75" s="6" t="s">
        <v>609</v>
      </c>
      <c r="X75" s="6" t="s">
        <v>635</v>
      </c>
      <c r="Y75" s="6" t="s">
        <v>188</v>
      </c>
      <c r="Z75" s="6" t="s">
        <v>152</v>
      </c>
      <c r="AA75" s="6" t="s">
        <v>189</v>
      </c>
      <c r="AB75" s="6" t="s">
        <v>154</v>
      </c>
      <c r="AC75" s="6" t="s">
        <v>458</v>
      </c>
      <c r="AD75" s="6" t="s">
        <v>619</v>
      </c>
      <c r="AE75" s="6" t="s">
        <v>620</v>
      </c>
      <c r="AF75" s="6" t="s">
        <v>621</v>
      </c>
      <c r="AG75" s="10" t="n">
        <v>46208</v>
      </c>
      <c r="AH75" s="6" t="s">
        <v>622</v>
      </c>
      <c r="AI75" s="6" t="s">
        <v>623</v>
      </c>
      <c r="AJ75" s="6" t="n">
        <v>17.5</v>
      </c>
      <c r="AK75" s="6" t="s">
        <v>618</v>
      </c>
      <c r="AL75" s="6" t="s">
        <v>610</v>
      </c>
      <c r="AM75" s="6" t="s">
        <v>611</v>
      </c>
      <c r="AN75" s="6" t="n">
        <v>6</v>
      </c>
      <c r="AO75" s="6" t="s">
        <v>368</v>
      </c>
      <c r="AP75" s="6" t="s">
        <v>638</v>
      </c>
      <c r="AQ75" s="6"/>
      <c r="AR75" s="6"/>
      <c r="AS75" s="6"/>
      <c r="AT75" s="6"/>
      <c r="AU75" s="6"/>
      <c r="AV75" s="6"/>
      <c r="AW75" s="6"/>
      <c r="AX75" s="6"/>
      <c r="AY75" s="8" t="n">
        <v>17.8</v>
      </c>
      <c r="AZ75" s="6" t="n">
        <v>12</v>
      </c>
    </row>
    <row r="79" customFormat="false" ht="15" hidden="false" customHeight="true" outlineLevel="0" collapsed="false">
      <c r="A79" s="11" t="s">
        <v>639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customFormat="false" ht="36" hidden="false" customHeight="true" outlineLevel="0" collapsed="false">
      <c r="A80" s="5" t="s">
        <v>640</v>
      </c>
      <c r="B80" s="5" t="s">
        <v>641</v>
      </c>
      <c r="C80" s="5" t="s">
        <v>642</v>
      </c>
      <c r="D80" s="5" t="s">
        <v>643</v>
      </c>
      <c r="E80" s="5" t="s">
        <v>644</v>
      </c>
      <c r="F80" s="5" t="s">
        <v>645</v>
      </c>
      <c r="G80" s="5" t="s">
        <v>646</v>
      </c>
      <c r="H80" s="5" t="s">
        <v>647</v>
      </c>
      <c r="I80" s="5" t="s">
        <v>648</v>
      </c>
      <c r="J80" s="5" t="s">
        <v>53</v>
      </c>
      <c r="K80" s="5" t="s">
        <v>649</v>
      </c>
    </row>
    <row r="81" customFormat="false" ht="15" hidden="false" customHeight="true" outlineLevel="0" collapsed="false">
      <c r="A81" s="1" t="s">
        <v>650</v>
      </c>
      <c r="B81" s="1" t="s">
        <v>651</v>
      </c>
      <c r="C81" s="1" t="s">
        <v>652</v>
      </c>
      <c r="D81" s="12" t="n">
        <v>46191</v>
      </c>
      <c r="E81" s="1" t="s">
        <v>653</v>
      </c>
      <c r="F81" s="1" t="s">
        <v>654</v>
      </c>
      <c r="G81" s="1" t="s">
        <v>655</v>
      </c>
      <c r="H81" s="1" t="s">
        <v>656</v>
      </c>
      <c r="I81" s="13" t="n">
        <v>8</v>
      </c>
      <c r="J81" s="1" t="s">
        <v>449</v>
      </c>
      <c r="K81" s="14" t="s">
        <v>657</v>
      </c>
    </row>
    <row r="82" customFormat="false" ht="15" hidden="false" customHeight="true" outlineLevel="0" collapsed="false">
      <c r="A82" s="1" t="s">
        <v>658</v>
      </c>
      <c r="B82" s="1" t="s">
        <v>651</v>
      </c>
      <c r="C82" s="1" t="s">
        <v>652</v>
      </c>
      <c r="D82" s="12" t="n">
        <v>46191</v>
      </c>
      <c r="E82" s="1" t="s">
        <v>653</v>
      </c>
      <c r="F82" s="1" t="s">
        <v>654</v>
      </c>
      <c r="G82" s="1" t="s">
        <v>655</v>
      </c>
      <c r="H82" s="1" t="s">
        <v>659</v>
      </c>
      <c r="I82" s="13" t="n">
        <v>8</v>
      </c>
      <c r="J82" s="1" t="s">
        <v>449</v>
      </c>
      <c r="K82" s="14" t="s">
        <v>657</v>
      </c>
    </row>
    <row r="83" customFormat="false" ht="15" hidden="false" customHeight="true" outlineLevel="0" collapsed="false">
      <c r="A83" s="1" t="s">
        <v>660</v>
      </c>
      <c r="B83" s="1" t="s">
        <v>651</v>
      </c>
      <c r="C83" s="1" t="s">
        <v>652</v>
      </c>
      <c r="D83" s="12" t="n">
        <v>46191</v>
      </c>
      <c r="E83" s="1" t="s">
        <v>653</v>
      </c>
      <c r="F83" s="1" t="s">
        <v>654</v>
      </c>
      <c r="G83" s="1" t="s">
        <v>655</v>
      </c>
      <c r="H83" s="1" t="s">
        <v>661</v>
      </c>
      <c r="I83" s="13" t="n">
        <v>5</v>
      </c>
      <c r="J83" s="1" t="s">
        <v>449</v>
      </c>
      <c r="K83" s="14" t="s">
        <v>657</v>
      </c>
    </row>
    <row r="84" customFormat="false" ht="15" hidden="false" customHeight="true" outlineLevel="0" collapsed="false">
      <c r="A84" s="1" t="s">
        <v>662</v>
      </c>
      <c r="B84" s="1" t="s">
        <v>651</v>
      </c>
      <c r="C84" s="1" t="s">
        <v>652</v>
      </c>
      <c r="D84" s="12" t="n">
        <v>46191</v>
      </c>
      <c r="E84" s="1" t="s">
        <v>653</v>
      </c>
      <c r="F84" s="1" t="s">
        <v>654</v>
      </c>
      <c r="G84" s="1" t="s">
        <v>655</v>
      </c>
      <c r="H84" s="1" t="s">
        <v>663</v>
      </c>
      <c r="I84" s="13" t="n">
        <v>3</v>
      </c>
      <c r="J84" s="1" t="s">
        <v>449</v>
      </c>
      <c r="K84" s="14" t="s">
        <v>657</v>
      </c>
    </row>
    <row r="85" customFormat="false" ht="15" hidden="false" customHeight="true" outlineLevel="0" collapsed="false">
      <c r="A85" s="1" t="s">
        <v>664</v>
      </c>
      <c r="B85" s="1" t="s">
        <v>651</v>
      </c>
      <c r="C85" s="1" t="s">
        <v>652</v>
      </c>
      <c r="D85" s="12" t="n">
        <v>46191</v>
      </c>
      <c r="E85" s="1" t="s">
        <v>653</v>
      </c>
      <c r="F85" s="1" t="s">
        <v>654</v>
      </c>
      <c r="G85" s="1" t="s">
        <v>655</v>
      </c>
      <c r="H85" s="1" t="s">
        <v>665</v>
      </c>
      <c r="I85" s="13" t="n">
        <v>10</v>
      </c>
      <c r="J85" s="1" t="s">
        <v>449</v>
      </c>
      <c r="K85" s="14" t="s">
        <v>657</v>
      </c>
    </row>
    <row r="86" customFormat="false" ht="15" hidden="false" customHeight="true" outlineLevel="0" collapsed="false">
      <c r="A86" s="1" t="s">
        <v>666</v>
      </c>
      <c r="B86" s="1" t="s">
        <v>651</v>
      </c>
      <c r="C86" s="1" t="s">
        <v>652</v>
      </c>
      <c r="D86" s="12" t="n">
        <v>46191</v>
      </c>
      <c r="E86" s="1" t="s">
        <v>653</v>
      </c>
      <c r="F86" s="1" t="s">
        <v>654</v>
      </c>
      <c r="G86" s="1" t="s">
        <v>655</v>
      </c>
      <c r="H86" s="1" t="s">
        <v>667</v>
      </c>
      <c r="I86" s="13" t="n">
        <v>10</v>
      </c>
      <c r="J86" s="1" t="s">
        <v>449</v>
      </c>
      <c r="K86" s="14" t="s">
        <v>657</v>
      </c>
    </row>
    <row r="87" customFormat="false" ht="15" hidden="false" customHeight="true" outlineLevel="0" collapsed="false">
      <c r="A87" s="1" t="s">
        <v>668</v>
      </c>
      <c r="B87" s="1" t="s">
        <v>669</v>
      </c>
      <c r="C87" s="1" t="s">
        <v>670</v>
      </c>
      <c r="D87" s="12" t="n">
        <v>46205</v>
      </c>
      <c r="E87" s="1" t="s">
        <v>671</v>
      </c>
      <c r="F87" s="1" t="s">
        <v>672</v>
      </c>
      <c r="G87" s="1" t="s">
        <v>673</v>
      </c>
      <c r="H87" s="1" t="s">
        <v>659</v>
      </c>
      <c r="I87" s="13" t="n">
        <v>4</v>
      </c>
      <c r="J87" s="1" t="s">
        <v>449</v>
      </c>
      <c r="K87" s="14" t="s">
        <v>674</v>
      </c>
    </row>
    <row r="88" customFormat="false" ht="15" hidden="false" customHeight="true" outlineLevel="0" collapsed="false">
      <c r="A88" s="1" t="s">
        <v>675</v>
      </c>
      <c r="B88" s="1" t="s">
        <v>669</v>
      </c>
      <c r="C88" s="1" t="s">
        <v>670</v>
      </c>
      <c r="D88" s="12" t="n">
        <v>46205</v>
      </c>
      <c r="E88" s="1" t="s">
        <v>671</v>
      </c>
      <c r="F88" s="1" t="s">
        <v>672</v>
      </c>
      <c r="G88" s="1" t="s">
        <v>673</v>
      </c>
      <c r="H88" s="1" t="s">
        <v>676</v>
      </c>
      <c r="I88" s="1" t="s">
        <v>677</v>
      </c>
      <c r="J88" s="1" t="s">
        <v>449</v>
      </c>
      <c r="K88" s="14" t="s">
        <v>674</v>
      </c>
    </row>
    <row r="89" customFormat="false" ht="15" hidden="false" customHeight="true" outlineLevel="0" collapsed="false">
      <c r="A89" s="1" t="s">
        <v>678</v>
      </c>
      <c r="B89" s="1" t="s">
        <v>669</v>
      </c>
      <c r="C89" s="1" t="s">
        <v>670</v>
      </c>
      <c r="D89" s="12" t="n">
        <v>46205</v>
      </c>
      <c r="E89" s="1" t="s">
        <v>671</v>
      </c>
      <c r="F89" s="1" t="s">
        <v>672</v>
      </c>
      <c r="G89" s="1" t="s">
        <v>673</v>
      </c>
      <c r="H89" s="1" t="s">
        <v>679</v>
      </c>
      <c r="I89" s="1" t="s">
        <v>680</v>
      </c>
      <c r="J89" s="1" t="s">
        <v>449</v>
      </c>
      <c r="K89" s="14" t="s">
        <v>674</v>
      </c>
    </row>
    <row r="90" customFormat="false" ht="15" hidden="false" customHeight="true" outlineLevel="0" collapsed="false">
      <c r="A90" s="1" t="s">
        <v>681</v>
      </c>
      <c r="B90" s="1" t="s">
        <v>682</v>
      </c>
      <c r="C90" s="1" t="s">
        <v>683</v>
      </c>
      <c r="D90" s="12" t="n">
        <v>46194</v>
      </c>
      <c r="E90" s="1" t="s">
        <v>684</v>
      </c>
      <c r="F90" s="1" t="s">
        <v>685</v>
      </c>
      <c r="G90" s="1" t="s">
        <v>686</v>
      </c>
      <c r="H90" s="1" t="s">
        <v>656</v>
      </c>
      <c r="I90" s="13" t="n">
        <v>6</v>
      </c>
      <c r="J90" s="1" t="s">
        <v>449</v>
      </c>
      <c r="K90" s="14" t="s">
        <v>687</v>
      </c>
    </row>
    <row r="91" customFormat="false" ht="15" hidden="false" customHeight="true" outlineLevel="0" collapsed="false">
      <c r="A91" s="1" t="s">
        <v>688</v>
      </c>
      <c r="B91" s="1" t="s">
        <v>682</v>
      </c>
      <c r="C91" s="1" t="s">
        <v>683</v>
      </c>
      <c r="D91" s="12" t="n">
        <v>46194</v>
      </c>
      <c r="E91" s="1" t="s">
        <v>684</v>
      </c>
      <c r="F91" s="1" t="s">
        <v>685</v>
      </c>
      <c r="G91" s="1" t="s">
        <v>686</v>
      </c>
      <c r="H91" s="1" t="s">
        <v>659</v>
      </c>
      <c r="I91" s="13" t="n">
        <v>7</v>
      </c>
      <c r="J91" s="1" t="s">
        <v>449</v>
      </c>
      <c r="K91" s="14" t="s">
        <v>687</v>
      </c>
    </row>
    <row r="92" customFormat="false" ht="15" hidden="false" customHeight="true" outlineLevel="0" collapsed="false">
      <c r="A92" s="1" t="s">
        <v>689</v>
      </c>
      <c r="B92" s="1" t="s">
        <v>682</v>
      </c>
      <c r="C92" s="1" t="s">
        <v>683</v>
      </c>
      <c r="D92" s="12" t="n">
        <v>46194</v>
      </c>
      <c r="E92" s="1" t="s">
        <v>684</v>
      </c>
      <c r="F92" s="1" t="s">
        <v>685</v>
      </c>
      <c r="G92" s="1" t="s">
        <v>686</v>
      </c>
      <c r="H92" s="1" t="s">
        <v>661</v>
      </c>
      <c r="I92" s="13" t="n">
        <v>6</v>
      </c>
      <c r="J92" s="1" t="s">
        <v>449</v>
      </c>
      <c r="K92" s="14" t="s">
        <v>687</v>
      </c>
    </row>
    <row r="93" customFormat="false" ht="15" hidden="false" customHeight="true" outlineLevel="0" collapsed="false">
      <c r="A93" s="1" t="s">
        <v>690</v>
      </c>
      <c r="B93" s="1" t="s">
        <v>682</v>
      </c>
      <c r="C93" s="1" t="s">
        <v>683</v>
      </c>
      <c r="D93" s="12" t="n">
        <v>46194</v>
      </c>
      <c r="E93" s="1" t="s">
        <v>684</v>
      </c>
      <c r="F93" s="1" t="s">
        <v>685</v>
      </c>
      <c r="G93" s="1" t="s">
        <v>686</v>
      </c>
      <c r="H93" s="1" t="s">
        <v>663</v>
      </c>
      <c r="I93" s="13" t="n">
        <v>2.5</v>
      </c>
      <c r="J93" s="1" t="s">
        <v>449</v>
      </c>
      <c r="K93" s="14" t="s">
        <v>687</v>
      </c>
    </row>
    <row r="94" customFormat="false" ht="15" hidden="false" customHeight="true" outlineLevel="0" collapsed="false">
      <c r="A94" s="1" t="s">
        <v>691</v>
      </c>
      <c r="B94" s="1" t="s">
        <v>682</v>
      </c>
      <c r="C94" s="1" t="s">
        <v>683</v>
      </c>
      <c r="D94" s="12" t="n">
        <v>46194</v>
      </c>
      <c r="E94" s="1" t="s">
        <v>684</v>
      </c>
      <c r="F94" s="1" t="s">
        <v>685</v>
      </c>
      <c r="G94" s="1" t="s">
        <v>686</v>
      </c>
      <c r="H94" s="1" t="s">
        <v>665</v>
      </c>
      <c r="I94" s="13" t="n">
        <v>8</v>
      </c>
      <c r="J94" s="1" t="s">
        <v>449</v>
      </c>
      <c r="K94" s="14" t="s">
        <v>687</v>
      </c>
    </row>
    <row r="95" customFormat="false" ht="15" hidden="false" customHeight="true" outlineLevel="0" collapsed="false">
      <c r="A95" s="1" t="s">
        <v>692</v>
      </c>
      <c r="B95" s="1" t="s">
        <v>682</v>
      </c>
      <c r="C95" s="1" t="s">
        <v>683</v>
      </c>
      <c r="D95" s="12" t="n">
        <v>46194</v>
      </c>
      <c r="E95" s="1" t="s">
        <v>684</v>
      </c>
      <c r="F95" s="1" t="s">
        <v>685</v>
      </c>
      <c r="G95" s="1" t="s">
        <v>686</v>
      </c>
      <c r="H95" s="1" t="s">
        <v>667</v>
      </c>
      <c r="I95" s="13" t="n">
        <v>8</v>
      </c>
      <c r="J95" s="1" t="s">
        <v>449</v>
      </c>
      <c r="K95" s="14" t="s">
        <v>687</v>
      </c>
    </row>
    <row r="96" customFormat="false" ht="15" hidden="false" customHeight="true" outlineLevel="0" collapsed="false">
      <c r="A96" s="1" t="s">
        <v>693</v>
      </c>
      <c r="B96" s="1" t="s">
        <v>694</v>
      </c>
      <c r="C96" s="1" t="s">
        <v>695</v>
      </c>
      <c r="D96" s="12" t="n">
        <v>46172</v>
      </c>
      <c r="E96" s="1" t="s">
        <v>696</v>
      </c>
      <c r="F96" s="1" t="s">
        <v>685</v>
      </c>
      <c r="G96" s="1" t="s">
        <v>697</v>
      </c>
      <c r="H96" s="1" t="s">
        <v>656</v>
      </c>
      <c r="I96" s="13" t="n">
        <v>5</v>
      </c>
      <c r="J96" s="1" t="s">
        <v>449</v>
      </c>
      <c r="K96" s="14" t="s">
        <v>698</v>
      </c>
    </row>
    <row r="97" customFormat="false" ht="15" hidden="false" customHeight="true" outlineLevel="0" collapsed="false">
      <c r="A97" s="1" t="s">
        <v>699</v>
      </c>
      <c r="B97" s="1" t="s">
        <v>694</v>
      </c>
      <c r="C97" s="1" t="s">
        <v>695</v>
      </c>
      <c r="D97" s="12" t="n">
        <v>46172</v>
      </c>
      <c r="E97" s="1" t="s">
        <v>696</v>
      </c>
      <c r="F97" s="1" t="s">
        <v>685</v>
      </c>
      <c r="G97" s="1" t="s">
        <v>697</v>
      </c>
      <c r="H97" s="1" t="s">
        <v>659</v>
      </c>
      <c r="I97" s="13" t="n">
        <v>6</v>
      </c>
      <c r="J97" s="1" t="s">
        <v>449</v>
      </c>
      <c r="K97" s="14" t="s">
        <v>698</v>
      </c>
    </row>
    <row r="98" customFormat="false" ht="15" hidden="false" customHeight="true" outlineLevel="0" collapsed="false">
      <c r="A98" s="1" t="s">
        <v>700</v>
      </c>
      <c r="B98" s="1" t="s">
        <v>694</v>
      </c>
      <c r="C98" s="1" t="s">
        <v>695</v>
      </c>
      <c r="D98" s="12" t="n">
        <v>46172</v>
      </c>
      <c r="E98" s="1" t="s">
        <v>696</v>
      </c>
      <c r="F98" s="1" t="s">
        <v>685</v>
      </c>
      <c r="G98" s="1" t="s">
        <v>697</v>
      </c>
      <c r="H98" s="1" t="s">
        <v>661</v>
      </c>
      <c r="I98" s="13" t="n">
        <v>7</v>
      </c>
      <c r="J98" s="1" t="s">
        <v>449</v>
      </c>
      <c r="K98" s="14" t="s">
        <v>698</v>
      </c>
    </row>
    <row r="99" customFormat="false" ht="15" hidden="false" customHeight="true" outlineLevel="0" collapsed="false">
      <c r="A99" s="1" t="s">
        <v>701</v>
      </c>
      <c r="B99" s="1" t="s">
        <v>694</v>
      </c>
      <c r="C99" s="1" t="s">
        <v>695</v>
      </c>
      <c r="D99" s="12" t="n">
        <v>46172</v>
      </c>
      <c r="E99" s="1" t="s">
        <v>696</v>
      </c>
      <c r="F99" s="1" t="s">
        <v>685</v>
      </c>
      <c r="G99" s="1" t="s">
        <v>697</v>
      </c>
      <c r="H99" s="1" t="s">
        <v>663</v>
      </c>
      <c r="I99" s="13" t="n">
        <v>3</v>
      </c>
      <c r="J99" s="1" t="s">
        <v>449</v>
      </c>
      <c r="K99" s="14" t="s">
        <v>698</v>
      </c>
    </row>
    <row r="100" customFormat="false" ht="15" hidden="false" customHeight="true" outlineLevel="0" collapsed="false">
      <c r="A100" s="1" t="s">
        <v>702</v>
      </c>
      <c r="B100" s="1" t="s">
        <v>694</v>
      </c>
      <c r="C100" s="1" t="s">
        <v>695</v>
      </c>
      <c r="D100" s="12" t="n">
        <v>46172</v>
      </c>
      <c r="E100" s="1" t="s">
        <v>696</v>
      </c>
      <c r="F100" s="1" t="s">
        <v>685</v>
      </c>
      <c r="G100" s="1" t="s">
        <v>697</v>
      </c>
      <c r="H100" s="1" t="s">
        <v>665</v>
      </c>
      <c r="I100" s="13" t="n">
        <v>12</v>
      </c>
      <c r="J100" s="1" t="s">
        <v>449</v>
      </c>
      <c r="K100" s="14" t="s">
        <v>698</v>
      </c>
    </row>
    <row r="101" customFormat="false" ht="15" hidden="false" customHeight="true" outlineLevel="0" collapsed="false">
      <c r="A101" s="1" t="s">
        <v>703</v>
      </c>
      <c r="B101" s="1" t="s">
        <v>694</v>
      </c>
      <c r="C101" s="1" t="s">
        <v>695</v>
      </c>
      <c r="D101" s="12" t="n">
        <v>46172</v>
      </c>
      <c r="E101" s="1" t="s">
        <v>696</v>
      </c>
      <c r="F101" s="1" t="s">
        <v>685</v>
      </c>
      <c r="G101" s="1" t="s">
        <v>697</v>
      </c>
      <c r="H101" s="1" t="s">
        <v>667</v>
      </c>
      <c r="I101" s="13" t="n">
        <v>5</v>
      </c>
      <c r="J101" s="1" t="s">
        <v>449</v>
      </c>
      <c r="K101" s="14" t="s">
        <v>698</v>
      </c>
    </row>
    <row r="102" customFormat="false" ht="15" hidden="false" customHeight="true" outlineLevel="0" collapsed="false">
      <c r="A102" s="1" t="s">
        <v>704</v>
      </c>
      <c r="B102" s="1" t="s">
        <v>460</v>
      </c>
      <c r="D102" s="12" t="n">
        <v>46209</v>
      </c>
      <c r="E102" s="1" t="s">
        <v>461</v>
      </c>
      <c r="F102" s="1" t="s">
        <v>459</v>
      </c>
      <c r="G102" s="1" t="s">
        <v>462</v>
      </c>
      <c r="H102" s="1" t="s">
        <v>656</v>
      </c>
      <c r="I102" s="13" t="n">
        <v>7</v>
      </c>
      <c r="J102" s="1" t="s">
        <v>449</v>
      </c>
      <c r="K102" s="14" t="s">
        <v>705</v>
      </c>
    </row>
    <row r="105" customFormat="false" ht="15" hidden="false" customHeight="true" outlineLevel="0" collapsed="false">
      <c r="A105" s="11" t="s">
        <v>706</v>
      </c>
      <c r="B105" s="11"/>
      <c r="C105" s="11"/>
      <c r="D105" s="11"/>
      <c r="E105" s="11"/>
      <c r="F105" s="11"/>
      <c r="G105" s="11"/>
      <c r="H105" s="11"/>
    </row>
    <row r="106" customFormat="false" ht="36" hidden="false" customHeight="true" outlineLevel="0" collapsed="false">
      <c r="A106" s="5" t="s">
        <v>707</v>
      </c>
      <c r="B106" s="5" t="s">
        <v>641</v>
      </c>
      <c r="C106" s="5" t="s">
        <v>642</v>
      </c>
      <c r="D106" s="5" t="s">
        <v>708</v>
      </c>
      <c r="E106" s="5" t="s">
        <v>709</v>
      </c>
      <c r="F106" s="5" t="s">
        <v>710</v>
      </c>
      <c r="G106" s="5" t="s">
        <v>711</v>
      </c>
      <c r="H106" s="5" t="s">
        <v>712</v>
      </c>
      <c r="I106" s="5" t="s">
        <v>649</v>
      </c>
    </row>
    <row r="107" customFormat="false" ht="15" hidden="false" customHeight="true" outlineLevel="0" collapsed="false">
      <c r="A107" s="1" t="s">
        <v>713</v>
      </c>
      <c r="B107" s="1" t="s">
        <v>714</v>
      </c>
      <c r="C107" s="1" t="s">
        <v>715</v>
      </c>
      <c r="D107" s="1" t="s">
        <v>716</v>
      </c>
      <c r="E107" s="1" t="s">
        <v>717</v>
      </c>
      <c r="F107" s="1" t="s">
        <v>718</v>
      </c>
      <c r="G107" s="1" t="s">
        <v>719</v>
      </c>
      <c r="H107" s="1" t="s">
        <v>720</v>
      </c>
      <c r="I107" s="14" t="s">
        <v>721</v>
      </c>
    </row>
    <row r="108" customFormat="false" ht="15" hidden="false" customHeight="true" outlineLevel="0" collapsed="false">
      <c r="A108" s="1" t="s">
        <v>722</v>
      </c>
      <c r="B108" s="1" t="s">
        <v>714</v>
      </c>
      <c r="C108" s="1" t="s">
        <v>715</v>
      </c>
      <c r="D108" s="1" t="s">
        <v>723</v>
      </c>
      <c r="E108" s="1" t="s">
        <v>724</v>
      </c>
      <c r="F108" s="1" t="s">
        <v>725</v>
      </c>
      <c r="G108" s="1" t="s">
        <v>726</v>
      </c>
      <c r="H108" s="1" t="s">
        <v>727</v>
      </c>
      <c r="I108" s="14" t="s">
        <v>721</v>
      </c>
    </row>
    <row r="109" customFormat="false" ht="15" hidden="false" customHeight="true" outlineLevel="0" collapsed="false">
      <c r="A109" s="1" t="s">
        <v>728</v>
      </c>
      <c r="B109" s="1" t="s">
        <v>714</v>
      </c>
      <c r="C109" s="1" t="s">
        <v>715</v>
      </c>
      <c r="D109" s="1" t="s">
        <v>729</v>
      </c>
      <c r="E109" s="1" t="s">
        <v>717</v>
      </c>
      <c r="F109" s="1" t="s">
        <v>718</v>
      </c>
      <c r="G109" s="1" t="s">
        <v>726</v>
      </c>
      <c r="H109" s="1" t="s">
        <v>730</v>
      </c>
      <c r="I109" s="14" t="s">
        <v>721</v>
      </c>
    </row>
    <row r="110" customFormat="false" ht="15" hidden="false" customHeight="true" outlineLevel="0" collapsed="false">
      <c r="A110" s="1" t="s">
        <v>731</v>
      </c>
      <c r="B110" s="1" t="s">
        <v>714</v>
      </c>
      <c r="C110" s="1" t="s">
        <v>715</v>
      </c>
      <c r="D110" s="1" t="s">
        <v>13</v>
      </c>
      <c r="H110" s="1" t="s">
        <v>732</v>
      </c>
      <c r="I110" s="14" t="s">
        <v>721</v>
      </c>
    </row>
    <row r="113" customFormat="false" ht="15" hidden="false" customHeight="true" outlineLevel="0" collapsed="false">
      <c r="A113" s="11" t="s">
        <v>733</v>
      </c>
      <c r="B113" s="11"/>
      <c r="C113" s="11"/>
      <c r="D113" s="11"/>
      <c r="E113" s="11"/>
      <c r="F113" s="11"/>
      <c r="G113" s="11"/>
      <c r="H113" s="11"/>
      <c r="I113" s="11"/>
      <c r="J113" s="11"/>
    </row>
    <row r="114" customFormat="false" ht="36" hidden="false" customHeight="true" outlineLevel="0" collapsed="false">
      <c r="A114" s="5" t="s">
        <v>734</v>
      </c>
      <c r="B114" s="5" t="s">
        <v>641</v>
      </c>
      <c r="C114" s="5" t="s">
        <v>735</v>
      </c>
      <c r="D114" s="5" t="s">
        <v>736</v>
      </c>
      <c r="E114" s="5" t="s">
        <v>1</v>
      </c>
      <c r="F114" s="5" t="s">
        <v>53</v>
      </c>
      <c r="G114" s="5" t="s">
        <v>737</v>
      </c>
      <c r="H114" s="5" t="s">
        <v>738</v>
      </c>
      <c r="I114" s="5" t="s">
        <v>649</v>
      </c>
      <c r="J114" s="5" t="s">
        <v>77</v>
      </c>
      <c r="K114" s="15" t="s">
        <v>643</v>
      </c>
    </row>
    <row r="115" customFormat="false" ht="15" hidden="false" customHeight="true" outlineLevel="0" collapsed="false">
      <c r="A115" s="1" t="s">
        <v>739</v>
      </c>
      <c r="B115" s="1" t="s">
        <v>740</v>
      </c>
      <c r="C115" s="1" t="s">
        <v>741</v>
      </c>
      <c r="D115" s="1" t="s">
        <v>742</v>
      </c>
      <c r="E115" s="16" t="n">
        <v>100.5</v>
      </c>
      <c r="F115" s="1" t="s">
        <v>743</v>
      </c>
      <c r="G115" s="1" t="s">
        <v>744</v>
      </c>
      <c r="H115" s="1" t="s">
        <v>745</v>
      </c>
      <c r="I115" s="14" t="s">
        <v>746</v>
      </c>
      <c r="J115" s="1" t="s">
        <v>747</v>
      </c>
      <c r="K115" s="17" t="n">
        <v>46204</v>
      </c>
    </row>
    <row r="116" customFormat="false" ht="15" hidden="false" customHeight="true" outlineLevel="0" collapsed="false">
      <c r="A116" s="1" t="s">
        <v>748</v>
      </c>
      <c r="B116" s="1" t="s">
        <v>740</v>
      </c>
      <c r="C116" s="1" t="s">
        <v>741</v>
      </c>
      <c r="D116" s="1" t="s">
        <v>749</v>
      </c>
      <c r="E116" s="13" t="n">
        <v>160</v>
      </c>
      <c r="F116" s="1" t="s">
        <v>750</v>
      </c>
      <c r="G116" s="1" t="s">
        <v>751</v>
      </c>
      <c r="H116" s="1" t="s">
        <v>745</v>
      </c>
      <c r="I116" s="14" t="s">
        <v>746</v>
      </c>
      <c r="J116" s="1" t="s">
        <v>752</v>
      </c>
      <c r="K116" s="17" t="n">
        <v>46204</v>
      </c>
    </row>
    <row r="117" customFormat="false" ht="15" hidden="false" customHeight="true" outlineLevel="0" collapsed="false">
      <c r="A117" s="1" t="s">
        <v>753</v>
      </c>
      <c r="B117" s="1" t="s">
        <v>740</v>
      </c>
      <c r="C117" s="1" t="s">
        <v>741</v>
      </c>
      <c r="D117" s="1" t="s">
        <v>754</v>
      </c>
      <c r="E117" s="13" t="n">
        <v>18</v>
      </c>
      <c r="F117" s="1" t="s">
        <v>618</v>
      </c>
      <c r="G117" s="1" t="s">
        <v>755</v>
      </c>
      <c r="H117" s="1" t="s">
        <v>756</v>
      </c>
      <c r="I117" s="14" t="s">
        <v>746</v>
      </c>
      <c r="J117" s="1" t="s">
        <v>757</v>
      </c>
      <c r="K117" s="17" t="n">
        <v>46204</v>
      </c>
    </row>
    <row r="118" customFormat="false" ht="15" hidden="false" customHeight="true" outlineLevel="0" collapsed="false">
      <c r="A118" s="1" t="s">
        <v>758</v>
      </c>
      <c r="B118" s="1" t="s">
        <v>759</v>
      </c>
      <c r="C118" s="1" t="s">
        <v>760</v>
      </c>
      <c r="D118" s="1" t="s">
        <v>754</v>
      </c>
      <c r="E118" s="13" t="n">
        <v>17.5</v>
      </c>
      <c r="F118" s="1" t="s">
        <v>618</v>
      </c>
      <c r="G118" s="1" t="s">
        <v>761</v>
      </c>
      <c r="H118" s="1" t="s">
        <v>762</v>
      </c>
      <c r="I118" s="14" t="s">
        <v>763</v>
      </c>
      <c r="J118" s="1" t="s">
        <v>764</v>
      </c>
      <c r="K118" s="17" t="n">
        <v>46208</v>
      </c>
    </row>
    <row r="119" customFormat="false" ht="15" hidden="false" customHeight="true" outlineLevel="0" collapsed="false">
      <c r="A119" s="1" t="s">
        <v>765</v>
      </c>
      <c r="B119" s="1" t="s">
        <v>766</v>
      </c>
      <c r="C119" s="1" t="s">
        <v>767</v>
      </c>
      <c r="D119" s="1" t="s">
        <v>768</v>
      </c>
      <c r="E119" s="18" t="n">
        <v>0.00393</v>
      </c>
      <c r="F119" s="1" t="s">
        <v>769</v>
      </c>
      <c r="G119" s="1" t="s">
        <v>770</v>
      </c>
      <c r="H119" s="1" t="s">
        <v>771</v>
      </c>
      <c r="I119" s="14" t="s">
        <v>772</v>
      </c>
      <c r="K119" s="17" t="n">
        <v>46204</v>
      </c>
    </row>
    <row r="120" customFormat="false" ht="15" hidden="false" customHeight="true" outlineLevel="0" collapsed="false">
      <c r="A120" s="1" t="s">
        <v>773</v>
      </c>
      <c r="B120" s="1" t="s">
        <v>766</v>
      </c>
      <c r="C120" s="1" t="s">
        <v>767</v>
      </c>
      <c r="D120" s="1" t="s">
        <v>774</v>
      </c>
      <c r="E120" s="13" t="n">
        <v>20</v>
      </c>
      <c r="F120" s="1" t="s">
        <v>760</v>
      </c>
      <c r="G120" s="1" t="s">
        <v>775</v>
      </c>
      <c r="H120" s="1" t="s">
        <v>771</v>
      </c>
      <c r="I120" s="14" t="s">
        <v>772</v>
      </c>
      <c r="K120" s="17" t="n">
        <v>46204</v>
      </c>
    </row>
    <row r="121" customFormat="false" ht="15" hidden="false" customHeight="true" outlineLevel="0" collapsed="false">
      <c r="A121" s="1" t="s">
        <v>776</v>
      </c>
      <c r="B121" s="1" t="s">
        <v>777</v>
      </c>
      <c r="C121" s="1" t="s">
        <v>778</v>
      </c>
      <c r="D121" s="1" t="s">
        <v>779</v>
      </c>
      <c r="E121" s="13" t="n">
        <v>85</v>
      </c>
      <c r="F121" s="1" t="s">
        <v>760</v>
      </c>
      <c r="G121" s="1" t="s">
        <v>780</v>
      </c>
      <c r="H121" s="1" t="s">
        <v>781</v>
      </c>
      <c r="I121" s="14" t="s">
        <v>782</v>
      </c>
      <c r="J121" s="1" t="s">
        <v>783</v>
      </c>
      <c r="K121" s="17" t="n">
        <v>46205</v>
      </c>
    </row>
    <row r="122" customFormat="false" ht="15" hidden="false" customHeight="true" outlineLevel="0" collapsed="false">
      <c r="A122" s="1" t="s">
        <v>784</v>
      </c>
      <c r="B122" s="1" t="s">
        <v>766</v>
      </c>
      <c r="C122" s="1" t="s">
        <v>767</v>
      </c>
      <c r="D122" s="1" t="s">
        <v>785</v>
      </c>
      <c r="E122" s="13" t="n">
        <v>40</v>
      </c>
      <c r="F122" s="1" t="s">
        <v>786</v>
      </c>
      <c r="G122" s="1" t="s">
        <v>787</v>
      </c>
      <c r="H122" s="1" t="s">
        <v>771</v>
      </c>
      <c r="I122" s="14" t="s">
        <v>772</v>
      </c>
      <c r="K122" s="17" t="n">
        <v>46204</v>
      </c>
    </row>
    <row r="123" customFormat="false" ht="15" hidden="false" customHeight="true" outlineLevel="0" collapsed="false">
      <c r="A123" s="1" t="s">
        <v>788</v>
      </c>
      <c r="B123" s="1" t="s">
        <v>766</v>
      </c>
      <c r="C123" s="1" t="s">
        <v>767</v>
      </c>
      <c r="D123" s="1" t="s">
        <v>789</v>
      </c>
      <c r="E123" s="13" t="n">
        <v>25</v>
      </c>
      <c r="F123" s="1" t="s">
        <v>786</v>
      </c>
      <c r="G123" s="1" t="s">
        <v>787</v>
      </c>
      <c r="H123" s="1" t="s">
        <v>771</v>
      </c>
      <c r="I123" s="14" t="s">
        <v>772</v>
      </c>
      <c r="K123" s="17" t="n">
        <v>46204</v>
      </c>
    </row>
    <row r="124" customFormat="false" ht="15" hidden="false" customHeight="true" outlineLevel="0" collapsed="false">
      <c r="A124" s="1" t="s">
        <v>790</v>
      </c>
      <c r="B124" s="1" t="s">
        <v>766</v>
      </c>
      <c r="C124" s="1" t="s">
        <v>767</v>
      </c>
      <c r="D124" s="1" t="s">
        <v>791</v>
      </c>
      <c r="E124" s="13" t="n">
        <v>15</v>
      </c>
      <c r="F124" s="1" t="s">
        <v>786</v>
      </c>
      <c r="G124" s="1" t="s">
        <v>787</v>
      </c>
      <c r="H124" s="1" t="s">
        <v>771</v>
      </c>
      <c r="I124" s="14" t="s">
        <v>772</v>
      </c>
      <c r="K124" s="17" t="n">
        <v>46204</v>
      </c>
    </row>
    <row r="125" customFormat="false" ht="15" hidden="false" customHeight="true" outlineLevel="0" collapsed="false">
      <c r="A125" s="1" t="s">
        <v>792</v>
      </c>
      <c r="B125" s="1" t="s">
        <v>766</v>
      </c>
      <c r="C125" s="1" t="s">
        <v>767</v>
      </c>
      <c r="D125" s="1" t="s">
        <v>793</v>
      </c>
      <c r="E125" s="13" t="n">
        <v>8</v>
      </c>
      <c r="F125" s="1" t="s">
        <v>786</v>
      </c>
      <c r="G125" s="1" t="s">
        <v>787</v>
      </c>
      <c r="H125" s="1" t="s">
        <v>771</v>
      </c>
      <c r="I125" s="14" t="s">
        <v>772</v>
      </c>
      <c r="K125" s="17" t="n">
        <v>46204</v>
      </c>
    </row>
    <row r="126" customFormat="false" ht="15" hidden="false" customHeight="true" outlineLevel="0" collapsed="false">
      <c r="A126" s="1" t="s">
        <v>794</v>
      </c>
      <c r="B126" s="1" t="s">
        <v>766</v>
      </c>
      <c r="C126" s="1" t="s">
        <v>767</v>
      </c>
      <c r="D126" s="1" t="s">
        <v>795</v>
      </c>
      <c r="E126" s="13" t="n">
        <v>5</v>
      </c>
      <c r="F126" s="1" t="s">
        <v>786</v>
      </c>
      <c r="G126" s="1" t="s">
        <v>787</v>
      </c>
      <c r="H126" s="1" t="s">
        <v>771</v>
      </c>
      <c r="I126" s="14" t="s">
        <v>772</v>
      </c>
      <c r="K126" s="17" t="n">
        <v>46204</v>
      </c>
    </row>
    <row r="127" customFormat="false" ht="15" hidden="false" customHeight="true" outlineLevel="0" collapsed="false">
      <c r="A127" s="1" t="s">
        <v>796</v>
      </c>
      <c r="B127" s="1" t="s">
        <v>766</v>
      </c>
      <c r="C127" s="1" t="s">
        <v>767</v>
      </c>
      <c r="D127" s="1" t="s">
        <v>797</v>
      </c>
      <c r="E127" s="13" t="n">
        <v>4</v>
      </c>
      <c r="F127" s="1" t="s">
        <v>786</v>
      </c>
      <c r="G127" s="1" t="s">
        <v>787</v>
      </c>
      <c r="H127" s="1" t="s">
        <v>771</v>
      </c>
      <c r="I127" s="14" t="s">
        <v>772</v>
      </c>
      <c r="K127" s="17" t="n">
        <v>46204</v>
      </c>
    </row>
    <row r="128" customFormat="false" ht="15" hidden="false" customHeight="true" outlineLevel="0" collapsed="false">
      <c r="A128" s="1" t="s">
        <v>798</v>
      </c>
      <c r="B128" s="1" t="s">
        <v>766</v>
      </c>
      <c r="C128" s="1" t="s">
        <v>767</v>
      </c>
      <c r="D128" s="1" t="s">
        <v>799</v>
      </c>
      <c r="E128" s="13" t="n">
        <v>45</v>
      </c>
      <c r="F128" s="1" t="s">
        <v>786</v>
      </c>
      <c r="G128" s="1" t="s">
        <v>800</v>
      </c>
      <c r="H128" s="1" t="s">
        <v>771</v>
      </c>
      <c r="I128" s="14" t="s">
        <v>772</v>
      </c>
      <c r="K128" s="17" t="n">
        <v>46204</v>
      </c>
    </row>
    <row r="129" customFormat="false" ht="15" hidden="false" customHeight="true" outlineLevel="0" collapsed="false">
      <c r="A129" s="1" t="s">
        <v>801</v>
      </c>
      <c r="B129" s="1" t="s">
        <v>766</v>
      </c>
      <c r="C129" s="1" t="s">
        <v>767</v>
      </c>
      <c r="D129" s="1" t="s">
        <v>802</v>
      </c>
      <c r="E129" s="13" t="n">
        <v>8</v>
      </c>
      <c r="F129" s="1" t="s">
        <v>786</v>
      </c>
      <c r="G129" s="1" t="s">
        <v>800</v>
      </c>
      <c r="H129" s="1" t="s">
        <v>771</v>
      </c>
      <c r="I129" s="14" t="s">
        <v>772</v>
      </c>
      <c r="K129" s="17" t="n">
        <v>46204</v>
      </c>
    </row>
  </sheetData>
  <mergeCells count="3">
    <mergeCell ref="A79:K79"/>
    <mergeCell ref="A105:H105"/>
    <mergeCell ref="A113:J113"/>
  </mergeCells>
  <hyperlinks>
    <hyperlink ref="B2" r:id="rId1" location="'Source_Register'!A2" display="Source_Register row 2"/>
    <hyperlink ref="I2" r:id="rId2" display="CAT-AFLOW · aflow_conductor_slice.csv"/>
    <hyperlink ref="J2" r:id="rId3" location="'AFLOW_Slice'!A2" display="AFLOW_Slice · row 2"/>
    <hyperlink ref="K2" r:id="rId4" display="aflowlib.duke.edu:AFLOWDATA/LIB3_WEB/AgAlCu_pv/TBCC001.ABC"/>
    <hyperlink ref="B3" r:id="rId5" location="'Source_Register'!A3" display="Source_Register row 3"/>
    <hyperlink ref="I3" r:id="rId6" display="CAT-AFLOW · aflow_conductor_slice.csv"/>
    <hyperlink ref="J3" r:id="rId7" location="'AFLOW_Slice'!A3" display="AFLOW_Slice · row 3"/>
    <hyperlink ref="K3" r:id="rId8" display="aflowlib.duke.edu:AFLOWDATA/LIB3_WEB/AgAlCu_pv/TBCC003.ABC"/>
    <hyperlink ref="B4" r:id="rId9" location="'Source_Register'!A4" display="Source_Register row 4"/>
    <hyperlink ref="I4" r:id="rId10" display="CAT-AFLOW · aflow_conductor_slice.csv"/>
    <hyperlink ref="J4" r:id="rId11" location="'AFLOW_Slice'!A4" display="AFLOW_Slice · row 4"/>
    <hyperlink ref="K4" r:id="rId12" display="aflowlib.duke.edu:AFLOWDATA/LIB3_WEB/AgAlCu_pv/TFCC003.ABC"/>
    <hyperlink ref="B5" r:id="rId13" location="'Source_Register'!A5" display="Source_Register row 5"/>
    <hyperlink ref="I5" r:id="rId14" display="CAT-AFLOW · aflow_conductor_slice.csv"/>
    <hyperlink ref="J5" r:id="rId15" location="'AFLOW_Slice'!A5" display="AFLOW_Slice · row 5"/>
    <hyperlink ref="K5" r:id="rId16" display="aflowlib.duke.edu:AFLOWDATA/LIB3_WEB/AgAlCu_pv/TFCC002.ABC"/>
    <hyperlink ref="B6" r:id="rId17" location="'Source_Register'!A6" display="Source_Register row 6"/>
    <hyperlink ref="I6" r:id="rId18" display="CAT-AFLOW · aflow_conductor_slice.csv"/>
    <hyperlink ref="J6" r:id="rId19" location="'AFLOW_Slice'!A6" display="AFLOW_Slice · row 6"/>
    <hyperlink ref="K6" r:id="rId20" display="aflowlib.duke.edu:AFLOWDATA/LIB3_WEB/AgAlCu_pv/TBCC011.CAB"/>
    <hyperlink ref="B7" r:id="rId21" location="'Source_Register'!A7" display="Source_Register row 7"/>
    <hyperlink ref="I7" r:id="rId22" display="CAT-AFLOW · aflow_conductor_slice.csv"/>
    <hyperlink ref="J7" r:id="rId23" location="'AFLOW_Slice'!A7" display="AFLOW_Slice · row 7"/>
    <hyperlink ref="K7" r:id="rId24" display="aflowlib.duke.edu:AFLOWDATA/LIB3_WEB/AgAlCu_pv/TFCC010.CAB"/>
    <hyperlink ref="B8" r:id="rId25" location="'Source_Register'!A8" display="Source_Register row 8"/>
    <hyperlink ref="I8" r:id="rId26" display="CAT-AFLOW · aflow_conductor_slice.csv"/>
    <hyperlink ref="J8" r:id="rId27" location="'AFLOW_Slice'!A8" display="AFLOW_Slice · row 8"/>
    <hyperlink ref="K8" r:id="rId28" display="aflowlib.duke.edu:AFLOWDATA/LIB3_WEB/AgAlCu_pv/TFCC012.CAB"/>
    <hyperlink ref="B9" r:id="rId29" location="'Source_Register'!A9" display="Source_Register row 9"/>
    <hyperlink ref="I9" r:id="rId30" display="CAT-AFLOW · aflow_conductor_slice.csv"/>
    <hyperlink ref="J9" r:id="rId31" location="'AFLOW_Slice'!A9" display="AFLOW_Slice · row 9"/>
    <hyperlink ref="K9" r:id="rId32" display="aflowlib.duke.edu:AFLOWDATA/LIB3_WEB/AgAlCu_pv/TFCC005.BCA"/>
    <hyperlink ref="B10" r:id="rId33" location="'Source_Register'!A10" display="Source_Register row 10"/>
    <hyperlink ref="I10" r:id="rId34" display="CAT-AFLOW · aflow_conductor_slice.csv"/>
    <hyperlink ref="J10" r:id="rId35" location="'AFLOW_Slice'!A10" display="AFLOW_Slice · row 10"/>
    <hyperlink ref="B11" r:id="rId36" location="'Source_Register'!A11" display="Source_Register row 11"/>
    <hyperlink ref="I11" r:id="rId37" display="CAT-NIST · nist_copper_records.csv"/>
    <hyperlink ref="J11" r:id="rId38" location="'NIST_Records'!A2" display="NIST_Records · row 2"/>
    <hyperlink ref="K11" r:id="rId39" display="doi:10.18434/T4KP8J"/>
    <hyperlink ref="B12" r:id="rId40" location="'Source_Register'!A12" display="Source_Register row 12"/>
    <hyperlink ref="I12" r:id="rId41" display="CAT-NIST · nist_copper_records.csv"/>
    <hyperlink ref="J12" r:id="rId42" location="'NIST_Records'!A3" display="NIST_Records · row 3"/>
    <hyperlink ref="K12" r:id="rId43" display="ark:/88434/mds012mz82"/>
    <hyperlink ref="B13" r:id="rId44" location="'Source_Register'!A13" display="Source_Register row 13"/>
    <hyperlink ref="I13" r:id="rId45" display="CAT-NIST · nist_copper_records.csv"/>
    <hyperlink ref="J13" r:id="rId46" location="'NIST_Records'!A4" display="NIST_Records · row 4"/>
    <hyperlink ref="K13" r:id="rId47" display="doi:10.18434/mds2-2940"/>
    <hyperlink ref="B14" r:id="rId48" location="'Source_Register'!A14" display="Source_Register row 14"/>
    <hyperlink ref="I14" r:id="rId49" display="CAT-NIST · nist_copper_records.csv"/>
    <hyperlink ref="J14" r:id="rId50" location="'NIST_Records'!A5" display="NIST_Records · row 5"/>
    <hyperlink ref="K14" r:id="rId51" display="doi:10.18434/mds2-4076"/>
    <hyperlink ref="B15" r:id="rId52" location="'Source_Register'!A15" display="Source_Register row 15"/>
    <hyperlink ref="I15" r:id="rId53" display="CAT-COD-CU · cod_copper_summary.csv"/>
    <hyperlink ref="J15" r:id="rId54" location="'COD_Summary'!A2" display="COD_Summary · row 2"/>
    <hyperlink ref="B16" r:id="rId55" location="'Source_Register'!A16" display="Source_Register row 16"/>
    <hyperlink ref="I16" r:id="rId56" display="CAT-COD-CU · cod_copper_summary.csv"/>
    <hyperlink ref="J16" r:id="rId57" location="'COD_Summary'!A3" display="COD_Summary · row 3"/>
    <hyperlink ref="B17" r:id="rId58" location="'Source_Register'!A17" display="Source_Register row 17"/>
    <hyperlink ref="I17" r:id="rId59" display="CAT-COD-CU · cod_copper_summary.csv"/>
    <hyperlink ref="J17" r:id="rId60" location="'COD_Summary'!A4" display="COD_Summary · row 4"/>
    <hyperlink ref="B18" r:id="rId61" location="'Source_Register'!A18" display="Source_Register row 18"/>
    <hyperlink ref="I18" r:id="rId62" display="CAT-COD-CU · cod_copper_summary.csv"/>
    <hyperlink ref="J18" r:id="rId63" location="'COD_Summary'!A5" display="COD_Summary · row 5"/>
    <hyperlink ref="B19" r:id="rId64" location="'Source_Register'!A19" display="Source_Register row 19"/>
    <hyperlink ref="I19" r:id="rId65" display="CAT-OQMD · oqmd_copper_targets.csv"/>
    <hyperlink ref="J19" r:id="rId66" location="'OQMD_Targets'!A2" display="OQMD_Targets · row 2"/>
    <hyperlink ref="B20" r:id="rId67" location="'Source_Register'!A20" display="Source_Register row 20"/>
    <hyperlink ref="I20" r:id="rId68" display="CAT-OQMD · oqmd_copper_targets.csv"/>
    <hyperlink ref="J20" r:id="rId69" location="'OQMD_Targets'!A3" display="OQMD_Targets · row 3"/>
    <hyperlink ref="B21" r:id="rId70" location="'Source_Register'!A21" display="Source_Register row 21"/>
    <hyperlink ref="I21" r:id="rId71" display="CAT-OQMD · oqmd_copper_targets.csv"/>
    <hyperlink ref="J21" r:id="rId72" location="'OQMD_Targets'!A4" display="OQMD_Targets · row 4"/>
    <hyperlink ref="B22" r:id="rId73" location="'Source_Register'!A22" display="Source_Register row 22"/>
    <hyperlink ref="I22" r:id="rId74" display="CAT-OQMD · oqmd_copper_targets.csv"/>
    <hyperlink ref="J22" r:id="rId75" location="'OQMD_Targets'!A5" display="OQMD_Targets · row 5"/>
    <hyperlink ref="B23" r:id="rId76" location="'Source_Register'!A23" display="Source_Register row 23"/>
    <hyperlink ref="I23" r:id="rId77" display="CAT-OQMD · oqmd_copper_targets.csv"/>
    <hyperlink ref="J23" r:id="rId78" location="'OQMD_Targets'!A6" display="OQMD_Targets · row 6"/>
    <hyperlink ref="B24" r:id="rId79" location="'Source_Register'!A24" display="Source_Register row 24"/>
    <hyperlink ref="I24" r:id="rId80" display="CAT-OQMD · oqmd_copper_targets.csv"/>
    <hyperlink ref="J24" r:id="rId81" location="'OQMD_Targets'!A7" display="OQMD_Targets · row 7"/>
    <hyperlink ref="B25" r:id="rId82" location="'Source_Register'!A25" display="Source_Register row 25"/>
    <hyperlink ref="I25" r:id="rId83" display="CAT-OQMD · oqmd_copper_targets.csv"/>
    <hyperlink ref="J25" r:id="rId84" location="'OQMD_Targets'!A8" display="OQMD_Targets · row 8"/>
    <hyperlink ref="B26" r:id="rId85" location="'Source_Register'!A26" display="Source_Register row 26"/>
    <hyperlink ref="I26" r:id="rId86" display="10.1007/BF01174717 · property_pull.csv"/>
    <hyperlink ref="J26" r:id="rId87" location="'Literature'!A2" display="Literature · row 2"/>
    <hyperlink ref="K26" r:id="rId88" display="10.1007/BF01174717"/>
    <hyperlink ref="B27" r:id="rId89" location="'Source_Register'!A27" display="Source_Register row 27"/>
    <hyperlink ref="I27" r:id="rId90" display="10.18434/mds2-4076 · property_pull.csv"/>
    <hyperlink ref="J27" r:id="rId91" location="'Literature'!A3" display="Literature · row 3"/>
    <hyperlink ref="K27" r:id="rId92" display="10.18434/mds2-4076"/>
    <hyperlink ref="B28" r:id="rId93" location="'Source_Register'!A28" display="Source_Register row 28"/>
    <hyperlink ref="I28" r:id="rId94" display="10.1063/1.1728392 · property_pull.csv"/>
    <hyperlink ref="J28" r:id="rId95" location="'Literature'!A4" display="Literature · row 4"/>
    <hyperlink ref="K28" r:id="rId96" display="10.1063/1.1728392"/>
    <hyperlink ref="B29" r:id="rId97" location="'Source_Register'!A29" display="Source_Register row 29"/>
    <hyperlink ref="I29" r:id="rId98" display="10.1109/ECTC.2026.cu-hb · property_pull.csv"/>
    <hyperlink ref="J29" r:id="rId99" location="'Literature'!A5" display="Literature · row 5"/>
    <hyperlink ref="K29" r:id="rId100" display="10.1109/ECTC.2026.cu-hb"/>
    <hyperlink ref="B30" r:id="rId101" location="'Source_Register'!A30" display="Source_Register row 30"/>
    <hyperlink ref="I30" r:id="rId102" display="PubChem CID 24462 · property_pull.csv"/>
    <hyperlink ref="J30" r:id="rId103" location="'Literature'!A6" display="Literature · row 6"/>
    <hyperlink ref="K30" r:id="rId104" display="PubChem CID 24462"/>
    <hyperlink ref="B31" r:id="rId105" location="'Source_Register'!A31" display="Source_Register row 31"/>
    <hyperlink ref="I31" r:id="rId106" display="10.18434/T4KP8J · property_pull.csv"/>
    <hyperlink ref="J31" r:id="rId107" location="'Literature'!A7" display="Literature · row 7"/>
    <hyperlink ref="K31" r:id="rId108" display="10.18434/T4KP8J"/>
    <hyperlink ref="B32" r:id="rId109" location="'Source_Register'!A32" display="Source_Register row 32"/>
    <hyperlink ref="I32" r:id="rId110" display="arXiv:3d-ic-packaging-page · property_pull.csv"/>
    <hyperlink ref="J32" r:id="rId111" location="'Literature'!A8" display="Literature · row 8"/>
    <hyperlink ref="B33" r:id="rId112" location="'Source_Register'!A33" display="Source_Register row 33"/>
    <hyperlink ref="I33" r:id="rId113" display="LAB-COND · conductivity_panel_tests.csv"/>
    <hyperlink ref="J33" r:id="rId114" location="'Electrical_Thermal'!A2" display="Electrical_Thermal · row 2"/>
    <hyperlink ref="B34" r:id="rId115" location="'Source_Register'!A34" display="Source_Register row 34"/>
    <hyperlink ref="I34" r:id="rId116" display="LAB-COND · conductivity_panel_tests.csv"/>
    <hyperlink ref="J34" r:id="rId117" location="'Electrical_Thermal'!A3" display="Electrical_Thermal · row 3"/>
    <hyperlink ref="B35" r:id="rId118" location="'Source_Register'!A35" display="Source_Register row 35"/>
    <hyperlink ref="I35" r:id="rId119" display="LAB-COND · conductivity_panel_tests.csv"/>
    <hyperlink ref="J35" r:id="rId120" location="'Electrical_Thermal'!A4" display="Electrical_Thermal · row 4"/>
    <hyperlink ref="B36" r:id="rId121" location="'Source_Register'!A36" display="Source_Register row 36"/>
    <hyperlink ref="I36" r:id="rId122" display="LAB-COND · conductivity_panel_tests.csv"/>
    <hyperlink ref="J36" r:id="rId123" location="'Electrical_Thermal'!A5" display="Electrical_Thermal · row 5"/>
    <hyperlink ref="B37" r:id="rId124" location="'Source_Register'!A37" display="Source_Register row 37"/>
    <hyperlink ref="I37" r:id="rId125" display="LAB-COND · conductivity_panel_tests.csv"/>
    <hyperlink ref="J37" r:id="rId126" location="'Electrical_Thermal'!A6" display="Electrical_Thermal · row 6"/>
    <hyperlink ref="B38" r:id="rId127" location="'Source_Register'!A38" display="Source_Register row 38"/>
    <hyperlink ref="I38" r:id="rId128" display="LAB-COND · conductivity_panel_tests.csv"/>
    <hyperlink ref="J38" r:id="rId129" location="'Electrical_Thermal'!A7" display="Electrical_Thermal · row 7"/>
    <hyperlink ref="B39" r:id="rId130" location="'Source_Register'!A39" display="Source_Register row 39"/>
    <hyperlink ref="I39" r:id="rId131" display="LAB-COND · conductivity_panel_tests.csv"/>
    <hyperlink ref="J39" r:id="rId132" location="'Electrical_Thermal'!A8" display="Electrical_Thermal · row 8"/>
    <hyperlink ref="B40" r:id="rId133" location="'Source_Register'!A40" display="Source_Register row 40"/>
    <hyperlink ref="I40" r:id="rId134" display="LAB-COND · conductivity_panel_tests.csv"/>
    <hyperlink ref="J40" r:id="rId135" location="'Electrical_Thermal'!A9" display="Electrical_Thermal · row 9"/>
    <hyperlink ref="B41" r:id="rId136" location="'Source_Register'!A41" display="Source_Register row 41"/>
    <hyperlink ref="I41" r:id="rId137" display="LAB-COND · conductivity_panel_tests.csv"/>
    <hyperlink ref="J41" r:id="rId138" location="'Electrical_Thermal'!A10" display="Electrical_Thermal · row 10"/>
    <hyperlink ref="B42" r:id="rId139" location="'Source_Register'!A42" display="Source_Register row 42"/>
    <hyperlink ref="I42" r:id="rId140" display="LAB-COND · conductivity_panel_tests.csv"/>
    <hyperlink ref="J42" r:id="rId141" location="'Electrical_Thermal'!A11" display="Electrical_Thermal · row 11"/>
    <hyperlink ref="B43" r:id="rId142" location="'Source_Register'!A43" display="Source_Register row 43"/>
    <hyperlink ref="I43" r:id="rId143" display="LAB-MECH · mechanical_property_runs.csv"/>
    <hyperlink ref="J43" r:id="rId144" location="'Mechanical'!A2" display="Mechanical · row 2"/>
    <hyperlink ref="B44" r:id="rId145" location="'Source_Register'!A44" display="Source_Register row 44"/>
    <hyperlink ref="I44" r:id="rId146" display="LAB-MECH · mechanical_property_runs.csv"/>
    <hyperlink ref="J44" r:id="rId147" location="'Mechanical'!A3" display="Mechanical · row 3"/>
    <hyperlink ref="B45" r:id="rId148" location="'Source_Register'!A45" display="Source_Register row 45"/>
    <hyperlink ref="I45" r:id="rId149" display="LAB-MECH · mechanical_property_runs.csv"/>
    <hyperlink ref="J45" r:id="rId150" location="'Mechanical'!A4" display="Mechanical · row 4"/>
    <hyperlink ref="B46" r:id="rId151" location="'Source_Register'!A46" display="Source_Register row 46"/>
    <hyperlink ref="I46" r:id="rId152" display="LAB-MECH · mechanical_property_runs.csv"/>
    <hyperlink ref="J46" r:id="rId153" location="'Mechanical'!A5" display="Mechanical · row 5"/>
    <hyperlink ref="B47" r:id="rId154" location="'Source_Register'!A47" display="Source_Register row 47"/>
    <hyperlink ref="I47" r:id="rId155" display="LAB-CHEM · chemistry_assay.csv"/>
    <hyperlink ref="J47" r:id="rId156" location="'Chemistry'!A2" display="Chemistry · row 2"/>
    <hyperlink ref="B48" r:id="rId157" location="'Source_Register'!A48" display="Source_Register row 48"/>
    <hyperlink ref="I48" r:id="rId158" display="LAB-CHEM · chemistry_assay.csv"/>
    <hyperlink ref="J48" r:id="rId159" location="'Chemistry'!A3" display="Chemistry · row 3"/>
    <hyperlink ref="B49" r:id="rId160" location="'Source_Register'!A49" display="Source_Register row 49"/>
    <hyperlink ref="I49" r:id="rId161" display="LAB-CHEM · chemistry_assay.csv"/>
    <hyperlink ref="J49" r:id="rId162" location="'Chemistry'!A4" display="Chemistry · row 4"/>
    <hyperlink ref="B50" r:id="rId163" location="'Source_Register'!A50" display="Source_Register row 50"/>
    <hyperlink ref="I50" r:id="rId164" display="LAB-CHEM · chemistry_assay.csv"/>
    <hyperlink ref="J50" r:id="rId165" location="'Chemistry'!A5" display="Chemistry · row 5"/>
    <hyperlink ref="B51" r:id="rId166" location="'Source_Register'!A51" display="Source_Register row 51"/>
    <hyperlink ref="I51" r:id="rId167" display="LAB-CHEM · chemistry_assay.csv"/>
    <hyperlink ref="J51" r:id="rId168" location="'Chemistry'!A6" display="Chemistry · row 6"/>
    <hyperlink ref="B52" r:id="rId169" location="'Source_Register'!A52" display="Source_Register row 52"/>
    <hyperlink ref="I52" r:id="rId170" display="LAB-CHEM · chemistry_assay.csv"/>
    <hyperlink ref="J52" r:id="rId171" location="'Chemistry'!A7" display="Chemistry · row 7"/>
    <hyperlink ref="B53" r:id="rId172" location="'Source_Register'!A53" display="Source_Register row 53"/>
    <hyperlink ref="I53" r:id="rId173" display="DESIGN-GEOM · trace_geometry.csv"/>
    <hyperlink ref="J53" r:id="rId174" location="'Geometry'!A2" display="Geometry · row 2"/>
    <hyperlink ref="B54" r:id="rId175" location="'Source_Register'!A54" display="Source_Register row 54"/>
    <hyperlink ref="I54" r:id="rId176" display="DESIGN-GEOM · trace_geometry.csv"/>
    <hyperlink ref="J54" r:id="rId177" location="'Geometry'!A3" display="Geometry · row 3"/>
    <hyperlink ref="B55" r:id="rId178" location="'Source_Register'!A55" display="Source_Register row 55"/>
    <hyperlink ref="I55" r:id="rId179" display="DESIGN-GEOM · trace_geometry.csv"/>
    <hyperlink ref="J55" r:id="rId180" location="'Geometry'!A4" display="Geometry · row 4"/>
    <hyperlink ref="B56" r:id="rId181" location="'Source_Register'!A56" display="Source_Register row 56"/>
    <hyperlink ref="I56" r:id="rId182" display="DESIGN-GEOM · trace_geometry.csv"/>
    <hyperlink ref="J56" r:id="rId183" location="'Geometry'!A5" display="Geometry · row 5"/>
    <hyperlink ref="B57" r:id="rId184" location="'Source_Register'!A57" display="Source_Register row 57"/>
    <hyperlink ref="I57" r:id="rId185" display="DESIGN-GEOM · trace_geometry.csv"/>
    <hyperlink ref="J57" r:id="rId186" location="'Geometry'!A6" display="Geometry · row 6"/>
    <hyperlink ref="B58" r:id="rId187" location="'Source_Register'!A58" display="Source_Register row 58"/>
    <hyperlink ref="I58" r:id="rId188" display="ALIAS-CU-0726 · material_aliases.json"/>
    <hyperlink ref="J58" r:id="rId189" location="'Identity_Map'!A2" display="Identity_Map · row 2"/>
    <hyperlink ref="B59" r:id="rId190" location="'Source_Register'!A59" display="Source_Register row 59"/>
    <hyperlink ref="I59" r:id="rId191" display="ALIAS-CU-0726 · material_aliases.json"/>
    <hyperlink ref="J59" r:id="rId192" location="'Identity_Map'!A3" display="Identity_Map · row 3"/>
    <hyperlink ref="B60" r:id="rId193" location="'Source_Register'!A60" display="Source_Register row 60"/>
    <hyperlink ref="I60" r:id="rId194" display="ALIAS-CU-0726 · material_aliases.json"/>
    <hyperlink ref="J60" r:id="rId195" location="'Identity_Map'!A4" display="Identity_Map · row 4"/>
    <hyperlink ref="B61" r:id="rId196" location="'Source_Register'!A61" display="Source_Register row 61"/>
    <hyperlink ref="I61" r:id="rId197" display="ALIAS-CU-0726 · material_aliases.json"/>
    <hyperlink ref="J61" r:id="rId198" location="'Identity_Map'!A5" display="Identity_Map · row 5"/>
    <hyperlink ref="B62" r:id="rId199" location="'Source_Register'!A62" display="Source_Register row 62"/>
    <hyperlink ref="I62" r:id="rId200" display="ALIAS-CU-0726 · material_aliases.json"/>
    <hyperlink ref="J62" r:id="rId201" location="'Identity_Map'!A6" display="Identity_Map · row 6"/>
    <hyperlink ref="B63" r:id="rId202" location="'Source_Register'!A63" display="Source_Register row 63"/>
    <hyperlink ref="I63" r:id="rId203" display="SUP-CU-449 / ALIAS-CU-0726 · copper_source_memo.docx"/>
    <hyperlink ref="J63" r:id="rId204" location="'Identity_Map'!A7" display="Identity_Map · row 7"/>
    <hyperlink ref="B64" r:id="rId205" location="'Source_Register'!A64" display="Source_Register row 64"/>
    <hyperlink ref="I64" r:id="rId206" display="SUP-CU-449 / ALIAS-CU-0726 · copper_source_memo.docx"/>
    <hyperlink ref="J64" r:id="rId207" location="'Identity_Map'!A8" display="Identity_Map · row 8"/>
    <hyperlink ref="B65" r:id="rId208" location="'Source_Register'!A65" display="Source_Register row 65"/>
    <hyperlink ref="I65" r:id="rId209" display="SUP-LOT / SUP-CU-449 · lot_release_register.xlsx"/>
    <hyperlink ref="J65" r:id="rId210" location="'Lots'!A2" display="Lots · row 2"/>
    <hyperlink ref="B66" r:id="rId211" location="'Source_Register'!A66" display="Source_Register row 66"/>
    <hyperlink ref="I66" r:id="rId212" display="SUP-LOT / SUP-CU-449 · lot_release_register.xlsx"/>
    <hyperlink ref="J66" r:id="rId213" location="'Lots'!A3" display="Lots · row 3"/>
    <hyperlink ref="B67" r:id="rId214" location="'Source_Register'!A67" display="Source_Register row 67"/>
    <hyperlink ref="I67" r:id="rId215" display="SUP-LOT / SUP-CU-449 · lot_release_register.xlsx"/>
    <hyperlink ref="J67" r:id="rId216" location="'Lots'!A4" display="Lots · row 4"/>
    <hyperlink ref="B68" r:id="rId217" location="'Source_Register'!A68" display="Source_Register row 68"/>
    <hyperlink ref="I68" r:id="rId218" display="SUP-LOT / SUP-CU-449 · lot_release_register.xlsx"/>
    <hyperlink ref="J68" r:id="rId219" location="'Lots'!A5" display="Lots · row 5"/>
    <hyperlink ref="B69" r:id="rId220" location="'Source_Register'!A69" display="Source_Register row 69"/>
    <hyperlink ref="I69" r:id="rId221" display="SUP-LOT / SUP-CU-449 · lot_release_register.xlsx"/>
    <hyperlink ref="J69" r:id="rId222" location="'Lots'!A6" display="Lots · row 6"/>
    <hyperlink ref="B70" r:id="rId223" location="'Source_Register'!A70" display="Source_Register row 70"/>
    <hyperlink ref="I70" r:id="rId224" display="SUP-LOT / SUP-CU-449 · lot_release_register.xlsx"/>
    <hyperlink ref="J70" r:id="rId225" location="'Lots'!A7" display="Lots · row 7"/>
    <hyperlink ref="B71" r:id="rId226" location="'Source_Register'!A71" display="Source_Register row 71"/>
    <hyperlink ref="I71" r:id="rId227" display="PCN-HB-044 / XR-17 log · 2026-07-08.log"/>
    <hyperlink ref="J71" r:id="rId228" location="'Metrology'!A2" display="Metrology · row 2"/>
    <hyperlink ref="B72" r:id="rId229" location="'Source_Register'!A72" display="Source_Register row 72"/>
    <hyperlink ref="I72" r:id="rId230" display="PCN-HB-044 / XR-17 log · 2026-07-08.log"/>
    <hyperlink ref="J72" r:id="rId231" location="'Metrology'!A3" display="Metrology · row 3"/>
    <hyperlink ref="B73" r:id="rId232" location="'Source_Register'!A73" display="Source_Register row 73"/>
    <hyperlink ref="I73" r:id="rId233" display="PCN-HB-044 / XR-17 log · 2026-07-08.log"/>
    <hyperlink ref="J73" r:id="rId234" location="'Metrology'!A4" display="Metrology · row 4"/>
    <hyperlink ref="B74" r:id="rId235" location="'Source_Register'!A74" display="Source_Register row 74"/>
    <hyperlink ref="I74" r:id="rId236" display="PCN-HB-044 / XR-17 log · 2026-07-08.log"/>
    <hyperlink ref="J74" r:id="rId237" location="'Metrology'!A5" display="Metrology · row 5"/>
    <hyperlink ref="B75" r:id="rId238" location="'Source_Register'!A75" display="Source_Register row 75"/>
    <hyperlink ref="I75" r:id="rId239" display="PCN-HB-044 / XR-17 log · 2026-07-08.log"/>
    <hyperlink ref="J75" r:id="rId240" location="'Metrology'!A6" display="Metrology · row 6"/>
    <hyperlink ref="K81" r:id="rId241" display="STD-CU-101 · base_material_limits.docx"/>
    <hyperlink ref="K82" r:id="rId242" display="STD-CU-101 · base_material_limits.docx"/>
    <hyperlink ref="K83" r:id="rId243" display="STD-CU-101 · base_material_limits.docx"/>
    <hyperlink ref="K84" r:id="rId244" display="STD-CU-101 · base_material_limits.docx"/>
    <hyperlink ref="K85" r:id="rId245" display="STD-CU-101 · base_material_limits.docx"/>
    <hyperlink ref="K86" r:id="rId246" display="STD-CU-101 · base_material_limits.docx"/>
    <hyperlink ref="K87" r:id="rId247" display="CQA-CU-772 · customer_addendum.docx"/>
    <hyperlink ref="K88" r:id="rId248" display="CQA-CU-772 · customer_addendum.docx"/>
    <hyperlink ref="K89" r:id="rId249" display="CQA-CU-772 · customer_addendum.docx"/>
    <hyperlink ref="K90" r:id="rId250" display="STD-CU-214 · plating_limits.docx"/>
    <hyperlink ref="K91" r:id="rId251" display="STD-CU-214 · plating_limits.docx"/>
    <hyperlink ref="K92" r:id="rId252" display="STD-CU-214 · plating_limits.docx"/>
    <hyperlink ref="K93" r:id="rId253" display="STD-CU-214 · plating_limits.docx"/>
    <hyperlink ref="K94" r:id="rId254" display="STD-CU-214 · plating_limits.docx"/>
    <hyperlink ref="K95" r:id="rId255" display="STD-CU-214 · plating_limits.docx"/>
    <hyperlink ref="K96" r:id="rId256" display="STD-CU-309 · wire_rod_limits.docx"/>
    <hyperlink ref="K97" r:id="rId257" display="STD-CU-309 · wire_rod_limits.docx"/>
    <hyperlink ref="K98" r:id="rId258" display="STD-CU-309 · wire_rod_limits.docx"/>
    <hyperlink ref="K99" r:id="rId259" display="STD-CU-309 · wire_rod_limits.docx"/>
    <hyperlink ref="K100" r:id="rId260" display="STD-CU-309 · wire_rod_limits.docx"/>
    <hyperlink ref="K101" r:id="rId261" display="STD-CU-309 · wire_rod_limits.docx"/>
    <hyperlink ref="K102" r:id="rId262" display="MAT-WVR-26-071 · 2026-07-06_panel_deviation_thread__nora-patel.eml"/>
    <hyperlink ref="I107" r:id="rId263" display="PROTO-CU-77 · property_test_protocol.docx"/>
    <hyperlink ref="I108" r:id="rId264" display="PROTO-CU-77 · property_test_protocol.docx"/>
    <hyperlink ref="I109" r:id="rId265" display="PROTO-CU-77 · property_test_protocol.docx"/>
    <hyperlink ref="I110" r:id="rId266" display="PROTO-CU-77 · property_test_protocol.docx"/>
    <hyperlink ref="I115" r:id="rId267" display="CCP-CU-180 · conductor_control_plan_rev2.docx"/>
    <hyperlink ref="I116" r:id="rId268" display="CCP-CU-180 · conductor_control_plan_rev2.docx"/>
    <hyperlink ref="I117" r:id="rId269" display="CCP-CU-180 · conductor_control_plan_rev2.docx"/>
    <hyperlink ref="I118" r:id="rId270" display="PCN-HB-044 · process_change_notice.docx"/>
    <hyperlink ref="I119" r:id="rId271" display="CFG-QA-CU-0726 · service_factors.json"/>
    <hyperlink ref="I120" r:id="rId272" display="CFG-QA-CU-0726 · service_factors.json"/>
    <hyperlink ref="I121" r:id="rId273" display="HB trace window email · 2026-07-02_window_alignment__hannah-lee.eml"/>
    <hyperlink ref="I122" r:id="rId274" display="CFG-QA-CU-0726 · service_factors.json"/>
    <hyperlink ref="I123" r:id="rId275" display="CFG-QA-CU-0726 · service_factors.json"/>
    <hyperlink ref="I124" r:id="rId276" display="CFG-QA-CU-0726 · service_factors.json"/>
    <hyperlink ref="I125" r:id="rId277" display="CFG-QA-CU-0726 · service_factors.json"/>
    <hyperlink ref="I126" r:id="rId278" display="CFG-QA-CU-0726 · service_factors.json"/>
    <hyperlink ref="I127" r:id="rId279" display="CFG-QA-CU-0726 · service_factors.json"/>
    <hyperlink ref="I128" r:id="rId280" display="CFG-QA-CU-0726 · service_factors.json"/>
    <hyperlink ref="I129" r:id="rId281" display="CFG-QA-CU-0726 · service_factors.j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82"/>
    <tablePart r:id="rId283"/>
    <tablePart r:id="rId284"/>
    <tablePart r:id="rId28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7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28"/>
    <col collapsed="false" customWidth="true" hidden="false" outlineLevel="0" max="6" min="5" style="1" width="18"/>
    <col collapsed="false" customWidth="true" hidden="false" outlineLevel="0" max="8" min="7" style="1" width="20"/>
    <col collapsed="false" customWidth="true" hidden="false" outlineLevel="0" max="9" min="9" style="1" width="18"/>
    <col collapsed="false" customWidth="true" hidden="false" outlineLevel="0" max="10" min="10" style="1" width="42"/>
    <col collapsed="false" customWidth="true" hidden="false" outlineLevel="0" max="11" min="11" style="1" width="25"/>
    <col collapsed="false" customWidth="true" hidden="false" outlineLevel="0" max="12" min="12" style="1" width="34"/>
    <col collapsed="false" customWidth="true" hidden="false" outlineLevel="0" max="13" min="13" style="1" width="32"/>
    <col collapsed="false" customWidth="true" hidden="false" outlineLevel="0" max="14" min="14" style="1" width="68"/>
    <col collapsed="false" customWidth="true" hidden="false" outlineLevel="0" max="15" min="15" style="1" width="34"/>
    <col collapsed="false" customWidth="true" hidden="false" outlineLevel="0" max="16" min="16" style="1" width="18"/>
    <col collapsed="false" customWidth="true" hidden="false" outlineLevel="0" max="17" min="17" style="1" width="64"/>
    <col collapsed="false" customWidth="true" hidden="false" outlineLevel="0" max="18" min="18" style="1" width="52"/>
  </cols>
  <sheetData>
    <row r="1" customFormat="false" ht="15" hidden="false" customHeight="true" outlineLevel="0" collapsed="false">
      <c r="A1" s="19" t="s">
        <v>803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3"/>
      <c r="Q1" s="3"/>
      <c r="R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7.5" hidden="false" customHeight="true" outlineLevel="0" collapsed="false">
      <c r="A3" s="2" t="s">
        <v>804</v>
      </c>
      <c r="B3" s="2" t="s">
        <v>39</v>
      </c>
      <c r="C3" s="2" t="s">
        <v>805</v>
      </c>
      <c r="D3" s="2" t="s">
        <v>806</v>
      </c>
      <c r="E3" s="2" t="s">
        <v>1</v>
      </c>
      <c r="F3" s="2" t="s">
        <v>53</v>
      </c>
      <c r="G3" s="2" t="s">
        <v>807</v>
      </c>
      <c r="H3" s="2" t="s">
        <v>808</v>
      </c>
      <c r="I3" s="2" t="s">
        <v>809</v>
      </c>
      <c r="J3" s="2" t="s">
        <v>810</v>
      </c>
      <c r="K3" s="2" t="s">
        <v>811</v>
      </c>
      <c r="L3" s="2" t="s">
        <v>812</v>
      </c>
      <c r="M3" s="2" t="s">
        <v>813</v>
      </c>
      <c r="N3" s="2" t="s">
        <v>814</v>
      </c>
      <c r="O3" s="2" t="s">
        <v>649</v>
      </c>
      <c r="P3" s="2" t="s">
        <v>815</v>
      </c>
      <c r="Q3" s="2" t="s">
        <v>816</v>
      </c>
      <c r="R3" s="2" t="s">
        <v>817</v>
      </c>
    </row>
    <row r="4" customFormat="false" ht="29.25" hidden="false" customHeight="true" outlineLevel="0" collapsed="false">
      <c r="A4" s="3" t="s">
        <v>818</v>
      </c>
      <c r="B4" s="3" t="s">
        <v>362</v>
      </c>
      <c r="C4" s="3" t="str">
        <f aca="false">Inputs!$D$34</f>
        <v>MAT-CU-C101</v>
      </c>
      <c r="D4" s="3" t="str">
        <f aca="false">Inputs!$P$34</f>
        <v>resistivity_20c</v>
      </c>
      <c r="E4" s="20" t="n">
        <f aca="false">Inputs!$Q$34</f>
        <v>1.699</v>
      </c>
      <c r="F4" s="3" t="str">
        <f aca="false">Inputs!$R$34</f>
        <v>uohm_cm</v>
      </c>
      <c r="G4" s="3" t="n">
        <f aca="false">Inputs!$S$34</f>
        <v>20</v>
      </c>
      <c r="H4" s="3" t="n">
        <f aca="false">Inputs!$T$34</f>
        <v>101.3</v>
      </c>
      <c r="I4" s="3" t="n">
        <f aca="false">Inputs!$U$34</f>
        <v>0.001</v>
      </c>
      <c r="J4" s="3" t="str">
        <f aca="false">Inputs!$V$34</f>
        <v>LM-CU-07</v>
      </c>
      <c r="K4" s="3" t="s">
        <v>819</v>
      </c>
      <c r="L4" s="21" t="b">
        <f aca="false">AND(G4=20,H4&lt;&gt;"")</f>
        <v>1</v>
      </c>
      <c r="M4" s="3" t="s">
        <v>820</v>
      </c>
      <c r="N4" s="22" t="s">
        <v>821</v>
      </c>
      <c r="O4" s="22" t="str">
        <f aca="false">Inputs!$I$34</f>
        <v>LAB-COND · conductivity_panel_tests.csv</v>
      </c>
      <c r="P4" s="20" t="n">
        <f aca="false">IF(AND(L4=TRUE(),M4="Selected measured value"),E4,NA())</f>
        <v>1.699</v>
      </c>
      <c r="Q4" s="3" t="str">
        <f aca="false">IF(ISNUMBER(P4),"SELECTED","EXCLUDED")</f>
        <v>SELECTED</v>
      </c>
      <c r="R4" s="3" t="s">
        <v>822</v>
      </c>
    </row>
    <row r="5" customFormat="false" ht="29.25" hidden="false" customHeight="true" outlineLevel="0" collapsed="false">
      <c r="A5" s="3" t="s">
        <v>823</v>
      </c>
      <c r="B5" s="3" t="s">
        <v>398</v>
      </c>
      <c r="C5" s="3" t="str">
        <f aca="false">Inputs!$D$39</f>
        <v>MAT-CU-HBPLATE</v>
      </c>
      <c r="D5" s="3" t="str">
        <f aca="false">Inputs!$P$39</f>
        <v>resistivity_20c</v>
      </c>
      <c r="E5" s="20" t="n">
        <f aca="false">Inputs!$Q$39</f>
        <v>1.762</v>
      </c>
      <c r="F5" s="3" t="str">
        <f aca="false">Inputs!$R$39</f>
        <v>uohm_cm</v>
      </c>
      <c r="G5" s="3" t="n">
        <f aca="false">Inputs!$S$39</f>
        <v>20</v>
      </c>
      <c r="H5" s="3" t="n">
        <f aca="false">Inputs!$T$39</f>
        <v>101.3</v>
      </c>
      <c r="I5" s="3" t="n">
        <f aca="false">Inputs!$U$39</f>
        <v>0.001</v>
      </c>
      <c r="J5" s="3" t="str">
        <f aca="false">Inputs!$V$39</f>
        <v>LM-CU-07</v>
      </c>
      <c r="K5" s="3" t="s">
        <v>819</v>
      </c>
      <c r="L5" s="21" t="b">
        <f aca="false">AND(G5=20,H5&lt;&gt;"")</f>
        <v>1</v>
      </c>
      <c r="M5" s="3" t="s">
        <v>820</v>
      </c>
      <c r="N5" s="22" t="s">
        <v>824</v>
      </c>
      <c r="O5" s="22" t="str">
        <f aca="false">Inputs!$I$39</f>
        <v>LAB-COND · conductivity_panel_tests.csv</v>
      </c>
      <c r="P5" s="20" t="n">
        <f aca="false">IF(AND(L5=TRUE(),M5="Selected measured value"),E5,NA())</f>
        <v>1.762</v>
      </c>
      <c r="Q5" s="3" t="str">
        <f aca="false">IF(ISNUMBER(P5),"SELECTED","EXCLUDED")</f>
        <v>SELECTED</v>
      </c>
      <c r="R5" s="3" t="s">
        <v>822</v>
      </c>
    </row>
    <row r="6" customFormat="false" ht="29.25" hidden="false" customHeight="true" outlineLevel="0" collapsed="false">
      <c r="A6" s="3" t="s">
        <v>825</v>
      </c>
      <c r="B6" s="3" t="s">
        <v>406</v>
      </c>
      <c r="C6" s="3" t="str">
        <f aca="false">Inputs!$D$41</f>
        <v>MAT-CU-C101</v>
      </c>
      <c r="D6" s="3" t="str">
        <f aca="false">Inputs!$P$41</f>
        <v>thermal_conductivity</v>
      </c>
      <c r="E6" s="20" t="n">
        <f aca="false">Inputs!$Q$41</f>
        <v>392.6</v>
      </c>
      <c r="F6" s="3" t="str">
        <f aca="false">Inputs!$R$41</f>
        <v>W_mK</v>
      </c>
      <c r="G6" s="3" t="n">
        <f aca="false">Inputs!$S$41</f>
        <v>23</v>
      </c>
      <c r="H6" s="3" t="n">
        <f aca="false">Inputs!$T$41</f>
        <v>101.3</v>
      </c>
      <c r="I6" s="3" t="n">
        <f aca="false">Inputs!$U$41</f>
        <v>0.001</v>
      </c>
      <c r="J6" s="3" t="str">
        <f aca="false">Inputs!$V$41</f>
        <v>LM-CU-07</v>
      </c>
      <c r="K6" s="3" t="s">
        <v>826</v>
      </c>
      <c r="L6" s="21" t="b">
        <f aca="false">AND(G6&gt;=21,G6&lt;=25,H6&gt;=96.3,H6&lt;=106.3)</f>
        <v>1</v>
      </c>
      <c r="M6" s="3" t="s">
        <v>820</v>
      </c>
      <c r="N6" s="22" t="s">
        <v>827</v>
      </c>
      <c r="O6" s="22" t="str">
        <f aca="false">Inputs!$I$41</f>
        <v>LAB-COND · conductivity_panel_tests.csv</v>
      </c>
      <c r="P6" s="20" t="n">
        <f aca="false">IF(AND(L6=TRUE(),M6="Selected measured value"),E6,NA())</f>
        <v>392.6</v>
      </c>
      <c r="Q6" s="3" t="str">
        <f aca="false">IF(ISNUMBER(P6),"SELECTED","EXCLUDED")</f>
        <v>SELECTED</v>
      </c>
      <c r="R6" s="3" t="s">
        <v>822</v>
      </c>
    </row>
    <row r="7" customFormat="false" ht="29.25" hidden="false" customHeight="true" outlineLevel="0" collapsed="false">
      <c r="A7" s="3" t="s">
        <v>828</v>
      </c>
      <c r="B7" s="3" t="s">
        <v>411</v>
      </c>
      <c r="C7" s="3" t="str">
        <f aca="false">Inputs!$D$42</f>
        <v>MAT-CU-HBPLATE</v>
      </c>
      <c r="D7" s="3" t="str">
        <f aca="false">Inputs!$P$42</f>
        <v>thermal_conductivity</v>
      </c>
      <c r="E7" s="20" t="n">
        <f aca="false">Inputs!$Q$42</f>
        <v>386.8</v>
      </c>
      <c r="F7" s="3" t="str">
        <f aca="false">Inputs!$R$42</f>
        <v>W_mK</v>
      </c>
      <c r="G7" s="3" t="n">
        <f aca="false">Inputs!$S$42</f>
        <v>23</v>
      </c>
      <c r="H7" s="3" t="n">
        <f aca="false">Inputs!$T$42</f>
        <v>101.3</v>
      </c>
      <c r="I7" s="3" t="n">
        <f aca="false">Inputs!$U$42</f>
        <v>0.001</v>
      </c>
      <c r="J7" s="3" t="str">
        <f aca="false">Inputs!$V$42</f>
        <v>LM-CU-07</v>
      </c>
      <c r="K7" s="3" t="s">
        <v>826</v>
      </c>
      <c r="L7" s="21" t="b">
        <f aca="false">AND(G7&gt;=21,G7&lt;=25,H7&gt;=96.3,H7&lt;=106.3)</f>
        <v>1</v>
      </c>
      <c r="M7" s="3" t="s">
        <v>820</v>
      </c>
      <c r="N7" s="22" t="s">
        <v>829</v>
      </c>
      <c r="O7" s="22" t="str">
        <f aca="false">Inputs!$I$42</f>
        <v>LAB-COND · conductivity_panel_tests.csv</v>
      </c>
      <c r="P7" s="20" t="n">
        <f aca="false">IF(AND(L7=TRUE(),M7="Selected measured value"),E7,NA())</f>
        <v>386.8</v>
      </c>
      <c r="Q7" s="3" t="str">
        <f aca="false">IF(ISNUMBER(P7),"SELECTED","EXCLUDED")</f>
        <v>SELECTED</v>
      </c>
      <c r="R7" s="3" t="s">
        <v>822</v>
      </c>
    </row>
    <row r="8" customFormat="false" ht="29.25" hidden="false" customHeight="true" outlineLevel="0" collapsed="false">
      <c r="A8" s="3" t="s">
        <v>830</v>
      </c>
      <c r="B8" s="3" t="s">
        <v>414</v>
      </c>
      <c r="C8" s="3" t="str">
        <f aca="false">Inputs!$D$43</f>
        <v>MAT-CU-HBPLATE</v>
      </c>
      <c r="D8" s="3" t="str">
        <f aca="false">Inputs!$P$43</f>
        <v>yield_strength</v>
      </c>
      <c r="E8" s="20" t="n">
        <f aca="false">Inputs!$Q$43</f>
        <v>219</v>
      </c>
      <c r="F8" s="3" t="str">
        <f aca="false">Inputs!$R$43</f>
        <v>MPa</v>
      </c>
      <c r="G8" s="3" t="n">
        <f aca="false">Inputs!$S$43</f>
        <v>23</v>
      </c>
      <c r="H8" s="3" t="n">
        <f aca="false">Inputs!$T$43</f>
        <v>101.3</v>
      </c>
      <c r="I8" s="3" t="n">
        <f aca="false">Inputs!$U$43</f>
        <v>0.001</v>
      </c>
      <c r="J8" s="3" t="str">
        <f aca="false">Inputs!$V$43</f>
        <v>IIT-AFM</v>
      </c>
      <c r="K8" s="3" t="s">
        <v>831</v>
      </c>
      <c r="L8" s="21" t="b">
        <f aca="false">AND(G8&gt;=21,G8&lt;=25,H8&gt;=96.3,H8&lt;=106.3,I8=0.001)</f>
        <v>1</v>
      </c>
      <c r="M8" s="3" t="s">
        <v>820</v>
      </c>
      <c r="N8" s="22" t="s">
        <v>832</v>
      </c>
      <c r="O8" s="22" t="str">
        <f aca="false">Inputs!$I$43</f>
        <v>LAB-MECH · mechanical_property_runs.csv</v>
      </c>
      <c r="P8" s="20" t="n">
        <f aca="false">IF(AND(L8=TRUE(),M8="Selected measured value"),E8,NA())</f>
        <v>219</v>
      </c>
      <c r="Q8" s="3" t="str">
        <f aca="false">IF(ISNUMBER(P8),"SELECTED","EXCLUDED")</f>
        <v>SELECTED</v>
      </c>
      <c r="R8" s="3" t="s">
        <v>822</v>
      </c>
    </row>
    <row r="9" customFormat="false" ht="29.25" hidden="false" customHeight="true" outlineLevel="0" collapsed="false">
      <c r="A9" s="3" t="s">
        <v>833</v>
      </c>
      <c r="B9" s="3" t="s">
        <v>432</v>
      </c>
      <c r="C9" s="3" t="str">
        <f aca="false">Inputs!$D$45</f>
        <v>MAT-CU-HBPLATE</v>
      </c>
      <c r="D9" s="3" t="str">
        <f aca="false">Inputs!$P$45</f>
        <v>hardness</v>
      </c>
      <c r="E9" s="20" t="n">
        <f aca="false">Inputs!$Q$45</f>
        <v>0.92</v>
      </c>
      <c r="F9" s="3" t="str">
        <f aca="false">Inputs!$R$45</f>
        <v>GPa</v>
      </c>
      <c r="G9" s="3" t="n">
        <f aca="false">Inputs!$S$45</f>
        <v>23</v>
      </c>
      <c r="H9" s="3" t="n">
        <f aca="false">Inputs!$T$45</f>
        <v>101.3</v>
      </c>
      <c r="I9" s="3" t="n">
        <f aca="false">Inputs!$U$45</f>
        <v>0.001</v>
      </c>
      <c r="J9" s="3" t="str">
        <f aca="false">Inputs!$V$45</f>
        <v>IIT-AFM</v>
      </c>
      <c r="K9" s="3" t="s">
        <v>831</v>
      </c>
      <c r="L9" s="21" t="b">
        <f aca="false">AND(G9&gt;=21,G9&lt;=25,H9&gt;=96.3,H9&lt;=106.3,I9=0.001)</f>
        <v>1</v>
      </c>
      <c r="M9" s="3" t="s">
        <v>820</v>
      </c>
      <c r="N9" s="22" t="s">
        <v>834</v>
      </c>
      <c r="O9" s="22" t="str">
        <f aca="false">Inputs!$I$45</f>
        <v>LAB-MECH · mechanical_property_runs.csv</v>
      </c>
      <c r="P9" s="20" t="n">
        <f aca="false">IF(AND(L9=TRUE(),M9="Selected measured value"),E9,NA())</f>
        <v>0.92</v>
      </c>
      <c r="Q9" s="3" t="str">
        <f aca="false">IF(ISNUMBER(P9),"SELECTED","EXCLUDED")</f>
        <v>SELECTED</v>
      </c>
      <c r="R9" s="3" t="s">
        <v>822</v>
      </c>
    </row>
    <row r="10" customFormat="false" ht="29.25" hidden="false" customHeight="true" outlineLevel="0" collapsed="false">
      <c r="A10" s="3" t="s">
        <v>835</v>
      </c>
      <c r="B10" s="3" t="s">
        <v>437</v>
      </c>
      <c r="C10" s="3" t="str">
        <f aca="false">Inputs!$D$46</f>
        <v>MAT-CU-C101</v>
      </c>
      <c r="D10" s="3" t="str">
        <f aca="false">Inputs!$P$46</f>
        <v>yield_strength</v>
      </c>
      <c r="E10" s="20" t="n">
        <f aca="false">Inputs!$Q$46</f>
        <v>205</v>
      </c>
      <c r="F10" s="3" t="str">
        <f aca="false">Inputs!$R$46</f>
        <v>MPa</v>
      </c>
      <c r="G10" s="3" t="n">
        <f aca="false">Inputs!$S$46</f>
        <v>23</v>
      </c>
      <c r="H10" s="3" t="n">
        <f aca="false">Inputs!$T$46</f>
        <v>101.3</v>
      </c>
      <c r="I10" s="3" t="n">
        <f aca="false">Inputs!$U$46</f>
        <v>0.001</v>
      </c>
      <c r="J10" s="3" t="str">
        <f aca="false">Inputs!$V$46</f>
        <v>tensile_microcoupon</v>
      </c>
      <c r="K10" s="3" t="s">
        <v>831</v>
      </c>
      <c r="L10" s="21" t="b">
        <f aca="false">AND(G10&gt;=21,G10&lt;=25,H10&gt;=96.3,H10&lt;=106.3,I10=0.001)</f>
        <v>1</v>
      </c>
      <c r="M10" s="3" t="s">
        <v>820</v>
      </c>
      <c r="N10" s="22" t="s">
        <v>836</v>
      </c>
      <c r="O10" s="22" t="str">
        <f aca="false">Inputs!$I$46</f>
        <v>LAB-MECH · mechanical_property_runs.csv</v>
      </c>
      <c r="P10" s="20" t="n">
        <f aca="false">IF(AND(L10=TRUE(),M10="Selected measured value"),E10,NA())</f>
        <v>205</v>
      </c>
      <c r="Q10" s="3" t="str">
        <f aca="false">IF(ISNUMBER(P10),"SELECTED","EXCLUDED")</f>
        <v>SELECTED</v>
      </c>
      <c r="R10" s="3" t="s">
        <v>822</v>
      </c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5" hidden="false" customHeight="true" outlineLevel="0" collapsed="false">
      <c r="A13" s="19" t="s">
        <v>837</v>
      </c>
      <c r="B13" s="19"/>
      <c r="C13" s="19"/>
      <c r="D13" s="19"/>
      <c r="E13" s="19"/>
      <c r="F13" s="19"/>
      <c r="G13" s="19"/>
      <c r="H13" s="19"/>
      <c r="I13" s="19"/>
      <c r="J13" s="19"/>
      <c r="K13" s="3"/>
      <c r="L13" s="3"/>
      <c r="M13" s="3"/>
      <c r="N13" s="3"/>
      <c r="O13" s="3"/>
      <c r="P13" s="3"/>
      <c r="Q13" s="3"/>
      <c r="R13" s="3"/>
    </row>
    <row r="14" customFormat="false" ht="36" hidden="false" customHeight="true" outlineLevel="0" collapsed="false">
      <c r="A14" s="2" t="s">
        <v>838</v>
      </c>
      <c r="B14" s="2" t="s">
        <v>806</v>
      </c>
      <c r="C14" s="2" t="s">
        <v>839</v>
      </c>
      <c r="D14" s="2" t="s">
        <v>840</v>
      </c>
      <c r="E14" s="2" t="s">
        <v>841</v>
      </c>
      <c r="F14" s="2" t="s">
        <v>842</v>
      </c>
      <c r="G14" s="2" t="s">
        <v>53</v>
      </c>
      <c r="H14" s="2" t="s">
        <v>843</v>
      </c>
      <c r="I14" s="2" t="s">
        <v>844</v>
      </c>
      <c r="J14" s="2" t="s">
        <v>845</v>
      </c>
      <c r="K14" s="3"/>
      <c r="L14" s="3"/>
      <c r="M14" s="3"/>
      <c r="N14" s="3"/>
      <c r="O14" s="3"/>
      <c r="P14" s="3"/>
      <c r="Q14" s="3"/>
      <c r="R14" s="3"/>
    </row>
    <row r="15" customFormat="false" ht="15" hidden="false" customHeight="true" outlineLevel="0" collapsed="false">
      <c r="A15" s="3" t="s">
        <v>846</v>
      </c>
      <c r="B15" s="3" t="s">
        <v>366</v>
      </c>
      <c r="C15" s="3" t="str">
        <f aca="false">C4</f>
        <v>MAT-CU-C101</v>
      </c>
      <c r="D15" s="20" t="n">
        <f aca="false">E4</f>
        <v>1.699</v>
      </c>
      <c r="E15" s="3" t="str">
        <f aca="false">C5</f>
        <v>MAT-CU-HBPLATE</v>
      </c>
      <c r="F15" s="20" t="n">
        <f aca="false">E5</f>
        <v>1.762</v>
      </c>
      <c r="G15" s="3" t="str">
        <f aca="false">F4</f>
        <v>uohm_cm</v>
      </c>
      <c r="H15" s="3" t="n">
        <f aca="false">F15-D15</f>
        <v>0.0629999999999999</v>
      </c>
      <c r="I15" s="23" t="n">
        <f aca="false">IFERROR(H15/D15,"")</f>
        <v>0.03708063566804</v>
      </c>
      <c r="J15" s="3" t="s">
        <v>724</v>
      </c>
      <c r="K15" s="3"/>
      <c r="L15" s="3"/>
      <c r="M15" s="3"/>
      <c r="N15" s="3"/>
      <c r="O15" s="3"/>
      <c r="P15" s="3"/>
      <c r="Q15" s="3"/>
      <c r="R15" s="3"/>
    </row>
    <row r="16" customFormat="false" ht="15" hidden="false" customHeight="true" outlineLevel="0" collapsed="false">
      <c r="A16" s="3" t="s">
        <v>847</v>
      </c>
      <c r="B16" s="3" t="s">
        <v>408</v>
      </c>
      <c r="C16" s="3" t="str">
        <f aca="false">C6</f>
        <v>MAT-CU-C101</v>
      </c>
      <c r="D16" s="20" t="n">
        <f aca="false">E6</f>
        <v>392.6</v>
      </c>
      <c r="E16" s="3" t="str">
        <f aca="false">C7</f>
        <v>MAT-CU-HBPLATE</v>
      </c>
      <c r="F16" s="20" t="n">
        <f aca="false">E7</f>
        <v>386.8</v>
      </c>
      <c r="G16" s="3" t="str">
        <f aca="false">F6</f>
        <v>W_mK</v>
      </c>
      <c r="H16" s="3" t="n">
        <f aca="false">F16-D16</f>
        <v>-5.80000000000001</v>
      </c>
      <c r="I16" s="23" t="n">
        <f aca="false">IFERROR(H16/D16,"")</f>
        <v>-0.0147733061640347</v>
      </c>
      <c r="J16" s="3" t="s">
        <v>848</v>
      </c>
      <c r="K16" s="3"/>
      <c r="L16" s="3"/>
      <c r="M16" s="3"/>
      <c r="N16" s="3"/>
      <c r="O16" s="3"/>
      <c r="P16" s="3"/>
      <c r="Q16" s="3"/>
      <c r="R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5" hidden="false" customHeight="true" outlineLevel="0" collapsed="false">
      <c r="A19" s="19" t="s">
        <v>849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3"/>
      <c r="N19" s="3"/>
      <c r="O19" s="3"/>
      <c r="P19" s="3"/>
      <c r="Q19" s="3"/>
      <c r="R19" s="3"/>
    </row>
    <row r="20" customFormat="false" ht="37.5" hidden="false" customHeight="true" outlineLevel="0" collapsed="false">
      <c r="A20" s="2" t="s">
        <v>804</v>
      </c>
      <c r="B20" s="2" t="s">
        <v>850</v>
      </c>
      <c r="C20" s="2" t="s">
        <v>851</v>
      </c>
      <c r="D20" s="2" t="s">
        <v>852</v>
      </c>
      <c r="E20" s="2" t="s">
        <v>853</v>
      </c>
      <c r="F20" s="2" t="s">
        <v>854</v>
      </c>
      <c r="G20" s="2" t="s">
        <v>855</v>
      </c>
      <c r="H20" s="2" t="s">
        <v>856</v>
      </c>
      <c r="I20" s="2" t="s">
        <v>857</v>
      </c>
      <c r="J20" s="2" t="s">
        <v>858</v>
      </c>
      <c r="K20" s="2" t="s">
        <v>859</v>
      </c>
      <c r="L20" s="2" t="s">
        <v>860</v>
      </c>
      <c r="M20" s="2" t="s">
        <v>861</v>
      </c>
      <c r="N20" s="2" t="s">
        <v>817</v>
      </c>
      <c r="O20" s="3"/>
      <c r="P20" s="3"/>
      <c r="Q20" s="3"/>
      <c r="R20" s="3"/>
    </row>
    <row r="21" customFormat="false" ht="15" hidden="false" customHeight="true" outlineLevel="0" collapsed="false">
      <c r="A21" s="3" t="s">
        <v>862</v>
      </c>
      <c r="B21" s="20" t="n">
        <f aca="false">P5</f>
        <v>1.762</v>
      </c>
      <c r="C21" s="20" t="n">
        <f aca="false">Inputs!$AW$56</f>
        <v>50</v>
      </c>
      <c r="D21" s="20" t="n">
        <f aca="false">Inputs!$AX$56</f>
        <v>400</v>
      </c>
      <c r="E21" s="20" t="n">
        <f aca="false">Inputs!$AY$73</f>
        <v>17.8</v>
      </c>
      <c r="F21" s="20" t="n">
        <f aca="false">Assumption_ReferenceTemperature</f>
        <v>20</v>
      </c>
      <c r="G21" s="20" t="n">
        <f aca="false">Assumption_ServiceTemperature</f>
        <v>85</v>
      </c>
      <c r="H21" s="20" t="n">
        <f aca="false">Assumption_TemperatureCoefficient</f>
        <v>0.00393</v>
      </c>
      <c r="I21" s="20" t="n">
        <f aca="false">B21*0.00000001*(C21*0.001)/((D21*0.000001)*(E21*0.000001))*1000</f>
        <v>123.73595505618</v>
      </c>
      <c r="J21" s="20" t="n">
        <f aca="false">I21*(1+H21*(G21-F21))</f>
        <v>155.344304775281</v>
      </c>
      <c r="K21" s="20" t="n">
        <f aca="false">Control_MaxTraceResistance</f>
        <v>160</v>
      </c>
      <c r="L21" s="20" t="n">
        <f aca="false">K21-J21</f>
        <v>4.65569522471904</v>
      </c>
      <c r="M21" s="3" t="s">
        <v>863</v>
      </c>
      <c r="N21" s="3" t="s">
        <v>864</v>
      </c>
      <c r="O21" s="3"/>
      <c r="P21" s="3"/>
      <c r="Q21" s="3"/>
      <c r="R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" hidden="false" customHeight="true" outlineLevel="0" collapsed="false">
      <c r="A25" s="19" t="s">
        <v>865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3"/>
      <c r="N25" s="3"/>
      <c r="O25" s="3"/>
      <c r="P25" s="3"/>
      <c r="Q25" s="3"/>
      <c r="R25" s="3"/>
    </row>
    <row r="26" customFormat="false" ht="36" hidden="false" customHeight="true" outlineLevel="0" collapsed="false">
      <c r="A26" s="2" t="s">
        <v>866</v>
      </c>
      <c r="B26" s="2" t="s">
        <v>42</v>
      </c>
      <c r="C26" s="2" t="s">
        <v>805</v>
      </c>
      <c r="D26" s="2" t="s">
        <v>647</v>
      </c>
      <c r="E26" s="2" t="s">
        <v>867</v>
      </c>
      <c r="F26" s="2" t="s">
        <v>868</v>
      </c>
      <c r="G26" s="2" t="s">
        <v>869</v>
      </c>
      <c r="H26" s="2" t="s">
        <v>870</v>
      </c>
      <c r="I26" s="2" t="s">
        <v>871</v>
      </c>
      <c r="J26" s="2" t="s">
        <v>872</v>
      </c>
      <c r="K26" s="2" t="s">
        <v>873</v>
      </c>
      <c r="L26" s="2" t="s">
        <v>874</v>
      </c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3" t="s">
        <v>875</v>
      </c>
      <c r="B27" s="3" t="s">
        <v>347</v>
      </c>
      <c r="C27" s="3" t="str">
        <f aca="false">Inputs!$D$47</f>
        <v>MAT-CU-C101</v>
      </c>
      <c r="D27" s="3" t="s">
        <v>656</v>
      </c>
      <c r="E27" s="24" t="n">
        <f aca="false">Inputs!$AQ$47</f>
        <v>3.2</v>
      </c>
      <c r="F27" s="24" t="n">
        <f aca="false">MIN(Inputs!$I$81)</f>
        <v>8</v>
      </c>
      <c r="G27" s="3"/>
      <c r="H27" s="24" t="n">
        <f aca="false">F27</f>
        <v>8</v>
      </c>
      <c r="I27" s="24" t="n">
        <f aca="false">H27-E27</f>
        <v>4.8</v>
      </c>
      <c r="J27" s="25" t="str">
        <f aca="false">IF(E27&lt;=H27,"PASS","FAIL")</f>
        <v>PASS</v>
      </c>
      <c r="K27" s="22" t="s">
        <v>876</v>
      </c>
      <c r="L27" s="3" t="s">
        <v>877</v>
      </c>
      <c r="M27" s="3"/>
      <c r="N27" s="3"/>
      <c r="O27" s="3"/>
      <c r="P27" s="3"/>
      <c r="Q27" s="3"/>
      <c r="R27" s="3"/>
    </row>
    <row r="28" customFormat="false" ht="15" hidden="false" customHeight="true" outlineLevel="0" collapsed="false">
      <c r="A28" s="3" t="s">
        <v>878</v>
      </c>
      <c r="B28" s="3" t="s">
        <v>347</v>
      </c>
      <c r="C28" s="3" t="str">
        <f aca="false">Inputs!$D$47</f>
        <v>MAT-CU-C101</v>
      </c>
      <c r="D28" s="3" t="s">
        <v>659</v>
      </c>
      <c r="E28" s="24" t="n">
        <f aca="false">Inputs!$AR$47</f>
        <v>2.1</v>
      </c>
      <c r="F28" s="24" t="n">
        <f aca="false">MIN(Inputs!$I$82,Inputs!$I$87)</f>
        <v>4</v>
      </c>
      <c r="G28" s="3"/>
      <c r="H28" s="24" t="n">
        <f aca="false">F28</f>
        <v>4</v>
      </c>
      <c r="I28" s="24" t="n">
        <f aca="false">H28-E28</f>
        <v>1.9</v>
      </c>
      <c r="J28" s="25" t="str">
        <f aca="false">IF(E28&lt;=H28,"PASS","FAIL")</f>
        <v>PASS</v>
      </c>
      <c r="K28" s="22" t="s">
        <v>876</v>
      </c>
      <c r="L28" s="3" t="s">
        <v>877</v>
      </c>
      <c r="M28" s="3"/>
      <c r="N28" s="3"/>
      <c r="O28" s="3"/>
      <c r="P28" s="3"/>
      <c r="Q28" s="3"/>
      <c r="R28" s="3"/>
    </row>
    <row r="29" customFormat="false" ht="15" hidden="false" customHeight="true" outlineLevel="0" collapsed="false">
      <c r="A29" s="3" t="s">
        <v>879</v>
      </c>
      <c r="B29" s="3" t="s">
        <v>347</v>
      </c>
      <c r="C29" s="3" t="str">
        <f aca="false">Inputs!$D$47</f>
        <v>MAT-CU-C101</v>
      </c>
      <c r="D29" s="3" t="s">
        <v>661</v>
      </c>
      <c r="E29" s="24" t="n">
        <f aca="false">Inputs!$AS$47</f>
        <v>1.2</v>
      </c>
      <c r="F29" s="24" t="n">
        <f aca="false">MIN(Inputs!$I$83)</f>
        <v>5</v>
      </c>
      <c r="G29" s="3"/>
      <c r="H29" s="24" t="n">
        <f aca="false">F29</f>
        <v>5</v>
      </c>
      <c r="I29" s="24" t="n">
        <f aca="false">H29-E29</f>
        <v>3.8</v>
      </c>
      <c r="J29" s="25" t="str">
        <f aca="false">IF(E29&lt;=H29,"PASS","FAIL")</f>
        <v>PASS</v>
      </c>
      <c r="K29" s="22" t="s">
        <v>876</v>
      </c>
      <c r="L29" s="3" t="s">
        <v>877</v>
      </c>
      <c r="M29" s="3"/>
      <c r="N29" s="3"/>
      <c r="O29" s="3"/>
      <c r="P29" s="3"/>
      <c r="Q29" s="3"/>
      <c r="R29" s="3"/>
    </row>
    <row r="30" customFormat="false" ht="15" hidden="false" customHeight="true" outlineLevel="0" collapsed="false">
      <c r="A30" s="3" t="s">
        <v>880</v>
      </c>
      <c r="B30" s="3" t="s">
        <v>347</v>
      </c>
      <c r="C30" s="3" t="str">
        <f aca="false">Inputs!$D$47</f>
        <v>MAT-CU-C101</v>
      </c>
      <c r="D30" s="3" t="s">
        <v>663</v>
      </c>
      <c r="E30" s="24" t="n">
        <f aca="false">Inputs!$AT$47</f>
        <v>0.4</v>
      </c>
      <c r="F30" s="24" t="n">
        <f aca="false">MIN(Inputs!$I$84)</f>
        <v>3</v>
      </c>
      <c r="G30" s="3"/>
      <c r="H30" s="24" t="n">
        <f aca="false">F30</f>
        <v>3</v>
      </c>
      <c r="I30" s="24" t="n">
        <f aca="false">H30-E30</f>
        <v>2.6</v>
      </c>
      <c r="J30" s="25" t="str">
        <f aca="false">IF(E30&lt;=H30,"PASS","FAIL")</f>
        <v>PASS</v>
      </c>
      <c r="K30" s="22" t="s">
        <v>876</v>
      </c>
      <c r="L30" s="3" t="s">
        <v>877</v>
      </c>
      <c r="M30" s="3"/>
      <c r="N30" s="3"/>
      <c r="O30" s="3"/>
      <c r="P30" s="3"/>
      <c r="Q30" s="3"/>
      <c r="R30" s="3"/>
    </row>
    <row r="31" customFormat="false" ht="15" hidden="false" customHeight="true" outlineLevel="0" collapsed="false">
      <c r="A31" s="3" t="s">
        <v>881</v>
      </c>
      <c r="B31" s="3" t="s">
        <v>347</v>
      </c>
      <c r="C31" s="3" t="str">
        <f aca="false">Inputs!$D$47</f>
        <v>MAT-CU-C101</v>
      </c>
      <c r="D31" s="3" t="s">
        <v>665</v>
      </c>
      <c r="E31" s="24" t="n">
        <f aca="false">Inputs!$AU$47</f>
        <v>4</v>
      </c>
      <c r="F31" s="24" t="n">
        <f aca="false">MIN(Inputs!$I$85)</f>
        <v>10</v>
      </c>
      <c r="G31" s="3"/>
      <c r="H31" s="24" t="n">
        <f aca="false">F31</f>
        <v>10</v>
      </c>
      <c r="I31" s="24" t="n">
        <f aca="false">H31-E31</f>
        <v>6</v>
      </c>
      <c r="J31" s="25" t="str">
        <f aca="false">IF(E31&lt;=H31,"PASS","FAIL")</f>
        <v>PASS</v>
      </c>
      <c r="K31" s="22" t="s">
        <v>876</v>
      </c>
      <c r="L31" s="3" t="s">
        <v>877</v>
      </c>
      <c r="M31" s="3"/>
      <c r="N31" s="3"/>
      <c r="O31" s="3"/>
      <c r="P31" s="3"/>
      <c r="Q31" s="3"/>
      <c r="R31" s="3"/>
    </row>
    <row r="32" customFormat="false" ht="15" hidden="false" customHeight="true" outlineLevel="0" collapsed="false">
      <c r="A32" s="3" t="s">
        <v>882</v>
      </c>
      <c r="B32" s="3" t="s">
        <v>347</v>
      </c>
      <c r="C32" s="3" t="str">
        <f aca="false">Inputs!$D$47</f>
        <v>MAT-CU-C101</v>
      </c>
      <c r="D32" s="3" t="s">
        <v>667</v>
      </c>
      <c r="E32" s="24" t="n">
        <f aca="false">Inputs!$AV$47</f>
        <v>2</v>
      </c>
      <c r="F32" s="24" t="n">
        <f aca="false">MIN(Inputs!$I$86)</f>
        <v>10</v>
      </c>
      <c r="G32" s="3"/>
      <c r="H32" s="24" t="n">
        <f aca="false">F32</f>
        <v>10</v>
      </c>
      <c r="I32" s="24" t="n">
        <f aca="false">H32-E32</f>
        <v>8</v>
      </c>
      <c r="J32" s="25" t="str">
        <f aca="false">IF(E32&lt;=H32,"PASS","FAIL")</f>
        <v>PASS</v>
      </c>
      <c r="K32" s="22" t="s">
        <v>876</v>
      </c>
      <c r="L32" s="3" t="s">
        <v>877</v>
      </c>
      <c r="M32" s="3"/>
      <c r="N32" s="3"/>
      <c r="O32" s="3"/>
      <c r="P32" s="3"/>
      <c r="Q32" s="3"/>
      <c r="R32" s="3"/>
    </row>
    <row r="33" customFormat="false" ht="15" hidden="false" customHeight="true" outlineLevel="0" collapsed="false">
      <c r="A33" s="3" t="s">
        <v>883</v>
      </c>
      <c r="B33" s="3" t="s">
        <v>374</v>
      </c>
      <c r="C33" s="3" t="str">
        <f aca="false">Inputs!$D$48</f>
        <v>MAT-CU-WIRE</v>
      </c>
      <c r="D33" s="3" t="s">
        <v>656</v>
      </c>
      <c r="E33" s="24" t="n">
        <f aca="false">Inputs!$AQ$48</f>
        <v>6.2</v>
      </c>
      <c r="F33" s="24" t="n">
        <f aca="false">MIN(Inputs!$I$81,Inputs!$I$96)</f>
        <v>5</v>
      </c>
      <c r="G33" s="3" t="s">
        <v>460</v>
      </c>
      <c r="H33" s="24" t="n">
        <f aca="false">Waiver_LOT_B_OxygenLimit</f>
        <v>7</v>
      </c>
      <c r="I33" s="24" t="n">
        <f aca="false">H33-E33</f>
        <v>0.8</v>
      </c>
      <c r="J33" s="25" t="str">
        <f aca="false">IF(E33&lt;=H33,"PASS","FAIL")</f>
        <v>PASS</v>
      </c>
      <c r="K33" s="22" t="s">
        <v>884</v>
      </c>
      <c r="L33" s="3" t="s">
        <v>885</v>
      </c>
      <c r="M33" s="3"/>
      <c r="N33" s="3"/>
      <c r="O33" s="3"/>
      <c r="P33" s="3"/>
      <c r="Q33" s="3"/>
      <c r="R33" s="3"/>
    </row>
    <row r="34" customFormat="false" ht="15" hidden="false" customHeight="true" outlineLevel="0" collapsed="false">
      <c r="A34" s="3" t="s">
        <v>886</v>
      </c>
      <c r="B34" s="3" t="s">
        <v>374</v>
      </c>
      <c r="C34" s="3" t="str">
        <f aca="false">Inputs!$D$48</f>
        <v>MAT-CU-WIRE</v>
      </c>
      <c r="D34" s="3" t="s">
        <v>659</v>
      </c>
      <c r="E34" s="24" t="n">
        <f aca="false">Inputs!$AR$48</f>
        <v>2.8</v>
      </c>
      <c r="F34" s="24" t="n">
        <f aca="false">MIN(Inputs!$I$82,Inputs!$I$97,Inputs!$I$87)</f>
        <v>4</v>
      </c>
      <c r="G34" s="3"/>
      <c r="H34" s="24" t="n">
        <f aca="false">F34</f>
        <v>4</v>
      </c>
      <c r="I34" s="24" t="n">
        <f aca="false">H34-E34</f>
        <v>1.2</v>
      </c>
      <c r="J34" s="25" t="str">
        <f aca="false">IF(E34&lt;=H34,"PASS","FAIL")</f>
        <v>PASS</v>
      </c>
      <c r="K34" s="22" t="s">
        <v>884</v>
      </c>
      <c r="L34" s="3" t="s">
        <v>885</v>
      </c>
      <c r="M34" s="3"/>
      <c r="N34" s="3"/>
      <c r="O34" s="3"/>
      <c r="P34" s="3"/>
      <c r="Q34" s="3"/>
      <c r="R34" s="3"/>
    </row>
    <row r="35" customFormat="false" ht="15" hidden="false" customHeight="true" outlineLevel="0" collapsed="false">
      <c r="A35" s="3" t="s">
        <v>887</v>
      </c>
      <c r="B35" s="3" t="s">
        <v>374</v>
      </c>
      <c r="C35" s="3" t="str">
        <f aca="false">Inputs!$D$48</f>
        <v>MAT-CU-WIRE</v>
      </c>
      <c r="D35" s="3" t="s">
        <v>661</v>
      </c>
      <c r="E35" s="24" t="n">
        <f aca="false">Inputs!$AS$48</f>
        <v>0.9</v>
      </c>
      <c r="F35" s="24" t="n">
        <f aca="false">MIN(Inputs!$I$83,Inputs!$I$98)</f>
        <v>5</v>
      </c>
      <c r="G35" s="3"/>
      <c r="H35" s="24" t="n">
        <f aca="false">F35</f>
        <v>5</v>
      </c>
      <c r="I35" s="24" t="n">
        <f aca="false">H35-E35</f>
        <v>4.1</v>
      </c>
      <c r="J35" s="25" t="str">
        <f aca="false">IF(E35&lt;=H35,"PASS","FAIL")</f>
        <v>PASS</v>
      </c>
      <c r="K35" s="22" t="s">
        <v>884</v>
      </c>
      <c r="L35" s="3" t="s">
        <v>885</v>
      </c>
      <c r="M35" s="3"/>
      <c r="N35" s="3"/>
      <c r="O35" s="3"/>
      <c r="P35" s="3"/>
      <c r="Q35" s="3"/>
      <c r="R35" s="3"/>
    </row>
    <row r="36" customFormat="false" ht="15" hidden="false" customHeight="true" outlineLevel="0" collapsed="false">
      <c r="A36" s="3" t="s">
        <v>888</v>
      </c>
      <c r="B36" s="3" t="s">
        <v>374</v>
      </c>
      <c r="C36" s="3" t="str">
        <f aca="false">Inputs!$D$48</f>
        <v>MAT-CU-WIRE</v>
      </c>
      <c r="D36" s="3" t="s">
        <v>663</v>
      </c>
      <c r="E36" s="24" t="n">
        <f aca="false">Inputs!$AT$48</f>
        <v>0.5</v>
      </c>
      <c r="F36" s="24" t="n">
        <f aca="false">MIN(Inputs!$I$84,Inputs!$I$99)</f>
        <v>3</v>
      </c>
      <c r="G36" s="3"/>
      <c r="H36" s="24" t="n">
        <f aca="false">F36</f>
        <v>3</v>
      </c>
      <c r="I36" s="24" t="n">
        <f aca="false">H36-E36</f>
        <v>2.5</v>
      </c>
      <c r="J36" s="25" t="str">
        <f aca="false">IF(E36&lt;=H36,"PASS","FAIL")</f>
        <v>PASS</v>
      </c>
      <c r="K36" s="22" t="s">
        <v>884</v>
      </c>
      <c r="L36" s="3" t="s">
        <v>885</v>
      </c>
      <c r="M36" s="3"/>
      <c r="N36" s="3"/>
      <c r="O36" s="3"/>
      <c r="P36" s="3"/>
      <c r="Q36" s="3"/>
      <c r="R36" s="3"/>
    </row>
    <row r="37" customFormat="false" ht="15" hidden="false" customHeight="true" outlineLevel="0" collapsed="false">
      <c r="A37" s="3" t="s">
        <v>889</v>
      </c>
      <c r="B37" s="3" t="s">
        <v>374</v>
      </c>
      <c r="C37" s="3" t="str">
        <f aca="false">Inputs!$D$48</f>
        <v>MAT-CU-WIRE</v>
      </c>
      <c r="D37" s="3" t="s">
        <v>665</v>
      </c>
      <c r="E37" s="24" t="n">
        <f aca="false">Inputs!$AU$48</f>
        <v>4.8</v>
      </c>
      <c r="F37" s="24" t="n">
        <f aca="false">MIN(Inputs!$I$85,Inputs!$I$100)</f>
        <v>10</v>
      </c>
      <c r="G37" s="3"/>
      <c r="H37" s="24" t="n">
        <f aca="false">F37</f>
        <v>10</v>
      </c>
      <c r="I37" s="24" t="n">
        <f aca="false">H37-E37</f>
        <v>5.2</v>
      </c>
      <c r="J37" s="25" t="str">
        <f aca="false">IF(E37&lt;=H37,"PASS","FAIL")</f>
        <v>PASS</v>
      </c>
      <c r="K37" s="22" t="s">
        <v>884</v>
      </c>
      <c r="L37" s="3" t="s">
        <v>885</v>
      </c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3" t="s">
        <v>890</v>
      </c>
      <c r="B38" s="3" t="s">
        <v>374</v>
      </c>
      <c r="C38" s="3" t="str">
        <f aca="false">Inputs!$D$48</f>
        <v>MAT-CU-WIRE</v>
      </c>
      <c r="D38" s="3" t="s">
        <v>667</v>
      </c>
      <c r="E38" s="24" t="n">
        <f aca="false">Inputs!$AV$48</f>
        <v>2.4</v>
      </c>
      <c r="F38" s="24" t="n">
        <f aca="false">MIN(Inputs!$I$86,Inputs!$I$101)</f>
        <v>5</v>
      </c>
      <c r="G38" s="3"/>
      <c r="H38" s="24" t="n">
        <f aca="false">F38</f>
        <v>5</v>
      </c>
      <c r="I38" s="24" t="n">
        <f aca="false">H38-E38</f>
        <v>2.6</v>
      </c>
      <c r="J38" s="25" t="str">
        <f aca="false">IF(E38&lt;=H38,"PASS","FAIL")</f>
        <v>PASS</v>
      </c>
      <c r="K38" s="22" t="s">
        <v>884</v>
      </c>
      <c r="L38" s="3" t="s">
        <v>885</v>
      </c>
      <c r="M38" s="3"/>
      <c r="N38" s="3"/>
      <c r="O38" s="3"/>
      <c r="P38" s="3"/>
      <c r="Q38" s="3"/>
      <c r="R38" s="3"/>
    </row>
    <row r="39" customFormat="false" ht="15" hidden="false" customHeight="true" outlineLevel="0" collapsed="false">
      <c r="A39" s="3" t="s">
        <v>891</v>
      </c>
      <c r="B39" s="3" t="s">
        <v>383</v>
      </c>
      <c r="C39" s="3" t="str">
        <f aca="false">Inputs!$D$49</f>
        <v>MAT-CU-HBPLATE</v>
      </c>
      <c r="D39" s="3" t="s">
        <v>656</v>
      </c>
      <c r="E39" s="24" t="n">
        <f aca="false">Inputs!$AQ$49</f>
        <v>4.8</v>
      </c>
      <c r="F39" s="24" t="n">
        <f aca="false">MIN(Inputs!$I$81,Inputs!$I$90)</f>
        <v>6</v>
      </c>
      <c r="G39" s="3"/>
      <c r="H39" s="24" t="n">
        <f aca="false">F39</f>
        <v>6</v>
      </c>
      <c r="I39" s="24" t="n">
        <f aca="false">H39-E39</f>
        <v>1.2</v>
      </c>
      <c r="J39" s="25" t="str">
        <f aca="false">IF(E39&lt;=H39,"PASS","FAIL")</f>
        <v>PASS</v>
      </c>
      <c r="K39" s="22" t="s">
        <v>892</v>
      </c>
      <c r="L39" s="3" t="s">
        <v>893</v>
      </c>
      <c r="M39" s="3"/>
      <c r="N39" s="3"/>
      <c r="O39" s="3"/>
      <c r="P39" s="3"/>
      <c r="Q39" s="3"/>
      <c r="R39" s="3"/>
    </row>
    <row r="40" customFormat="false" ht="15" hidden="false" customHeight="true" outlineLevel="0" collapsed="false">
      <c r="A40" s="3" t="s">
        <v>894</v>
      </c>
      <c r="B40" s="3" t="s">
        <v>383</v>
      </c>
      <c r="C40" s="3" t="str">
        <f aca="false">Inputs!$D$49</f>
        <v>MAT-CU-HBPLATE</v>
      </c>
      <c r="D40" s="3" t="s">
        <v>659</v>
      </c>
      <c r="E40" s="24" t="n">
        <f aca="false">Inputs!$AR$49</f>
        <v>3.6</v>
      </c>
      <c r="F40" s="24" t="n">
        <f aca="false">MIN(Inputs!$I$82,Inputs!$I$91,Inputs!$I$87)</f>
        <v>4</v>
      </c>
      <c r="G40" s="3"/>
      <c r="H40" s="24" t="n">
        <f aca="false">F40</f>
        <v>4</v>
      </c>
      <c r="I40" s="24" t="n">
        <f aca="false">H40-E40</f>
        <v>0.4</v>
      </c>
      <c r="J40" s="25" t="str">
        <f aca="false">IF(E40&lt;=H40,"PASS","FAIL")</f>
        <v>PASS</v>
      </c>
      <c r="K40" s="22" t="s">
        <v>892</v>
      </c>
      <c r="L40" s="3" t="s">
        <v>893</v>
      </c>
      <c r="M40" s="3"/>
      <c r="N40" s="3"/>
      <c r="O40" s="3"/>
      <c r="P40" s="3"/>
      <c r="Q40" s="3"/>
      <c r="R40" s="3"/>
    </row>
    <row r="41" customFormat="false" ht="15" hidden="false" customHeight="true" outlineLevel="0" collapsed="false">
      <c r="A41" s="3" t="s">
        <v>895</v>
      </c>
      <c r="B41" s="3" t="s">
        <v>383</v>
      </c>
      <c r="C41" s="3" t="str">
        <f aca="false">Inputs!$D$49</f>
        <v>MAT-CU-HBPLATE</v>
      </c>
      <c r="D41" s="3" t="s">
        <v>661</v>
      </c>
      <c r="E41" s="24" t="n">
        <f aca="false">Inputs!$AS$49</f>
        <v>3.2</v>
      </c>
      <c r="F41" s="24" t="n">
        <f aca="false">MIN(Inputs!$I$83,Inputs!$I$92)</f>
        <v>5</v>
      </c>
      <c r="G41" s="3"/>
      <c r="H41" s="24" t="n">
        <f aca="false">F41</f>
        <v>5</v>
      </c>
      <c r="I41" s="24" t="n">
        <f aca="false">H41-E41</f>
        <v>1.8</v>
      </c>
      <c r="J41" s="25" t="str">
        <f aca="false">IF(E41&lt;=H41,"PASS","FAIL")</f>
        <v>PASS</v>
      </c>
      <c r="K41" s="22" t="s">
        <v>892</v>
      </c>
      <c r="L41" s="3" t="s">
        <v>893</v>
      </c>
      <c r="M41" s="3"/>
      <c r="N41" s="3"/>
      <c r="O41" s="3"/>
      <c r="P41" s="3"/>
      <c r="Q41" s="3"/>
      <c r="R41" s="3"/>
    </row>
    <row r="42" customFormat="false" ht="15" hidden="false" customHeight="true" outlineLevel="0" collapsed="false">
      <c r="A42" s="3" t="s">
        <v>896</v>
      </c>
      <c r="B42" s="3" t="s">
        <v>383</v>
      </c>
      <c r="C42" s="3" t="str">
        <f aca="false">Inputs!$D$49</f>
        <v>MAT-CU-HBPLATE</v>
      </c>
      <c r="D42" s="3" t="s">
        <v>663</v>
      </c>
      <c r="E42" s="24" t="n">
        <f aca="false">Inputs!$AT$49</f>
        <v>1.1</v>
      </c>
      <c r="F42" s="24" t="n">
        <f aca="false">MIN(Inputs!$I$84,Inputs!$I$93)</f>
        <v>2.5</v>
      </c>
      <c r="G42" s="3"/>
      <c r="H42" s="24" t="n">
        <f aca="false">F42</f>
        <v>2.5</v>
      </c>
      <c r="I42" s="24" t="n">
        <f aca="false">H42-E42</f>
        <v>1.4</v>
      </c>
      <c r="J42" s="25" t="str">
        <f aca="false">IF(E42&lt;=H42,"PASS","FAIL")</f>
        <v>PASS</v>
      </c>
      <c r="K42" s="22" t="s">
        <v>892</v>
      </c>
      <c r="L42" s="3" t="s">
        <v>893</v>
      </c>
      <c r="M42" s="3"/>
      <c r="N42" s="3"/>
      <c r="O42" s="3"/>
      <c r="P42" s="3"/>
      <c r="Q42" s="3"/>
      <c r="R42" s="3"/>
    </row>
    <row r="43" customFormat="false" ht="15" hidden="false" customHeight="true" outlineLevel="0" collapsed="false">
      <c r="A43" s="3" t="s">
        <v>897</v>
      </c>
      <c r="B43" s="3" t="s">
        <v>383</v>
      </c>
      <c r="C43" s="3" t="str">
        <f aca="false">Inputs!$D$49</f>
        <v>MAT-CU-HBPLATE</v>
      </c>
      <c r="D43" s="3" t="s">
        <v>665</v>
      </c>
      <c r="E43" s="24" t="n">
        <f aca="false">Inputs!$AU$49</f>
        <v>5</v>
      </c>
      <c r="F43" s="24" t="n">
        <f aca="false">MIN(Inputs!$I$85,Inputs!$I$94)</f>
        <v>8</v>
      </c>
      <c r="G43" s="3"/>
      <c r="H43" s="24" t="n">
        <f aca="false">F43</f>
        <v>8</v>
      </c>
      <c r="I43" s="24" t="n">
        <f aca="false">H43-E43</f>
        <v>3</v>
      </c>
      <c r="J43" s="25" t="str">
        <f aca="false">IF(E43&lt;=H43,"PASS","FAIL")</f>
        <v>PASS</v>
      </c>
      <c r="K43" s="22" t="s">
        <v>892</v>
      </c>
      <c r="L43" s="3" t="s">
        <v>893</v>
      </c>
      <c r="M43" s="3"/>
      <c r="N43" s="3"/>
      <c r="O43" s="3"/>
      <c r="P43" s="3"/>
      <c r="Q43" s="3"/>
      <c r="R43" s="3"/>
    </row>
    <row r="44" customFormat="false" ht="15" hidden="false" customHeight="true" outlineLevel="0" collapsed="false">
      <c r="A44" s="3" t="s">
        <v>898</v>
      </c>
      <c r="B44" s="3" t="s">
        <v>383</v>
      </c>
      <c r="C44" s="3" t="str">
        <f aca="false">Inputs!$D$49</f>
        <v>MAT-CU-HBPLATE</v>
      </c>
      <c r="D44" s="3" t="s">
        <v>667</v>
      </c>
      <c r="E44" s="24" t="n">
        <f aca="false">Inputs!$AV$49</f>
        <v>3.9</v>
      </c>
      <c r="F44" s="24" t="n">
        <f aca="false">MIN(Inputs!$I$86,Inputs!$I$95)</f>
        <v>8</v>
      </c>
      <c r="G44" s="3"/>
      <c r="H44" s="24" t="n">
        <f aca="false">F44</f>
        <v>8</v>
      </c>
      <c r="I44" s="24" t="n">
        <f aca="false">H44-E44</f>
        <v>4.1</v>
      </c>
      <c r="J44" s="25" t="str">
        <f aca="false">IF(E44&lt;=H44,"PASS","FAIL")</f>
        <v>PASS</v>
      </c>
      <c r="K44" s="22" t="s">
        <v>892</v>
      </c>
      <c r="L44" s="3" t="s">
        <v>893</v>
      </c>
      <c r="M44" s="3"/>
      <c r="N44" s="3"/>
      <c r="O44" s="3"/>
      <c r="P44" s="3"/>
      <c r="Q44" s="3"/>
      <c r="R44" s="3"/>
    </row>
    <row r="45" customFormat="false" ht="15" hidden="false" customHeight="true" outlineLevel="0" collapsed="false">
      <c r="A45" s="3" t="s">
        <v>899</v>
      </c>
      <c r="B45" s="3" t="s">
        <v>394</v>
      </c>
      <c r="C45" s="3" t="str">
        <f aca="false">Inputs!$D$50</f>
        <v>MAT-CU-HBPLATE</v>
      </c>
      <c r="D45" s="3" t="s">
        <v>656</v>
      </c>
      <c r="E45" s="24" t="n">
        <f aca="false">Inputs!$AQ$50</f>
        <v>4.6</v>
      </c>
      <c r="F45" s="24" t="n">
        <f aca="false">MIN(Inputs!$I$81,Inputs!$I$90)</f>
        <v>6</v>
      </c>
      <c r="G45" s="3"/>
      <c r="H45" s="24" t="n">
        <f aca="false">F45</f>
        <v>6</v>
      </c>
      <c r="I45" s="24" t="n">
        <f aca="false">H45-E45</f>
        <v>1.4</v>
      </c>
      <c r="J45" s="25" t="str">
        <f aca="false">IF(E45&lt;=H45,"PASS","FAIL")</f>
        <v>PASS</v>
      </c>
      <c r="K45" s="22" t="s">
        <v>900</v>
      </c>
      <c r="L45" s="3" t="s">
        <v>893</v>
      </c>
      <c r="M45" s="3"/>
      <c r="N45" s="3"/>
      <c r="O45" s="3"/>
      <c r="P45" s="3"/>
      <c r="Q45" s="3"/>
      <c r="R45" s="3"/>
    </row>
    <row r="46" customFormat="false" ht="15" hidden="false" customHeight="true" outlineLevel="0" collapsed="false">
      <c r="A46" s="3" t="s">
        <v>901</v>
      </c>
      <c r="B46" s="3" t="s">
        <v>394</v>
      </c>
      <c r="C46" s="3" t="str">
        <f aca="false">Inputs!$D$50</f>
        <v>MAT-CU-HBPLATE</v>
      </c>
      <c r="D46" s="3" t="s">
        <v>659</v>
      </c>
      <c r="E46" s="24" t="n">
        <f aca="false">Inputs!$AR$50</f>
        <v>5</v>
      </c>
      <c r="F46" s="24" t="n">
        <f aca="false">MIN(Inputs!$I$82,Inputs!$I$91,Inputs!$I$87)</f>
        <v>4</v>
      </c>
      <c r="G46" s="3"/>
      <c r="H46" s="24" t="n">
        <f aca="false">F46</f>
        <v>4</v>
      </c>
      <c r="I46" s="24" t="n">
        <f aca="false">H46-E46</f>
        <v>-1</v>
      </c>
      <c r="J46" s="25" t="str">
        <f aca="false">IF(E46&lt;=H46,"PASS","FAIL")</f>
        <v>FAIL</v>
      </c>
      <c r="K46" s="22" t="s">
        <v>900</v>
      </c>
      <c r="L46" s="3" t="s">
        <v>893</v>
      </c>
      <c r="M46" s="3"/>
      <c r="N46" s="3"/>
      <c r="O46" s="3"/>
      <c r="P46" s="3"/>
      <c r="Q46" s="3"/>
      <c r="R46" s="3"/>
    </row>
    <row r="47" customFormat="false" ht="15" hidden="false" customHeight="true" outlineLevel="0" collapsed="false">
      <c r="A47" s="3" t="s">
        <v>902</v>
      </c>
      <c r="B47" s="3" t="s">
        <v>394</v>
      </c>
      <c r="C47" s="3" t="str">
        <f aca="false">Inputs!$D$50</f>
        <v>MAT-CU-HBPLATE</v>
      </c>
      <c r="D47" s="3" t="s">
        <v>661</v>
      </c>
      <c r="E47" s="24" t="n">
        <f aca="false">Inputs!$AS$50</f>
        <v>4.6</v>
      </c>
      <c r="F47" s="24" t="n">
        <f aca="false">MIN(Inputs!$I$83,Inputs!$I$92)</f>
        <v>5</v>
      </c>
      <c r="G47" s="3"/>
      <c r="H47" s="24" t="n">
        <f aca="false">F47</f>
        <v>5</v>
      </c>
      <c r="I47" s="24" t="n">
        <f aca="false">H47-E47</f>
        <v>0.4</v>
      </c>
      <c r="J47" s="25" t="str">
        <f aca="false">IF(E47&lt;=H47,"PASS","FAIL")</f>
        <v>PASS</v>
      </c>
      <c r="K47" s="22" t="s">
        <v>900</v>
      </c>
      <c r="L47" s="3" t="s">
        <v>893</v>
      </c>
      <c r="M47" s="3"/>
      <c r="N47" s="3"/>
      <c r="O47" s="3"/>
      <c r="P47" s="3"/>
      <c r="Q47" s="3"/>
      <c r="R47" s="3"/>
    </row>
    <row r="48" customFormat="false" ht="15" hidden="false" customHeight="true" outlineLevel="0" collapsed="false">
      <c r="A48" s="3" t="s">
        <v>903</v>
      </c>
      <c r="B48" s="3" t="s">
        <v>394</v>
      </c>
      <c r="C48" s="3" t="str">
        <f aca="false">Inputs!$D$50</f>
        <v>MAT-CU-HBPLATE</v>
      </c>
      <c r="D48" s="3" t="s">
        <v>663</v>
      </c>
      <c r="E48" s="24" t="n">
        <f aca="false">Inputs!$AT$50</f>
        <v>1.2</v>
      </c>
      <c r="F48" s="24" t="n">
        <f aca="false">MIN(Inputs!$I$84,Inputs!$I$93)</f>
        <v>2.5</v>
      </c>
      <c r="G48" s="3"/>
      <c r="H48" s="24" t="n">
        <f aca="false">F48</f>
        <v>2.5</v>
      </c>
      <c r="I48" s="24" t="n">
        <f aca="false">H48-E48</f>
        <v>1.3</v>
      </c>
      <c r="J48" s="25" t="str">
        <f aca="false">IF(E48&lt;=H48,"PASS","FAIL")</f>
        <v>PASS</v>
      </c>
      <c r="K48" s="22" t="s">
        <v>900</v>
      </c>
      <c r="L48" s="3" t="s">
        <v>893</v>
      </c>
      <c r="M48" s="3"/>
      <c r="N48" s="3"/>
      <c r="O48" s="3"/>
      <c r="P48" s="3"/>
      <c r="Q48" s="3"/>
      <c r="R48" s="3"/>
    </row>
    <row r="49" customFormat="false" ht="15" hidden="false" customHeight="true" outlineLevel="0" collapsed="false">
      <c r="A49" s="3" t="s">
        <v>904</v>
      </c>
      <c r="B49" s="3" t="s">
        <v>394</v>
      </c>
      <c r="C49" s="3" t="str">
        <f aca="false">Inputs!$D$50</f>
        <v>MAT-CU-HBPLATE</v>
      </c>
      <c r="D49" s="3" t="s">
        <v>665</v>
      </c>
      <c r="E49" s="24" t="n">
        <f aca="false">Inputs!$AU$50</f>
        <v>5.4</v>
      </c>
      <c r="F49" s="24" t="n">
        <f aca="false">MIN(Inputs!$I$85,Inputs!$I$94)</f>
        <v>8</v>
      </c>
      <c r="G49" s="3"/>
      <c r="H49" s="24" t="n">
        <f aca="false">F49</f>
        <v>8</v>
      </c>
      <c r="I49" s="24" t="n">
        <f aca="false">H49-E49</f>
        <v>2.6</v>
      </c>
      <c r="J49" s="25" t="str">
        <f aca="false">IF(E49&lt;=H49,"PASS","FAIL")</f>
        <v>PASS</v>
      </c>
      <c r="K49" s="22" t="s">
        <v>900</v>
      </c>
      <c r="L49" s="3" t="s">
        <v>893</v>
      </c>
      <c r="M49" s="3"/>
      <c r="N49" s="3"/>
      <c r="O49" s="3"/>
      <c r="P49" s="3"/>
      <c r="Q49" s="3"/>
      <c r="R49" s="3"/>
    </row>
    <row r="50" customFormat="false" ht="15" hidden="false" customHeight="true" outlineLevel="0" collapsed="false">
      <c r="A50" s="3" t="s">
        <v>905</v>
      </c>
      <c r="B50" s="3" t="s">
        <v>394</v>
      </c>
      <c r="C50" s="3" t="str">
        <f aca="false">Inputs!$D$50</f>
        <v>MAT-CU-HBPLATE</v>
      </c>
      <c r="D50" s="3" t="s">
        <v>667</v>
      </c>
      <c r="E50" s="24" t="n">
        <f aca="false">Inputs!$AV$50</f>
        <v>4.7</v>
      </c>
      <c r="F50" s="24" t="n">
        <f aca="false">MIN(Inputs!$I$86,Inputs!$I$95)</f>
        <v>8</v>
      </c>
      <c r="G50" s="3"/>
      <c r="H50" s="24" t="n">
        <f aca="false">F50</f>
        <v>8</v>
      </c>
      <c r="I50" s="24" t="n">
        <f aca="false">H50-E50</f>
        <v>3.3</v>
      </c>
      <c r="J50" s="25" t="str">
        <f aca="false">IF(E50&lt;=H50,"PASS","FAIL")</f>
        <v>PASS</v>
      </c>
      <c r="K50" s="22" t="s">
        <v>900</v>
      </c>
      <c r="L50" s="3" t="s">
        <v>893</v>
      </c>
      <c r="M50" s="3"/>
      <c r="N50" s="3"/>
      <c r="O50" s="3"/>
      <c r="P50" s="3"/>
      <c r="Q50" s="3"/>
      <c r="R50" s="3"/>
    </row>
    <row r="51" customFormat="false" ht="15" hidden="false" customHeight="true" outlineLevel="0" collapsed="false">
      <c r="A51" s="3" t="s">
        <v>906</v>
      </c>
      <c r="B51" s="3" t="s">
        <v>402</v>
      </c>
      <c r="C51" s="3" t="str">
        <f aca="false">Inputs!$D$52</f>
        <v>MAT-CU3SN-ETA</v>
      </c>
      <c r="D51" s="3" t="s">
        <v>656</v>
      </c>
      <c r="E51" s="24" t="n">
        <f aca="false">Inputs!$AQ$52</f>
        <v>4.4</v>
      </c>
      <c r="F51" s="24" t="n">
        <f aca="false">MIN(Inputs!$I$81)</f>
        <v>8</v>
      </c>
      <c r="G51" s="3"/>
      <c r="H51" s="24" t="n">
        <f aca="false">F51</f>
        <v>8</v>
      </c>
      <c r="I51" s="24" t="n">
        <f aca="false">H51-E51</f>
        <v>3.6</v>
      </c>
      <c r="J51" s="25" t="str">
        <f aca="false">IF(E51&lt;=H51,"PASS","FAIL")</f>
        <v>PASS</v>
      </c>
      <c r="K51" s="22" t="s">
        <v>907</v>
      </c>
      <c r="L51" s="3" t="s">
        <v>877</v>
      </c>
      <c r="M51" s="3"/>
      <c r="N51" s="3"/>
      <c r="O51" s="3"/>
      <c r="P51" s="3"/>
      <c r="Q51" s="3"/>
      <c r="R51" s="3"/>
    </row>
    <row r="52" customFormat="false" ht="15" hidden="false" customHeight="true" outlineLevel="0" collapsed="false">
      <c r="A52" s="3" t="s">
        <v>908</v>
      </c>
      <c r="B52" s="3" t="s">
        <v>402</v>
      </c>
      <c r="C52" s="3" t="str">
        <f aca="false">Inputs!$D$52</f>
        <v>MAT-CU3SN-ETA</v>
      </c>
      <c r="D52" s="3" t="s">
        <v>659</v>
      </c>
      <c r="E52" s="24" t="n">
        <f aca="false">Inputs!$AR$52</f>
        <v>3.9</v>
      </c>
      <c r="F52" s="24" t="n">
        <f aca="false">MIN(Inputs!$I$82,Inputs!$I$87)</f>
        <v>4</v>
      </c>
      <c r="G52" s="3"/>
      <c r="H52" s="24" t="n">
        <f aca="false">F52</f>
        <v>4</v>
      </c>
      <c r="I52" s="24" t="n">
        <f aca="false">H52-E52</f>
        <v>0.1</v>
      </c>
      <c r="J52" s="25" t="str">
        <f aca="false">IF(E52&lt;=H52,"PASS","FAIL")</f>
        <v>PASS</v>
      </c>
      <c r="K52" s="22" t="s">
        <v>907</v>
      </c>
      <c r="L52" s="3" t="s">
        <v>877</v>
      </c>
      <c r="M52" s="3"/>
      <c r="N52" s="3"/>
      <c r="O52" s="3"/>
      <c r="P52" s="3"/>
      <c r="Q52" s="3"/>
      <c r="R52" s="3"/>
    </row>
    <row r="53" customFormat="false" ht="15" hidden="false" customHeight="true" outlineLevel="0" collapsed="false">
      <c r="A53" s="3" t="s">
        <v>909</v>
      </c>
      <c r="B53" s="3" t="s">
        <v>402</v>
      </c>
      <c r="C53" s="3" t="str">
        <f aca="false">Inputs!$D$52</f>
        <v>MAT-CU3SN-ETA</v>
      </c>
      <c r="D53" s="3" t="s">
        <v>661</v>
      </c>
      <c r="E53" s="24" t="n">
        <f aca="false">Inputs!$AS$52</f>
        <v>5.4</v>
      </c>
      <c r="F53" s="24" t="n">
        <f aca="false">MIN(Inputs!$I$83)</f>
        <v>5</v>
      </c>
      <c r="G53" s="3"/>
      <c r="H53" s="24" t="n">
        <f aca="false">F53</f>
        <v>5</v>
      </c>
      <c r="I53" s="24" t="n">
        <f aca="false">H53-E53</f>
        <v>-0.4</v>
      </c>
      <c r="J53" s="25" t="str">
        <f aca="false">IF(E53&lt;=H53,"PASS","FAIL")</f>
        <v>FAIL</v>
      </c>
      <c r="K53" s="22" t="s">
        <v>907</v>
      </c>
      <c r="L53" s="3" t="s">
        <v>877</v>
      </c>
      <c r="M53" s="3"/>
      <c r="N53" s="3"/>
      <c r="O53" s="3"/>
      <c r="P53" s="3"/>
      <c r="Q53" s="3"/>
      <c r="R53" s="3"/>
    </row>
    <row r="54" customFormat="false" ht="15" hidden="false" customHeight="true" outlineLevel="0" collapsed="false">
      <c r="A54" s="3" t="s">
        <v>910</v>
      </c>
      <c r="B54" s="3" t="s">
        <v>402</v>
      </c>
      <c r="C54" s="3" t="str">
        <f aca="false">Inputs!$D$52</f>
        <v>MAT-CU3SN-ETA</v>
      </c>
      <c r="D54" s="3" t="s">
        <v>663</v>
      </c>
      <c r="E54" s="24" t="n">
        <f aca="false">Inputs!$AT$52</f>
        <v>1</v>
      </c>
      <c r="F54" s="24" t="n">
        <f aca="false">MIN(Inputs!$I$84)</f>
        <v>3</v>
      </c>
      <c r="G54" s="3"/>
      <c r="H54" s="24" t="n">
        <f aca="false">F54</f>
        <v>3</v>
      </c>
      <c r="I54" s="24" t="n">
        <f aca="false">H54-E54</f>
        <v>2</v>
      </c>
      <c r="J54" s="25" t="str">
        <f aca="false">IF(E54&lt;=H54,"PASS","FAIL")</f>
        <v>PASS</v>
      </c>
      <c r="K54" s="22" t="s">
        <v>907</v>
      </c>
      <c r="L54" s="3" t="s">
        <v>877</v>
      </c>
      <c r="M54" s="3"/>
      <c r="N54" s="3"/>
      <c r="O54" s="3"/>
      <c r="P54" s="3"/>
      <c r="Q54" s="3"/>
      <c r="R54" s="3"/>
    </row>
    <row r="55" customFormat="false" ht="15" hidden="false" customHeight="true" outlineLevel="0" collapsed="false">
      <c r="A55" s="3" t="s">
        <v>911</v>
      </c>
      <c r="B55" s="3" t="s">
        <v>402</v>
      </c>
      <c r="C55" s="3" t="str">
        <f aca="false">Inputs!$D$52</f>
        <v>MAT-CU3SN-ETA</v>
      </c>
      <c r="D55" s="3" t="s">
        <v>665</v>
      </c>
      <c r="E55" s="24" t="n">
        <f aca="false">Inputs!$AU$52</f>
        <v>6</v>
      </c>
      <c r="F55" s="24" t="n">
        <f aca="false">MIN(Inputs!$I$85)</f>
        <v>10</v>
      </c>
      <c r="G55" s="3"/>
      <c r="H55" s="24" t="n">
        <f aca="false">F55</f>
        <v>10</v>
      </c>
      <c r="I55" s="24" t="n">
        <f aca="false">H55-E55</f>
        <v>4</v>
      </c>
      <c r="J55" s="25" t="str">
        <f aca="false">IF(E55&lt;=H55,"PASS","FAIL")</f>
        <v>PASS</v>
      </c>
      <c r="K55" s="22" t="s">
        <v>907</v>
      </c>
      <c r="L55" s="3" t="s">
        <v>877</v>
      </c>
      <c r="M55" s="3"/>
      <c r="N55" s="3"/>
      <c r="O55" s="3"/>
      <c r="P55" s="3"/>
      <c r="Q55" s="3"/>
      <c r="R55" s="3"/>
    </row>
    <row r="56" customFormat="false" ht="15" hidden="false" customHeight="true" outlineLevel="0" collapsed="false">
      <c r="A56" s="3" t="s">
        <v>912</v>
      </c>
      <c r="B56" s="3" t="s">
        <v>402</v>
      </c>
      <c r="C56" s="3" t="str">
        <f aca="false">Inputs!$D$52</f>
        <v>MAT-CU3SN-ETA</v>
      </c>
      <c r="D56" s="3" t="s">
        <v>667</v>
      </c>
      <c r="E56" s="24" t="n">
        <f aca="false">Inputs!$AV$52</f>
        <v>4.1</v>
      </c>
      <c r="F56" s="24" t="n">
        <f aca="false">MIN(Inputs!$I$86)</f>
        <v>10</v>
      </c>
      <c r="G56" s="3"/>
      <c r="H56" s="24" t="n">
        <f aca="false">F56</f>
        <v>10</v>
      </c>
      <c r="I56" s="24" t="n">
        <f aca="false">H56-E56</f>
        <v>5.9</v>
      </c>
      <c r="J56" s="25" t="str">
        <f aca="false">IF(E56&lt;=H56,"PASS","FAIL")</f>
        <v>PASS</v>
      </c>
      <c r="K56" s="22" t="s">
        <v>907</v>
      </c>
      <c r="L56" s="3" t="s">
        <v>877</v>
      </c>
      <c r="M56" s="3"/>
      <c r="N56" s="3"/>
      <c r="O56" s="3"/>
      <c r="P56" s="3"/>
      <c r="Q56" s="3"/>
      <c r="R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customFormat="false" ht="15" hidden="false" customHeight="true" outlineLevel="0" collapsed="false">
      <c r="A59" s="19" t="s">
        <v>913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3"/>
      <c r="N59" s="3"/>
      <c r="O59" s="3"/>
      <c r="P59" s="3"/>
      <c r="Q59" s="3"/>
      <c r="R59" s="3"/>
    </row>
    <row r="60" customFormat="false" ht="36" hidden="false" customHeight="true" outlineLevel="0" collapsed="false">
      <c r="A60" s="2" t="s">
        <v>804</v>
      </c>
      <c r="B60" s="2" t="s">
        <v>42</v>
      </c>
      <c r="C60" s="2" t="s">
        <v>39</v>
      </c>
      <c r="D60" s="2" t="s">
        <v>736</v>
      </c>
      <c r="E60" s="2" t="s">
        <v>914</v>
      </c>
      <c r="F60" s="2" t="s">
        <v>53</v>
      </c>
      <c r="G60" s="2" t="s">
        <v>915</v>
      </c>
      <c r="H60" s="2" t="s">
        <v>916</v>
      </c>
      <c r="I60" s="2" t="s">
        <v>872</v>
      </c>
      <c r="J60" s="2" t="s">
        <v>917</v>
      </c>
      <c r="K60" s="2" t="s">
        <v>814</v>
      </c>
      <c r="L60" s="2" t="s">
        <v>649</v>
      </c>
      <c r="M60" s="3"/>
      <c r="N60" s="3"/>
      <c r="O60" s="3"/>
      <c r="P60" s="3"/>
      <c r="Q60" s="3"/>
      <c r="R60" s="3"/>
    </row>
    <row r="61" customFormat="false" ht="29.25" hidden="false" customHeight="true" outlineLevel="0" collapsed="false">
      <c r="A61" s="3" t="s">
        <v>918</v>
      </c>
      <c r="B61" s="3" t="s">
        <v>347</v>
      </c>
      <c r="C61" s="3" t="s">
        <v>346</v>
      </c>
      <c r="D61" s="3" t="s">
        <v>742</v>
      </c>
      <c r="E61" s="26" t="n">
        <f aca="false">Inputs!$Q$33</f>
        <v>101.52</v>
      </c>
      <c r="F61" s="3" t="s">
        <v>743</v>
      </c>
      <c r="G61" s="3" t="n">
        <v>100.5</v>
      </c>
      <c r="H61" s="3" t="s">
        <v>919</v>
      </c>
      <c r="I61" s="25" t="str">
        <f aca="false">IF(E61&gt;=G61,"PASS","FAIL")</f>
        <v>PASS</v>
      </c>
      <c r="J61" s="3" t="s">
        <v>920</v>
      </c>
      <c r="K61" s="22" t="s">
        <v>921</v>
      </c>
      <c r="L61" s="22" t="str">
        <f aca="false">Inputs!$I$33</f>
        <v>LAB-COND · conductivity_panel_tests.csv</v>
      </c>
      <c r="M61" s="3"/>
      <c r="N61" s="3"/>
      <c r="O61" s="3"/>
      <c r="P61" s="3"/>
      <c r="Q61" s="3"/>
      <c r="R61" s="3"/>
    </row>
    <row r="62" customFormat="false" ht="29.25" hidden="false" customHeight="true" outlineLevel="0" collapsed="false">
      <c r="A62" s="3" t="s">
        <v>922</v>
      </c>
      <c r="B62" s="3" t="s">
        <v>383</v>
      </c>
      <c r="C62" s="3" t="s">
        <v>382</v>
      </c>
      <c r="D62" s="3" t="s">
        <v>742</v>
      </c>
      <c r="E62" s="26" t="n">
        <f aca="false">Inputs!$Q$36</f>
        <v>100.9</v>
      </c>
      <c r="F62" s="3" t="s">
        <v>743</v>
      </c>
      <c r="G62" s="3" t="n">
        <v>100.5</v>
      </c>
      <c r="H62" s="3" t="s">
        <v>919</v>
      </c>
      <c r="I62" s="25" t="str">
        <f aca="false">IF(E62&gt;=G62,"PASS","FAIL")</f>
        <v>PASS</v>
      </c>
      <c r="J62" s="3" t="s">
        <v>923</v>
      </c>
      <c r="K62" s="22" t="s">
        <v>924</v>
      </c>
      <c r="L62" s="22" t="str">
        <f aca="false">Inputs!$I$36</f>
        <v>LAB-COND · conductivity_panel_tests.csv</v>
      </c>
      <c r="M62" s="3"/>
      <c r="N62" s="3"/>
      <c r="O62" s="3"/>
      <c r="P62" s="3"/>
      <c r="Q62" s="3"/>
      <c r="R62" s="3"/>
    </row>
    <row r="63" customFormat="false" ht="29.25" hidden="false" customHeight="true" outlineLevel="0" collapsed="false">
      <c r="A63" s="3" t="s">
        <v>925</v>
      </c>
      <c r="B63" s="3" t="s">
        <v>394</v>
      </c>
      <c r="C63" s="3" t="s">
        <v>393</v>
      </c>
      <c r="D63" s="3" t="s">
        <v>742</v>
      </c>
      <c r="E63" s="26" t="n">
        <f aca="false">Inputs!$Q$38</f>
        <v>97.85</v>
      </c>
      <c r="F63" s="3" t="s">
        <v>743</v>
      </c>
      <c r="G63" s="3" t="n">
        <v>100.5</v>
      </c>
      <c r="H63" s="3" t="s">
        <v>919</v>
      </c>
      <c r="I63" s="25" t="str">
        <f aca="false">IF(E63&gt;=G63,"PASS","FAIL")</f>
        <v>FAIL</v>
      </c>
      <c r="J63" s="3" t="s">
        <v>920</v>
      </c>
      <c r="K63" s="22" t="s">
        <v>926</v>
      </c>
      <c r="L63" s="22" t="str">
        <f aca="false">Inputs!$I$38</f>
        <v>LAB-COND · conductivity_panel_tests.csv</v>
      </c>
      <c r="M63" s="3"/>
      <c r="N63" s="3"/>
      <c r="O63" s="3"/>
      <c r="P63" s="3"/>
      <c r="Q63" s="3"/>
      <c r="R63" s="3"/>
    </row>
    <row r="64" customFormat="false" ht="29.25" hidden="false" customHeight="true" outlineLevel="0" collapsed="false">
      <c r="A64" s="3" t="s">
        <v>927</v>
      </c>
      <c r="B64" s="3" t="s">
        <v>383</v>
      </c>
      <c r="C64" s="3" t="s">
        <v>614</v>
      </c>
      <c r="D64" s="3" t="s">
        <v>928</v>
      </c>
      <c r="E64" s="20" t="n">
        <f aca="false">Inputs!$AY$72</f>
        <v>18.4</v>
      </c>
      <c r="F64" s="3" t="s">
        <v>618</v>
      </c>
      <c r="G64" s="3" t="n">
        <v>17.5</v>
      </c>
      <c r="H64" s="3" t="s">
        <v>919</v>
      </c>
      <c r="I64" s="25" t="str">
        <f aca="false">IF(E64&gt;=G64,"PASS","FAIL")</f>
        <v>PASS</v>
      </c>
      <c r="J64" s="3" t="s">
        <v>929</v>
      </c>
      <c r="K64" s="22" t="s">
        <v>930</v>
      </c>
      <c r="L64" s="22" t="str">
        <f aca="false">Inputs!$I$72</f>
        <v>PCN-HB-044 / XR-17 log · 2026-07-08.log</v>
      </c>
      <c r="M64" s="3"/>
      <c r="N64" s="3"/>
      <c r="O64" s="3"/>
      <c r="P64" s="3"/>
      <c r="Q64" s="3"/>
      <c r="R64" s="3"/>
    </row>
    <row r="65" customFormat="false" ht="29.25" hidden="false" customHeight="true" outlineLevel="0" collapsed="false">
      <c r="A65" s="3" t="s">
        <v>931</v>
      </c>
      <c r="B65" s="3" t="s">
        <v>394</v>
      </c>
      <c r="C65" s="3" t="s">
        <v>626</v>
      </c>
      <c r="D65" s="3" t="s">
        <v>928</v>
      </c>
      <c r="E65" s="20" t="n">
        <f aca="false">Inputs!$AY$73</f>
        <v>17.8</v>
      </c>
      <c r="F65" s="3" t="s">
        <v>618</v>
      </c>
      <c r="G65" s="3" t="n">
        <v>17.5</v>
      </c>
      <c r="H65" s="3" t="s">
        <v>919</v>
      </c>
      <c r="I65" s="25" t="str">
        <f aca="false">IF(E65&gt;=G65,"PASS","FAIL")</f>
        <v>PASS</v>
      </c>
      <c r="J65" s="3" t="s">
        <v>929</v>
      </c>
      <c r="K65" s="22" t="s">
        <v>932</v>
      </c>
      <c r="L65" s="22" t="str">
        <f aca="false">Inputs!$I$73</f>
        <v>PCN-HB-044 / XR-17 log · 2026-07-08.log</v>
      </c>
      <c r="M65" s="3"/>
      <c r="N65" s="3"/>
      <c r="O65" s="3"/>
      <c r="P65" s="3"/>
      <c r="Q65" s="3"/>
      <c r="R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customFormat="false" ht="15" hidden="false" customHeight="true" outlineLevel="0" collapsed="false">
      <c r="A69" s="19" t="s">
        <v>933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3"/>
    </row>
    <row r="70" customFormat="false" ht="37.5" hidden="false" customHeight="true" outlineLevel="0" collapsed="false">
      <c r="A70" s="2" t="s">
        <v>42</v>
      </c>
      <c r="B70" s="2" t="s">
        <v>805</v>
      </c>
      <c r="C70" s="2" t="s">
        <v>934</v>
      </c>
      <c r="D70" s="2" t="s">
        <v>935</v>
      </c>
      <c r="E70" s="2" t="s">
        <v>936</v>
      </c>
      <c r="F70" s="2" t="s">
        <v>937</v>
      </c>
      <c r="G70" s="2" t="s">
        <v>938</v>
      </c>
      <c r="H70" s="2" t="s">
        <v>939</v>
      </c>
      <c r="I70" s="2" t="s">
        <v>940</v>
      </c>
      <c r="J70" s="2" t="s">
        <v>941</v>
      </c>
      <c r="K70" s="2" t="s">
        <v>942</v>
      </c>
      <c r="L70" s="2" t="s">
        <v>943</v>
      </c>
      <c r="M70" s="2" t="s">
        <v>944</v>
      </c>
      <c r="N70" s="2" t="s">
        <v>945</v>
      </c>
      <c r="O70" s="2" t="s">
        <v>946</v>
      </c>
      <c r="P70" s="2" t="s">
        <v>947</v>
      </c>
      <c r="Q70" s="2" t="s">
        <v>817</v>
      </c>
      <c r="R70" s="3"/>
    </row>
    <row r="71" customFormat="false" ht="27.75" hidden="false" customHeight="true" outlineLevel="0" collapsed="false">
      <c r="A71" s="3" t="s">
        <v>347</v>
      </c>
      <c r="B71" s="3" t="s">
        <v>145</v>
      </c>
      <c r="C71" s="21" t="b">
        <f aca="false">--(COUNTIFS($B$27:$B$56,A71,$J$27:$J$56,"FAIL")&gt;0)</f>
        <v>0</v>
      </c>
      <c r="D71" s="21" t="b">
        <f aca="false">--(COUNTIFS($B$61:$B$65,A71,$D$61:$D$65,"minimum_conductivity",$I$61:$I$65,"FAIL")&gt;0)</f>
        <v>0</v>
      </c>
      <c r="E71" s="3" t="n">
        <f aca="false">IF(A71="LOT-CU-2607-D",--($L$21&lt;10),0)</f>
        <v>0</v>
      </c>
      <c r="F71" s="21" t="b">
        <f aca="false">--(COUNTIFS(Inputs!$F$2:$F$75,A71,Inputs!$AC$2:$AC$75,"Yes")&gt;0)</f>
        <v>0</v>
      </c>
      <c r="G71" s="21" t="b">
        <f aca="false">--(COUNTIF($M$4:$M$10,"*literature*")&gt;0)</f>
        <v>0</v>
      </c>
      <c r="H71" s="21" t="b">
        <f aca="false">--(COUNTIFS(Inputs!$F$2:$F$75,A71,Inputs!$AA$2:$AA$75,"*not resolved*")&gt;0)</f>
        <v>0</v>
      </c>
      <c r="I71" s="27" t="n">
        <f aca="false">C71*RiskWeight_Chemical</f>
        <v>0</v>
      </c>
      <c r="J71" s="27" t="n">
        <f aca="false">D71*RiskWeight_Electrical</f>
        <v>0</v>
      </c>
      <c r="K71" s="27" t="n">
        <f aca="false">E71*RiskWeight_ResistanceMargin</f>
        <v>0</v>
      </c>
      <c r="L71" s="27" t="n">
        <f aca="false">F71*RiskWeight_DocumentedException</f>
        <v>0</v>
      </c>
      <c r="M71" s="27" t="n">
        <f aca="false">G71*RiskWeight_LiteratureOnly</f>
        <v>0</v>
      </c>
      <c r="N71" s="27" t="n">
        <f aca="false">H71*RiskWeight_CatalogQuality</f>
        <v>0</v>
      </c>
      <c r="O71" s="27" t="n">
        <f aca="false">SUM(I71:N71)</f>
        <v>0</v>
      </c>
      <c r="P71" s="25" t="str">
        <f aca="false">IF(O71&gt;=RiskThreshold_Hold,"HOLD",IF(O71&gt;=RiskThreshold_Conditional,"CONDITIONAL","RELEASE"))</f>
        <v>RELEASE</v>
      </c>
      <c r="Q71" s="3" t="s">
        <v>948</v>
      </c>
      <c r="R71" s="3"/>
    </row>
    <row r="72" customFormat="false" ht="27.75" hidden="false" customHeight="true" outlineLevel="0" collapsed="false">
      <c r="A72" s="3" t="s">
        <v>374</v>
      </c>
      <c r="B72" s="3" t="s">
        <v>372</v>
      </c>
      <c r="C72" s="21" t="b">
        <f aca="false">--(COUNTIFS($B$27:$B$56,A72,$J$27:$J$56,"FAIL")&gt;0)</f>
        <v>0</v>
      </c>
      <c r="D72" s="21" t="b">
        <f aca="false">--(COUNTIFS($B$61:$B$65,A72,$D$61:$D$65,"minimum_conductivity",$I$61:$I$65,"FAIL")&gt;0)</f>
        <v>0</v>
      </c>
      <c r="E72" s="3" t="n">
        <f aca="false">IF(A72="LOT-CU-2607-D",--($L$21&lt;10),0)</f>
        <v>0</v>
      </c>
      <c r="F72" s="21" t="b">
        <f aca="false">--(COUNTIFS(Inputs!$F$2:$F$75,A72,Inputs!$AC$2:$AC$75,"Yes")&gt;0)</f>
        <v>1</v>
      </c>
      <c r="G72" s="21" t="b">
        <f aca="false">--(COUNTIF($M$4:$M$10,"*literature*")&gt;0)</f>
        <v>0</v>
      </c>
      <c r="H72" s="21" t="b">
        <f aca="false">--(COUNTIFS(Inputs!$F$2:$F$75,A72,Inputs!$AA$2:$AA$75,"*not resolved*")&gt;0)</f>
        <v>1</v>
      </c>
      <c r="I72" s="27" t="n">
        <f aca="false">C72*RiskWeight_Chemical</f>
        <v>0</v>
      </c>
      <c r="J72" s="27" t="n">
        <f aca="false">D72*RiskWeight_Electrical</f>
        <v>0</v>
      </c>
      <c r="K72" s="27" t="n">
        <f aca="false">E72*RiskWeight_ResistanceMargin</f>
        <v>0</v>
      </c>
      <c r="L72" s="27" t="n">
        <f aca="false">F72*RiskWeight_DocumentedException</f>
        <v>8</v>
      </c>
      <c r="M72" s="27" t="n">
        <f aca="false">G72*RiskWeight_LiteratureOnly</f>
        <v>0</v>
      </c>
      <c r="N72" s="27" t="n">
        <f aca="false">H72*RiskWeight_CatalogQuality</f>
        <v>4</v>
      </c>
      <c r="O72" s="27" t="n">
        <f aca="false">SUM(I72:N72)</f>
        <v>12</v>
      </c>
      <c r="P72" s="25" t="str">
        <f aca="false">IF(O72&gt;=RiskThreshold_Hold,"HOLD",IF(O72&gt;=RiskThreshold_Conditional,"CONDITIONAL","RELEASE"))</f>
        <v>CONDITIONAL</v>
      </c>
      <c r="Q72" s="3" t="s">
        <v>948</v>
      </c>
      <c r="R72" s="3"/>
    </row>
    <row r="73" customFormat="false" ht="27.75" hidden="false" customHeight="true" outlineLevel="0" collapsed="false">
      <c r="A73" s="3" t="s">
        <v>383</v>
      </c>
      <c r="B73" s="3" t="s">
        <v>181</v>
      </c>
      <c r="C73" s="21" t="b">
        <f aca="false">--(COUNTIFS($B$27:$B$56,A73,$J$27:$J$56,"FAIL")&gt;0)</f>
        <v>0</v>
      </c>
      <c r="D73" s="21" t="b">
        <f aca="false">--(COUNTIFS($B$61:$B$65,A73,$D$61:$D$65,"minimum_conductivity",$I$61:$I$65,"FAIL")&gt;0)</f>
        <v>0</v>
      </c>
      <c r="E73" s="3" t="n">
        <f aca="false">IF(A73="LOT-CU-2607-D",--($L$21&lt;10),0)</f>
        <v>0</v>
      </c>
      <c r="F73" s="21" t="b">
        <f aca="false">--(COUNTIFS(Inputs!$F$2:$F$75,A73,Inputs!$AC$2:$AC$75,"Yes")&gt;0)</f>
        <v>1</v>
      </c>
      <c r="G73" s="21" t="b">
        <f aca="false">--(COUNTIF($M$4:$M$10,"*literature*")&gt;0)</f>
        <v>0</v>
      </c>
      <c r="H73" s="21" t="b">
        <f aca="false">--(COUNTIFS(Inputs!$F$2:$F$75,A73,Inputs!$AA$2:$AA$75,"*not resolved*")&gt;0)</f>
        <v>0</v>
      </c>
      <c r="I73" s="27" t="n">
        <f aca="false">C73*RiskWeight_Chemical</f>
        <v>0</v>
      </c>
      <c r="J73" s="27" t="n">
        <f aca="false">D73*RiskWeight_Electrical</f>
        <v>0</v>
      </c>
      <c r="K73" s="27" t="n">
        <f aca="false">E73*RiskWeight_ResistanceMargin</f>
        <v>0</v>
      </c>
      <c r="L73" s="27" t="n">
        <f aca="false">F73*RiskWeight_DocumentedException</f>
        <v>8</v>
      </c>
      <c r="M73" s="27" t="n">
        <f aca="false">G73*RiskWeight_LiteratureOnly</f>
        <v>0</v>
      </c>
      <c r="N73" s="27" t="n">
        <f aca="false">H73*RiskWeight_CatalogQuality</f>
        <v>0</v>
      </c>
      <c r="O73" s="27" t="n">
        <f aca="false">SUM(I73:N73)</f>
        <v>8</v>
      </c>
      <c r="P73" s="25" t="str">
        <f aca="false">IF(O73&gt;=RiskThreshold_Hold,"HOLD",IF(O73&gt;=RiskThreshold_Conditional,"CONDITIONAL","RELEASE"))</f>
        <v>CONDITIONAL</v>
      </c>
      <c r="Q73" s="3" t="s">
        <v>948</v>
      </c>
      <c r="R73" s="3"/>
    </row>
    <row r="74" customFormat="false" ht="27.75" hidden="false" customHeight="true" outlineLevel="0" collapsed="false">
      <c r="A74" s="3" t="s">
        <v>394</v>
      </c>
      <c r="B74" s="3" t="s">
        <v>181</v>
      </c>
      <c r="C74" s="21" t="b">
        <f aca="false">--(COUNTIFS($B$27:$B$56,A74,$J$27:$J$56,"FAIL")&gt;0)</f>
        <v>1</v>
      </c>
      <c r="D74" s="21" t="b">
        <f aca="false">--(COUNTIFS($B$61:$B$65,A74,$D$61:$D$65,"minimum_conductivity",$I$61:$I$65,"FAIL")&gt;0)</f>
        <v>1</v>
      </c>
      <c r="E74" s="21" t="b">
        <f aca="false">IF(A74="LOT-CU-2607-D",--($L$21&lt;10),0)</f>
        <v>1</v>
      </c>
      <c r="F74" s="21" t="b">
        <f aca="false">--(COUNTIFS(Inputs!$F$2:$F$75,A74,Inputs!$AC$2:$AC$75,"Yes")&gt;0)</f>
        <v>1</v>
      </c>
      <c r="G74" s="21" t="b">
        <f aca="false">--(COUNTIF($M$4:$M$10,"*literature*")&gt;0)</f>
        <v>0</v>
      </c>
      <c r="H74" s="21" t="b">
        <f aca="false">--(COUNTIFS(Inputs!$F$2:$F$75,A74,Inputs!$AA$2:$AA$75,"*not resolved*")&gt;0)</f>
        <v>0</v>
      </c>
      <c r="I74" s="27" t="n">
        <f aca="false">C74*RiskWeight_Chemical</f>
        <v>40</v>
      </c>
      <c r="J74" s="27" t="n">
        <f aca="false">D74*RiskWeight_Electrical</f>
        <v>25</v>
      </c>
      <c r="K74" s="27" t="n">
        <f aca="false">E74*RiskWeight_ResistanceMargin</f>
        <v>15</v>
      </c>
      <c r="L74" s="27" t="n">
        <f aca="false">F74*RiskWeight_DocumentedException</f>
        <v>8</v>
      </c>
      <c r="M74" s="27" t="n">
        <f aca="false">G74*RiskWeight_LiteratureOnly</f>
        <v>0</v>
      </c>
      <c r="N74" s="27" t="n">
        <f aca="false">H74*RiskWeight_CatalogQuality</f>
        <v>0</v>
      </c>
      <c r="O74" s="27" t="n">
        <f aca="false">SUM(I74:N74)</f>
        <v>88</v>
      </c>
      <c r="P74" s="25" t="str">
        <f aca="false">IF(O74&gt;=RiskThreshold_Hold,"HOLD",IF(O74&gt;=RiskThreshold_Conditional,"CONDITIONAL","RELEASE"))</f>
        <v>HOLD</v>
      </c>
      <c r="Q74" s="3" t="s">
        <v>948</v>
      </c>
      <c r="R74" s="3"/>
    </row>
    <row r="75" customFormat="false" ht="27.75" hidden="false" customHeight="true" outlineLevel="0" collapsed="false">
      <c r="A75" s="3" t="s">
        <v>402</v>
      </c>
      <c r="B75" s="3" t="s">
        <v>220</v>
      </c>
      <c r="C75" s="21" t="b">
        <f aca="false">--(COUNTIFS($B$27:$B$56,A75,$J$27:$J$56,"FAIL")&gt;0)</f>
        <v>1</v>
      </c>
      <c r="D75" s="21" t="b">
        <f aca="false">--(COUNTIFS($B$61:$B$65,A75,$D$61:$D$65,"minimum_conductivity",$I$61:$I$65,"FAIL")&gt;0)</f>
        <v>0</v>
      </c>
      <c r="E75" s="3" t="n">
        <f aca="false">IF(A75="LOT-CU-2607-D",--($L$21&lt;10),0)</f>
        <v>0</v>
      </c>
      <c r="F75" s="21" t="b">
        <f aca="false">--(COUNTIFS(Inputs!$F$2:$F$75,A75,Inputs!$AC$2:$AC$75,"Yes")&gt;0)</f>
        <v>0</v>
      </c>
      <c r="G75" s="21" t="b">
        <f aca="false">--(COUNTIF($M$4:$M$10,"*literature*")&gt;0)</f>
        <v>0</v>
      </c>
      <c r="H75" s="21" t="b">
        <f aca="false">--(COUNTIFS(Inputs!$F$2:$F$75,A75,Inputs!$AA$2:$AA$75,"*not resolved*")&gt;0)</f>
        <v>1</v>
      </c>
      <c r="I75" s="27" t="n">
        <f aca="false">C75*RiskWeight_Chemical</f>
        <v>40</v>
      </c>
      <c r="J75" s="27" t="n">
        <f aca="false">D75*RiskWeight_Electrical</f>
        <v>0</v>
      </c>
      <c r="K75" s="27" t="n">
        <f aca="false">E75*RiskWeight_ResistanceMargin</f>
        <v>0</v>
      </c>
      <c r="L75" s="27" t="n">
        <f aca="false">F75*RiskWeight_DocumentedException</f>
        <v>0</v>
      </c>
      <c r="M75" s="27" t="n">
        <f aca="false">G75*RiskWeight_LiteratureOnly</f>
        <v>0</v>
      </c>
      <c r="N75" s="27" t="n">
        <f aca="false">H75*RiskWeight_CatalogQuality</f>
        <v>4</v>
      </c>
      <c r="O75" s="27" t="n">
        <f aca="false">SUM(I75:N75)</f>
        <v>44</v>
      </c>
      <c r="P75" s="25" t="str">
        <f aca="false">IF(O75&gt;=RiskThreshold_Hold,"HOLD",IF(O75&gt;=RiskThreshold_Conditional,"CONDITIONAL","RELEASE"))</f>
        <v>CONDITIONAL</v>
      </c>
      <c r="Q75" s="3" t="s">
        <v>948</v>
      </c>
      <c r="R75" s="3"/>
    </row>
  </sheetData>
  <mergeCells count="6">
    <mergeCell ref="A1:O1"/>
    <mergeCell ref="A13:J13"/>
    <mergeCell ref="A19:L19"/>
    <mergeCell ref="A25:L25"/>
    <mergeCell ref="A59:L59"/>
    <mergeCell ref="A69:Q69"/>
  </mergeCells>
  <conditionalFormatting sqref="J27:J56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</conditionalFormatting>
  <conditionalFormatting sqref="I61:I65">
    <cfRule type="cellIs" priority="4" operator="equal" aboveAverage="0" equalAverage="0" bottom="0" percent="0" rank="0" text="" dxfId="8">
      <formula>"PASS"</formula>
    </cfRule>
    <cfRule type="cellIs" priority="5" operator="equal" aboveAverage="0" equalAverage="0" bottom="0" percent="0" rank="0" text="" dxfId="9">
      <formula>"FAIL"</formula>
    </cfRule>
  </conditionalFormatting>
  <conditionalFormatting sqref="P71:P75">
    <cfRule type="cellIs" priority="6" operator="equal" aboveAverage="0" equalAverage="0" bottom="0" percent="0" rank="0" text="" dxfId="9">
      <formula>"HOLD"</formula>
    </cfRule>
    <cfRule type="cellIs" priority="7" operator="equal" aboveAverage="0" equalAverage="0" bottom="0" percent="0" rank="0" text="" dxfId="10">
      <formula>"CONDITIONAL"</formula>
    </cfRule>
    <cfRule type="cellIs" priority="8" operator="equal" aboveAverage="0" equalAverage="0" bottom="0" percent="0" rank="0" text="" dxfId="8">
      <formula>"RELEASE"</formula>
    </cfRule>
  </conditionalFormatting>
  <hyperlinks>
    <hyperlink ref="N4" r:id="rId1" location="'Inputs'!A34" display="Inputs row 34"/>
    <hyperlink ref="O4" r:id="rId2" display="file:///app/data/data/lab_reports/conductivity_panel_tests.csv"/>
    <hyperlink ref="N5" r:id="rId3" location="'Inputs'!A39" display="Inputs row 39"/>
    <hyperlink ref="O5" r:id="rId4" display="file:///app/data/data/lab_reports/conductivity_panel_tests.csv"/>
    <hyperlink ref="N6" r:id="rId5" location="'Inputs'!A41" display="Inputs row 41"/>
    <hyperlink ref="O6" r:id="rId6" display="file:///app/data/data/lab_reports/conductivity_panel_tests.csv"/>
    <hyperlink ref="N7" r:id="rId7" location="'Inputs'!A42" display="Inputs row 42"/>
    <hyperlink ref="O7" r:id="rId8" display="file:///app/data/data/lab_reports/conductivity_panel_tests.csv"/>
    <hyperlink ref="N8" r:id="rId9" location="'Inputs'!A43" display="Inputs row 43"/>
    <hyperlink ref="O8" r:id="rId10" display="file:///app/data/data/lab_reports/mechanical_property_runs.csv"/>
    <hyperlink ref="N9" r:id="rId11" location="'Inputs'!A45" display="Inputs row 45"/>
    <hyperlink ref="O9" r:id="rId12" display="file:///app/data/data/lab_reports/mechanical_property_runs.csv"/>
    <hyperlink ref="N10" r:id="rId13" location="'Inputs'!A46" display="Inputs row 46"/>
    <hyperlink ref="O10" r:id="rId14" display="file:///app/data/data/lab_reports/mechanical_property_runs.csv"/>
    <hyperlink ref="K27" r:id="rId15" location="'Inputs'!A47" display="Inputs row 47"/>
    <hyperlink ref="K28" r:id="rId16" location="'Inputs'!A47" display="Inputs row 47"/>
    <hyperlink ref="K29" r:id="rId17" location="'Inputs'!A47" display="Inputs row 47"/>
    <hyperlink ref="K30" r:id="rId18" location="'Inputs'!A47" display="Inputs row 47"/>
    <hyperlink ref="K31" r:id="rId19" location="'Inputs'!A47" display="Inputs row 47"/>
    <hyperlink ref="K32" r:id="rId20" location="'Inputs'!A47" display="Inputs row 47"/>
    <hyperlink ref="K33" r:id="rId21" location="'Inputs'!A48" display="Inputs row 48"/>
    <hyperlink ref="K34" r:id="rId22" location="'Inputs'!A48" display="Inputs row 48"/>
    <hyperlink ref="K35" r:id="rId23" location="'Inputs'!A48" display="Inputs row 48"/>
    <hyperlink ref="K36" r:id="rId24" location="'Inputs'!A48" display="Inputs row 48"/>
    <hyperlink ref="K37" r:id="rId25" location="'Inputs'!A48" display="Inputs row 48"/>
    <hyperlink ref="K38" r:id="rId26" location="'Inputs'!A48" display="Inputs row 48"/>
    <hyperlink ref="K39" r:id="rId27" location="'Inputs'!A49" display="Inputs row 49"/>
    <hyperlink ref="K40" r:id="rId28" location="'Inputs'!A49" display="Inputs row 49"/>
    <hyperlink ref="K41" r:id="rId29" location="'Inputs'!A49" display="Inputs row 49"/>
    <hyperlink ref="K42" r:id="rId30" location="'Inputs'!A49" display="Inputs row 49"/>
    <hyperlink ref="K43" r:id="rId31" location="'Inputs'!A49" display="Inputs row 49"/>
    <hyperlink ref="K44" r:id="rId32" location="'Inputs'!A49" display="Inputs row 49"/>
    <hyperlink ref="K45" r:id="rId33" location="'Inputs'!A50" display="Inputs row 50"/>
    <hyperlink ref="K46" r:id="rId34" location="'Inputs'!A50" display="Inputs row 50"/>
    <hyperlink ref="K47" r:id="rId35" location="'Inputs'!A50" display="Inputs row 50"/>
    <hyperlink ref="K48" r:id="rId36" location="'Inputs'!A50" display="Inputs row 50"/>
    <hyperlink ref="K49" r:id="rId37" location="'Inputs'!A50" display="Inputs row 50"/>
    <hyperlink ref="K50" r:id="rId38" location="'Inputs'!A50" display="Inputs row 50"/>
    <hyperlink ref="K51" r:id="rId39" location="'Inputs'!A52" display="Inputs row 52"/>
    <hyperlink ref="K52" r:id="rId40" location="'Inputs'!A52" display="Inputs row 52"/>
    <hyperlink ref="K53" r:id="rId41" location="'Inputs'!A52" display="Inputs row 52"/>
    <hyperlink ref="K54" r:id="rId42" location="'Inputs'!A52" display="Inputs row 52"/>
    <hyperlink ref="K55" r:id="rId43" location="'Inputs'!A52" display="Inputs row 52"/>
    <hyperlink ref="K56" r:id="rId44" location="'Inputs'!A52" display="Inputs row 52"/>
    <hyperlink ref="K61" r:id="rId45" location="'Inputs'!A33" display="Inputs row 33"/>
    <hyperlink ref="L61" r:id="rId46" display="file:///app/data/data/lab_reports/conductivity_panel_tests.csv"/>
    <hyperlink ref="K62" r:id="rId47" location="'Inputs'!A36" display="Inputs row 36"/>
    <hyperlink ref="L62" r:id="rId48" display="file:///app/data/data/lab_reports/conductivity_panel_tests.csv"/>
    <hyperlink ref="K63" r:id="rId49" location="'Inputs'!A38" display="Inputs row 38"/>
    <hyperlink ref="L63" r:id="rId50" display="file:///app/data/data/lab_reports/conductivity_panel_tests.csv"/>
    <hyperlink ref="K64" r:id="rId51" location="'Inputs'!A72" display="Inputs row 72"/>
    <hyperlink ref="L64" r:id="rId52" display="file:///app/data/logs/plating/2026-07-08.log"/>
    <hyperlink ref="K65" r:id="rId53" location="'Inputs'!A73" display="Inputs row 73"/>
    <hyperlink ref="L65" r:id="rId54" display="file:///app/data/logs/plating/2026-07-08.lo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5"/>
    <tablePart r:id="rId56"/>
    <tablePart r:id="rId57"/>
    <tablePart r:id="rId58"/>
    <tablePart r:id="rId59"/>
    <tablePart r:id="rId6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26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21"/>
    <col collapsed="false" customWidth="true" hidden="false" outlineLevel="0" max="10" min="10" style="1" width="20"/>
    <col collapsed="false" customWidth="true" hidden="false" outlineLevel="0" max="11" min="11" style="1" width="21"/>
    <col collapsed="false" customWidth="true" hidden="false" outlineLevel="0" max="12" min="12" style="1" width="19"/>
    <col collapsed="false" customWidth="true" hidden="false" outlineLevel="0" max="13" min="13" style="1" width="45"/>
    <col collapsed="false" customWidth="true" hidden="false" outlineLevel="0" max="26" min="14" style="1" width="22"/>
    <col collapsed="false" customWidth="true" hidden="false" outlineLevel="0" max="27" min="27" style="1" width="68"/>
    <col collapsed="false" customWidth="true" hidden="false" outlineLevel="0" max="28" min="28" style="0" width="18"/>
  </cols>
  <sheetData>
    <row r="1" customFormat="false" ht="15" hidden="false" customHeight="true" outlineLevel="0" collapsed="false">
      <c r="A1" s="19" t="s">
        <v>949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37.5" hidden="false" customHeight="true" outlineLevel="0" collapsed="false">
      <c r="A3" s="2" t="s">
        <v>950</v>
      </c>
      <c r="B3" s="2" t="s">
        <v>951</v>
      </c>
      <c r="C3" s="2" t="s">
        <v>855</v>
      </c>
      <c r="D3" s="2" t="s">
        <v>952</v>
      </c>
      <c r="E3" s="2" t="s">
        <v>953</v>
      </c>
      <c r="F3" s="2" t="s">
        <v>954</v>
      </c>
      <c r="G3" s="2" t="s">
        <v>955</v>
      </c>
      <c r="H3" s="2" t="s">
        <v>956</v>
      </c>
      <c r="I3" s="2" t="s">
        <v>957</v>
      </c>
      <c r="J3" s="2" t="s">
        <v>958</v>
      </c>
      <c r="K3" s="2" t="s">
        <v>959</v>
      </c>
      <c r="L3" s="2" t="s">
        <v>960</v>
      </c>
      <c r="M3" s="2" t="s">
        <v>961</v>
      </c>
      <c r="N3" s="2" t="s">
        <v>962</v>
      </c>
      <c r="O3" s="2" t="s">
        <v>963</v>
      </c>
      <c r="P3" s="2" t="s">
        <v>964</v>
      </c>
      <c r="Q3" s="2" t="s">
        <v>965</v>
      </c>
      <c r="R3" s="2" t="s">
        <v>966</v>
      </c>
      <c r="S3" s="2" t="s">
        <v>967</v>
      </c>
      <c r="T3" s="2" t="s">
        <v>968</v>
      </c>
      <c r="U3" s="2" t="s">
        <v>969</v>
      </c>
      <c r="V3" s="2" t="s">
        <v>970</v>
      </c>
      <c r="W3" s="2" t="s">
        <v>971</v>
      </c>
      <c r="X3" s="2" t="s">
        <v>972</v>
      </c>
      <c r="Y3" s="2" t="s">
        <v>973</v>
      </c>
      <c r="Z3" s="2" t="s">
        <v>974</v>
      </c>
      <c r="AA3" s="2" t="s">
        <v>817</v>
      </c>
      <c r="AB3" s="15" t="s">
        <v>975</v>
      </c>
    </row>
    <row r="4" customFormat="false" ht="15" hidden="false" customHeight="true" outlineLevel="0" collapsed="false">
      <c r="A4" s="3" t="s">
        <v>976</v>
      </c>
      <c r="B4" s="3" t="s">
        <v>977</v>
      </c>
      <c r="C4" s="24" t="n">
        <v>85</v>
      </c>
      <c r="D4" s="3" t="s">
        <v>458</v>
      </c>
      <c r="E4" s="3" t="s">
        <v>458</v>
      </c>
      <c r="F4" s="20" t="n">
        <f aca="false">Calculations!$I$21*(1+Assumption_TemperatureCoefficient*(C4-Assumption_ReferenceTemperature))</f>
        <v>155.344304775281</v>
      </c>
      <c r="G4" s="20" t="n">
        <f aca="false">Control_MaxTraceResistance</f>
        <v>160</v>
      </c>
      <c r="H4" s="25" t="str">
        <f aca="false">IF(F4&lt;=G4,"PASS","FAIL")</f>
        <v>PASS</v>
      </c>
      <c r="I4" s="20" t="n">
        <f aca="false">IF(D4="Yes",Control_PCNThicknessFloor,Control_BaseThicknessFloor)</f>
        <v>17.5</v>
      </c>
      <c r="J4" s="25" t="str">
        <f aca="false">IF(Inputs!$AY$73&gt;=I4,"PASS","FAIL")</f>
        <v>PASS</v>
      </c>
      <c r="K4" s="20" t="n">
        <f aca="false">IF(E4="Yes",Waiver_LOT_B_OxygenLimit,Inputs!$I$96)</f>
        <v>7</v>
      </c>
      <c r="L4" s="25" t="str">
        <f aca="false">IF(Inputs!$AQ$48&lt;=K4,"PASS","FAIL")</f>
        <v>PASS</v>
      </c>
      <c r="M4" s="3" t="s">
        <v>978</v>
      </c>
      <c r="N4" s="3" t="n">
        <v>1</v>
      </c>
      <c r="O4" s="3" t="n">
        <v>1</v>
      </c>
      <c r="P4" s="21" t="b">
        <f aca="false">--(G4-F4&lt;10)</f>
        <v>1</v>
      </c>
      <c r="Q4" s="21" t="b">
        <f aca="false">--(D4="Yes")</f>
        <v>1</v>
      </c>
      <c r="R4" s="27" t="n">
        <f aca="false">N4*RiskWeight_Chemical+O4*RiskWeight_Electrical+P4*RiskWeight_ResistanceMargin+Q4*RiskWeight_DocumentedException</f>
        <v>88</v>
      </c>
      <c r="S4" s="3" t="str">
        <f aca="false">IF(R4&gt;=RiskThreshold_Hold,"HOLD",IF(R4&gt;=RiskThreshold_Conditional,"CONDITIONAL","RELEASE"))</f>
        <v>HOLD</v>
      </c>
      <c r="T4" s="21" t="b">
        <f aca="false">--(L4="FAIL")</f>
        <v>0</v>
      </c>
      <c r="U4" s="21" t="b">
        <f aca="false">--(E4="Yes")</f>
        <v>1</v>
      </c>
      <c r="V4" s="3" t="n">
        <v>1</v>
      </c>
      <c r="W4" s="27" t="n">
        <f aca="false">T4*RiskWeight_Chemical+U4*RiskWeight_DocumentedException+V4*RiskWeight_CatalogQuality</f>
        <v>12</v>
      </c>
      <c r="X4" s="3" t="str">
        <f aca="false">IF(W4&gt;=RiskThreshold_Hold,"HOLD",IF(W4&gt;=RiskThreshold_Conditional,"CONDITIONAL","RELEASE"))</f>
        <v>CONDITIONAL</v>
      </c>
      <c r="Y4" s="27" t="n">
        <f aca="false">R4-$R$4</f>
        <v>0</v>
      </c>
      <c r="Z4" s="27" t="n">
        <f aca="false">W4-$W$4</f>
        <v>0</v>
      </c>
      <c r="AA4" s="3" t="s">
        <v>979</v>
      </c>
      <c r="AB4" s="0" t="str">
        <f aca="false">IF(AND(ISNUMBER(F4),ISNUMBER(G4),OR(H4="PASS",H4="FAIL"),ISNUMBER(I4),OR(J4="PASS",J4="FAIL"),ISNUMBER(K4),OR(L4="PASS",L4="FAIL"),ISNUMBER(R4),OR(S4="HOLD",S4="CONDITIONAL",S4="RELEASE"),ISNUMBER(W4),OR(X4="HOLD",X4="CONDITIONAL",X4="RELEASE")),"PASS","FAIL")</f>
        <v>PASS</v>
      </c>
    </row>
    <row r="5" customFormat="false" ht="15" hidden="false" customHeight="true" outlineLevel="0" collapsed="false">
      <c r="A5" s="3" t="s">
        <v>980</v>
      </c>
      <c r="B5" s="3" t="s">
        <v>981</v>
      </c>
      <c r="C5" s="24" t="n">
        <v>85</v>
      </c>
      <c r="D5" s="3" t="s">
        <v>458</v>
      </c>
      <c r="E5" s="3" t="s">
        <v>106</v>
      </c>
      <c r="F5" s="20" t="n">
        <f aca="false">Calculations!$I$21*(1+Assumption_TemperatureCoefficient*(C5-Assumption_ReferenceTemperature))</f>
        <v>155.344304775281</v>
      </c>
      <c r="G5" s="20" t="n">
        <f aca="false">Control_MaxTraceResistance</f>
        <v>160</v>
      </c>
      <c r="H5" s="25" t="str">
        <f aca="false">IF(F5&lt;=G5,"PASS","FAIL")</f>
        <v>PASS</v>
      </c>
      <c r="I5" s="20" t="n">
        <f aca="false">IF(D5="Yes",Control_PCNThicknessFloor,Control_BaseThicknessFloor)</f>
        <v>17.5</v>
      </c>
      <c r="J5" s="25" t="str">
        <f aca="false">IF(Inputs!$AY$73&gt;=I5,"PASS","FAIL")</f>
        <v>PASS</v>
      </c>
      <c r="K5" s="20" t="n">
        <f aca="false">IF(E5="Yes",Waiver_LOT_B_OxygenLimit,Inputs!$I$96)</f>
        <v>5</v>
      </c>
      <c r="L5" s="25" t="str">
        <f aca="false">IF(Inputs!$AQ$48&lt;=K5,"PASS","FAIL")</f>
        <v>FAIL</v>
      </c>
      <c r="M5" s="3" t="s">
        <v>982</v>
      </c>
      <c r="N5" s="3" t="n">
        <v>1</v>
      </c>
      <c r="O5" s="3" t="n">
        <v>1</v>
      </c>
      <c r="P5" s="21" t="b">
        <f aca="false">--(G5-F5&lt;10)</f>
        <v>1</v>
      </c>
      <c r="Q5" s="21" t="b">
        <f aca="false">--(D5="Yes")</f>
        <v>1</v>
      </c>
      <c r="R5" s="27" t="n">
        <f aca="false">N5*RiskWeight_Chemical+O5*RiskWeight_Electrical+P5*RiskWeight_ResistanceMargin+Q5*RiskWeight_DocumentedException</f>
        <v>88</v>
      </c>
      <c r="S5" s="3" t="str">
        <f aca="false">IF(R5&gt;=RiskThreshold_Hold,"HOLD",IF(R5&gt;=RiskThreshold_Conditional,"CONDITIONAL","RELEASE"))</f>
        <v>HOLD</v>
      </c>
      <c r="T5" s="21" t="b">
        <f aca="false">--(L5="FAIL")</f>
        <v>1</v>
      </c>
      <c r="U5" s="21" t="b">
        <f aca="false">--(E5="Yes")</f>
        <v>0</v>
      </c>
      <c r="V5" s="3" t="n">
        <v>1</v>
      </c>
      <c r="W5" s="27" t="n">
        <f aca="false">T5*RiskWeight_Chemical+U5*RiskWeight_DocumentedException+V5*RiskWeight_CatalogQuality</f>
        <v>44</v>
      </c>
      <c r="X5" s="3" t="str">
        <f aca="false">IF(W5&gt;=RiskThreshold_Hold,"HOLD",IF(W5&gt;=RiskThreshold_Conditional,"CONDITIONAL","RELEASE"))</f>
        <v>CONDITIONAL</v>
      </c>
      <c r="Y5" s="27" t="n">
        <f aca="false">R5-$R$4</f>
        <v>0</v>
      </c>
      <c r="Z5" s="27" t="n">
        <f aca="false">W5-$W$4</f>
        <v>32</v>
      </c>
      <c r="AA5" s="3" t="s">
        <v>979</v>
      </c>
      <c r="AB5" s="0" t="str">
        <f aca="false">IF(AND(ISNUMBER(F5),ISNUMBER(G5),OR(H5="PASS",H5="FAIL"),ISNUMBER(I5),OR(J5="PASS",J5="FAIL"),ISNUMBER(K5),OR(L5="PASS",L5="FAIL"),ISNUMBER(R5),OR(S5="HOLD",S5="CONDITIONAL",S5="RELEASE"),ISNUMBER(W5),OR(X5="HOLD",X5="CONDITIONAL",X5="RELEASE")),"PASS","FAIL")</f>
        <v>PASS</v>
      </c>
    </row>
    <row r="6" customFormat="false" ht="15" hidden="false" customHeight="true" outlineLevel="0" collapsed="false">
      <c r="A6" s="3" t="s">
        <v>983</v>
      </c>
      <c r="B6" s="3" t="s">
        <v>984</v>
      </c>
      <c r="C6" s="24" t="n">
        <v>85</v>
      </c>
      <c r="D6" s="3" t="s">
        <v>106</v>
      </c>
      <c r="E6" s="3" t="s">
        <v>458</v>
      </c>
      <c r="F6" s="20" t="n">
        <f aca="false">Calculations!$I$21*(1+Assumption_TemperatureCoefficient*(C6-Assumption_ReferenceTemperature))</f>
        <v>155.344304775281</v>
      </c>
      <c r="G6" s="20" t="n">
        <f aca="false">Control_MaxTraceResistance</f>
        <v>160</v>
      </c>
      <c r="H6" s="25" t="str">
        <f aca="false">IF(F6&lt;=G6,"PASS","FAIL")</f>
        <v>PASS</v>
      </c>
      <c r="I6" s="20" t="n">
        <f aca="false">IF(D6="Yes",Control_PCNThicknessFloor,Control_BaseThicknessFloor)</f>
        <v>18</v>
      </c>
      <c r="J6" s="25" t="str">
        <f aca="false">IF(Inputs!$AY$73&gt;=I6,"PASS","FAIL")</f>
        <v>FAIL</v>
      </c>
      <c r="K6" s="20" t="n">
        <f aca="false">IF(E6="Yes",Waiver_LOT_B_OxygenLimit,Inputs!$I$96)</f>
        <v>7</v>
      </c>
      <c r="L6" s="25" t="str">
        <f aca="false">IF(Inputs!$AQ$48&lt;=K6,"PASS","FAIL")</f>
        <v>PASS</v>
      </c>
      <c r="M6" s="3" t="s">
        <v>985</v>
      </c>
      <c r="N6" s="3" t="n">
        <v>1</v>
      </c>
      <c r="O6" s="3" t="n">
        <v>1</v>
      </c>
      <c r="P6" s="21" t="b">
        <f aca="false">--(G6-F6&lt;10)</f>
        <v>1</v>
      </c>
      <c r="Q6" s="21" t="b">
        <f aca="false">--(D6="Yes")</f>
        <v>0</v>
      </c>
      <c r="R6" s="27" t="n">
        <f aca="false">N6*RiskWeight_Chemical+O6*RiskWeight_Electrical+P6*RiskWeight_ResistanceMargin+Q6*RiskWeight_DocumentedException</f>
        <v>80</v>
      </c>
      <c r="S6" s="3" t="str">
        <f aca="false">IF(R6&gt;=RiskThreshold_Hold,"HOLD",IF(R6&gt;=RiskThreshold_Conditional,"CONDITIONAL","RELEASE"))</f>
        <v>HOLD</v>
      </c>
      <c r="T6" s="21" t="b">
        <f aca="false">--(L6="FAIL")</f>
        <v>0</v>
      </c>
      <c r="U6" s="21" t="b">
        <f aca="false">--(E6="Yes")</f>
        <v>1</v>
      </c>
      <c r="V6" s="3" t="n">
        <v>1</v>
      </c>
      <c r="W6" s="27" t="n">
        <f aca="false">T6*RiskWeight_Chemical+U6*RiskWeight_DocumentedException+V6*RiskWeight_CatalogQuality</f>
        <v>12</v>
      </c>
      <c r="X6" s="3" t="str">
        <f aca="false">IF(W6&gt;=RiskThreshold_Hold,"HOLD",IF(W6&gt;=RiskThreshold_Conditional,"CONDITIONAL","RELEASE"))</f>
        <v>CONDITIONAL</v>
      </c>
      <c r="Y6" s="27" t="n">
        <f aca="false">R6-$R$4</f>
        <v>-8</v>
      </c>
      <c r="Z6" s="27" t="n">
        <f aca="false">W6-$W$4</f>
        <v>0</v>
      </c>
      <c r="AA6" s="3" t="s">
        <v>979</v>
      </c>
      <c r="AB6" s="0" t="str">
        <f aca="false">IF(AND(ISNUMBER(F6),ISNUMBER(G6),OR(H6="PASS",H6="FAIL"),ISNUMBER(I6),OR(J6="PASS",J6="FAIL"),ISNUMBER(K6),OR(L6="PASS",L6="FAIL"),ISNUMBER(R6),OR(S6="HOLD",S6="CONDITIONAL",S6="RELEASE"),ISNUMBER(W6),OR(X6="HOLD",X6="CONDITIONAL",X6="RELEASE")),"PASS","FAIL")</f>
        <v>PASS</v>
      </c>
    </row>
    <row r="7" customFormat="false" ht="15" hidden="false" customHeight="true" outlineLevel="0" collapsed="false">
      <c r="A7" s="3" t="s">
        <v>986</v>
      </c>
      <c r="B7" s="3" t="s">
        <v>987</v>
      </c>
      <c r="C7" s="24" t="n">
        <v>95</v>
      </c>
      <c r="D7" s="3" t="s">
        <v>458</v>
      </c>
      <c r="E7" s="3" t="s">
        <v>458</v>
      </c>
      <c r="F7" s="20" t="n">
        <f aca="false">Calculations!$I$21*(1+Assumption_TemperatureCoefficient*(C7-Assumption_ReferenceTemperature))</f>
        <v>160.207127808989</v>
      </c>
      <c r="G7" s="20" t="n">
        <f aca="false">Control_MaxTraceResistance</f>
        <v>160</v>
      </c>
      <c r="H7" s="25" t="str">
        <f aca="false">IF(F7&lt;=G7,"PASS","FAIL")</f>
        <v>FAIL</v>
      </c>
      <c r="I7" s="20" t="n">
        <f aca="false">IF(D7="Yes",Control_PCNThicknessFloor,Control_BaseThicknessFloor)</f>
        <v>17.5</v>
      </c>
      <c r="J7" s="25" t="str">
        <f aca="false">IF(Inputs!$AY$73&gt;=I7,"PASS","FAIL")</f>
        <v>PASS</v>
      </c>
      <c r="K7" s="20" t="n">
        <f aca="false">IF(E7="Yes",Waiver_LOT_B_OxygenLimit,Inputs!$I$96)</f>
        <v>7</v>
      </c>
      <c r="L7" s="25" t="str">
        <f aca="false">IF(Inputs!$AQ$48&lt;=K7,"PASS","FAIL")</f>
        <v>PASS</v>
      </c>
      <c r="M7" s="3" t="s">
        <v>988</v>
      </c>
      <c r="N7" s="3" t="n">
        <v>1</v>
      </c>
      <c r="O7" s="3" t="n">
        <v>1</v>
      </c>
      <c r="P7" s="21" t="b">
        <f aca="false">--(G7-F7&lt;10)</f>
        <v>1</v>
      </c>
      <c r="Q7" s="21" t="b">
        <f aca="false">--(D7="Yes")</f>
        <v>1</v>
      </c>
      <c r="R7" s="27" t="n">
        <f aca="false">N7*RiskWeight_Chemical+O7*RiskWeight_Electrical+P7*RiskWeight_ResistanceMargin+Q7*RiskWeight_DocumentedException</f>
        <v>88</v>
      </c>
      <c r="S7" s="3" t="str">
        <f aca="false">IF(R7&gt;=RiskThreshold_Hold,"HOLD",IF(R7&gt;=RiskThreshold_Conditional,"CONDITIONAL","RELEASE"))</f>
        <v>HOLD</v>
      </c>
      <c r="T7" s="21" t="b">
        <f aca="false">--(L7="FAIL")</f>
        <v>0</v>
      </c>
      <c r="U7" s="21" t="b">
        <f aca="false">--(E7="Yes")</f>
        <v>1</v>
      </c>
      <c r="V7" s="3" t="n">
        <v>1</v>
      </c>
      <c r="W7" s="27" t="n">
        <f aca="false">T7*RiskWeight_Chemical+U7*RiskWeight_DocumentedException+V7*RiskWeight_CatalogQuality</f>
        <v>12</v>
      </c>
      <c r="X7" s="3" t="str">
        <f aca="false">IF(W7&gt;=RiskThreshold_Hold,"HOLD",IF(W7&gt;=RiskThreshold_Conditional,"CONDITIONAL","RELEASE"))</f>
        <v>CONDITIONAL</v>
      </c>
      <c r="Y7" s="27" t="n">
        <f aca="false">R7-$R$4</f>
        <v>0</v>
      </c>
      <c r="Z7" s="27" t="n">
        <f aca="false">W7-$W$4</f>
        <v>0</v>
      </c>
      <c r="AA7" s="3" t="s">
        <v>979</v>
      </c>
      <c r="AB7" s="0" t="str">
        <f aca="false">IF(AND(ISNUMBER(F7),ISNUMBER(G7),OR(H7="PASS",H7="FAIL"),ISNUMBER(I7),OR(J7="PASS",J7="FAIL"),ISNUMBER(K7),OR(L7="PASS",L7="FAIL"),ISNUMBER(R7),OR(S7="HOLD",S7="CONDITIONAL",S7="RELEASE"),ISNUMBER(W7),OR(X7="HOLD",X7="CONDITIONAL",X7="RELEASE")),"PASS","FAIL")</f>
        <v>PASS</v>
      </c>
    </row>
  </sheetData>
  <mergeCells count="1">
    <mergeCell ref="A1:M1"/>
  </mergeCells>
  <conditionalFormatting sqref="H4:H7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</conditionalFormatting>
  <conditionalFormatting sqref="J4:J7">
    <cfRule type="cellIs" priority="4" operator="equal" aboveAverage="0" equalAverage="0" bottom="0" percent="0" rank="0" text="" dxfId="8">
      <formula>"PASS"</formula>
    </cfRule>
    <cfRule type="cellIs" priority="5" operator="equal" aboveAverage="0" equalAverage="0" bottom="0" percent="0" rank="0" text="" dxfId="9">
      <formula>"FAIL"</formula>
    </cfRule>
  </conditionalFormatting>
  <conditionalFormatting sqref="L4:L7">
    <cfRule type="cellIs" priority="6" operator="equal" aboveAverage="0" equalAverage="0" bottom="0" percent="0" rank="0" text="" dxfId="8">
      <formula>"PASS"</formula>
    </cfRule>
    <cfRule type="cellIs" priority="7" operator="equal" aboveAverage="0" equalAverage="0" bottom="0" percent="0" rank="0" text="" dxfId="9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4" min="3" style="1" width="23"/>
    <col collapsed="false" customWidth="true" hidden="false" outlineLevel="0" max="5" min="5" style="1" width="48"/>
    <col collapsed="false" customWidth="true" hidden="false" outlineLevel="0" max="6" min="6" style="1" width="23"/>
    <col collapsed="false" customWidth="true" hidden="false" outlineLevel="0" max="7" min="7" style="1" width="22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48"/>
    <col collapsed="false" customWidth="true" hidden="false" outlineLevel="0" max="11" min="11" style="1" width="24"/>
    <col collapsed="false" customWidth="true" hidden="false" outlineLevel="0" max="12" min="12" style="1" width="20"/>
    <col collapsed="false" customWidth="true" hidden="false" outlineLevel="0" max="13" min="13" style="1" width="36"/>
  </cols>
  <sheetData>
    <row r="1" customFormat="false" ht="15" hidden="false" customHeight="true" outlineLevel="0" collapsed="false">
      <c r="A1" s="19" t="s">
        <v>989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6" hidden="false" customHeight="true" outlineLevel="0" collapsed="false">
      <c r="A3" s="2" t="s">
        <v>990</v>
      </c>
      <c r="B3" s="2" t="s">
        <v>42</v>
      </c>
      <c r="C3" s="2" t="s">
        <v>805</v>
      </c>
      <c r="D3" s="2" t="s">
        <v>991</v>
      </c>
      <c r="E3" s="2" t="s">
        <v>992</v>
      </c>
      <c r="F3" s="2" t="s">
        <v>993</v>
      </c>
      <c r="G3" s="2" t="s">
        <v>994</v>
      </c>
      <c r="H3" s="2" t="s">
        <v>995</v>
      </c>
      <c r="I3" s="2" t="s">
        <v>996</v>
      </c>
      <c r="J3" s="2" t="s">
        <v>997</v>
      </c>
      <c r="K3" s="2" t="s">
        <v>39</v>
      </c>
      <c r="L3" s="2" t="s">
        <v>814</v>
      </c>
      <c r="M3" s="2" t="s">
        <v>649</v>
      </c>
    </row>
    <row r="4" customFormat="false" ht="15" hidden="false" customHeight="true" outlineLevel="0" collapsed="false">
      <c r="A4" s="3" t="s">
        <v>998</v>
      </c>
      <c r="B4" s="3" t="s">
        <v>394</v>
      </c>
      <c r="C4" s="3" t="s">
        <v>181</v>
      </c>
      <c r="D4" s="3" t="s">
        <v>999</v>
      </c>
      <c r="E4" s="3" t="s">
        <v>1000</v>
      </c>
      <c r="F4" s="24" t="n">
        <f aca="false">Calculations!E46</f>
        <v>5</v>
      </c>
      <c r="G4" s="24" t="n">
        <f aca="false">Calculations!H46</f>
        <v>4</v>
      </c>
      <c r="H4" s="24" t="n">
        <f aca="false">Calculations!I46</f>
        <v>-1</v>
      </c>
      <c r="I4" s="25" t="str">
        <f aca="false">Calculations!J46</f>
        <v>FAIL</v>
      </c>
      <c r="J4" s="3" t="s">
        <v>1001</v>
      </c>
      <c r="K4" s="3" t="s">
        <v>471</v>
      </c>
      <c r="L4" s="22" t="s">
        <v>900</v>
      </c>
      <c r="M4" s="22" t="s">
        <v>444</v>
      </c>
    </row>
    <row r="5" customFormat="false" ht="15" hidden="false" customHeight="true" outlineLevel="0" collapsed="false">
      <c r="A5" s="3" t="s">
        <v>1002</v>
      </c>
      <c r="B5" s="3" t="s">
        <v>394</v>
      </c>
      <c r="C5" s="3" t="s">
        <v>181</v>
      </c>
      <c r="D5" s="3" t="s">
        <v>1003</v>
      </c>
      <c r="E5" s="3" t="s">
        <v>1004</v>
      </c>
      <c r="F5" s="26" t="n">
        <f aca="false">Calculations!E63</f>
        <v>97.85</v>
      </c>
      <c r="G5" s="3" t="n">
        <f aca="false">Calculations!G63</f>
        <v>100.5</v>
      </c>
      <c r="H5" s="3" t="n">
        <f aca="false">Calculations!E63-Calculations!G63</f>
        <v>-2.65000000000001</v>
      </c>
      <c r="I5" s="25" t="str">
        <f aca="false">Calculations!I63</f>
        <v>FAIL</v>
      </c>
      <c r="J5" s="3" t="s">
        <v>1005</v>
      </c>
      <c r="K5" s="3" t="s">
        <v>393</v>
      </c>
      <c r="L5" s="22" t="s">
        <v>926</v>
      </c>
      <c r="M5" s="22" t="s">
        <v>350</v>
      </c>
    </row>
    <row r="6" customFormat="false" ht="27.75" hidden="false" customHeight="true" outlineLevel="0" collapsed="false">
      <c r="A6" s="3" t="s">
        <v>1006</v>
      </c>
      <c r="B6" s="3" t="s">
        <v>394</v>
      </c>
      <c r="C6" s="3" t="s">
        <v>181</v>
      </c>
      <c r="D6" s="3" t="s">
        <v>1007</v>
      </c>
      <c r="E6" s="3" t="s">
        <v>1008</v>
      </c>
      <c r="F6" s="20" t="n">
        <f aca="false">Calculations!J21</f>
        <v>155.344304775281</v>
      </c>
      <c r="G6" s="20" t="n">
        <f aca="false">Calculations!K21</f>
        <v>160</v>
      </c>
      <c r="H6" s="20" t="n">
        <f aca="false">Calculations!L21</f>
        <v>4.65569522471904</v>
      </c>
      <c r="I6" s="25" t="str">
        <f aca="false">IF(Calculations!J21&lt;=Calculations!K21,"PASS","FAIL")</f>
        <v>PASS</v>
      </c>
      <c r="J6" s="3" t="s">
        <v>1009</v>
      </c>
      <c r="K6" s="3" t="s">
        <v>398</v>
      </c>
      <c r="L6" s="22" t="s">
        <v>824</v>
      </c>
      <c r="M6" s="22" t="s">
        <v>350</v>
      </c>
    </row>
    <row r="7" customFormat="false" ht="27.75" hidden="false" customHeight="true" outlineLevel="0" collapsed="false">
      <c r="A7" s="3" t="s">
        <v>1010</v>
      </c>
      <c r="B7" s="3" t="s">
        <v>402</v>
      </c>
      <c r="C7" s="3" t="s">
        <v>220</v>
      </c>
      <c r="D7" s="3" t="s">
        <v>999</v>
      </c>
      <c r="E7" s="3" t="s">
        <v>1011</v>
      </c>
      <c r="F7" s="24" t="n">
        <f aca="false">Calculations!E53</f>
        <v>5.4</v>
      </c>
      <c r="G7" s="24" t="n">
        <f aca="false">Calculations!H53</f>
        <v>5</v>
      </c>
      <c r="H7" s="24" t="n">
        <f aca="false">Calculations!I53</f>
        <v>-0.4</v>
      </c>
      <c r="I7" s="25" t="str">
        <f aca="false">Calculations!J53</f>
        <v>FAIL</v>
      </c>
      <c r="J7" s="3" t="s">
        <v>1012</v>
      </c>
      <c r="K7" s="3" t="s">
        <v>480</v>
      </c>
      <c r="L7" s="22" t="s">
        <v>907</v>
      </c>
      <c r="M7" s="22" t="s">
        <v>444</v>
      </c>
    </row>
    <row r="8" customFormat="false" ht="15" hidden="false" customHeight="true" outlineLevel="0" collapsed="false">
      <c r="A8" s="3" t="s">
        <v>1013</v>
      </c>
      <c r="B8" s="3" t="s">
        <v>374</v>
      </c>
      <c r="C8" s="3" t="s">
        <v>372</v>
      </c>
      <c r="D8" s="3" t="s">
        <v>1014</v>
      </c>
      <c r="E8" s="3" t="s">
        <v>1015</v>
      </c>
      <c r="F8" s="24" t="n">
        <f aca="false">Calculations!E33</f>
        <v>6.2</v>
      </c>
      <c r="G8" s="24" t="n">
        <f aca="false">Calculations!H33</f>
        <v>7</v>
      </c>
      <c r="H8" s="24" t="n">
        <f aca="false">Calculations!I33</f>
        <v>0.8</v>
      </c>
      <c r="I8" s="25" t="str">
        <f aca="false">Calculations!J33</f>
        <v>PASS</v>
      </c>
      <c r="J8" s="3" t="s">
        <v>1016</v>
      </c>
      <c r="K8" s="3" t="s">
        <v>455</v>
      </c>
      <c r="L8" s="22" t="s">
        <v>884</v>
      </c>
      <c r="M8" s="22" t="s">
        <v>444</v>
      </c>
    </row>
    <row r="9" customFormat="false" ht="15" hidden="false" customHeight="true" outlineLevel="0" collapsed="false">
      <c r="A9" s="3" t="s">
        <v>1017</v>
      </c>
      <c r="B9" s="3" t="s">
        <v>394</v>
      </c>
      <c r="C9" s="3" t="s">
        <v>181</v>
      </c>
      <c r="D9" s="3" t="s">
        <v>1018</v>
      </c>
      <c r="E9" s="3" t="s">
        <v>1019</v>
      </c>
      <c r="F9" s="20" t="n">
        <f aca="false">Calculations!E65</f>
        <v>17.8</v>
      </c>
      <c r="G9" s="3" t="n">
        <f aca="false">Calculations!G65</f>
        <v>17.5</v>
      </c>
      <c r="H9" s="3" t="n">
        <f aca="false">Calculations!E65-Calculations!G65</f>
        <v>0.300000000000001</v>
      </c>
      <c r="I9" s="25" t="str">
        <f aca="false">Calculations!I65</f>
        <v>PASS</v>
      </c>
      <c r="J9" s="3" t="s">
        <v>1020</v>
      </c>
      <c r="K9" s="3" t="s">
        <v>626</v>
      </c>
      <c r="L9" s="22" t="s">
        <v>932</v>
      </c>
      <c r="M9" s="22" t="s">
        <v>602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customFormat="false" ht="15" hidden="false" customHeight="true" outlineLevel="0" collapsed="false">
      <c r="A13" s="19" t="s">
        <v>1021</v>
      </c>
      <c r="B13" s="19"/>
      <c r="C13" s="19"/>
      <c r="D13" s="19"/>
      <c r="E13" s="19"/>
      <c r="F13" s="19"/>
      <c r="G13" s="19"/>
      <c r="H13" s="19"/>
      <c r="I13" s="3"/>
      <c r="J13" s="3"/>
      <c r="K13" s="3"/>
      <c r="L13" s="3"/>
      <c r="M13" s="3"/>
    </row>
    <row r="14" customFormat="false" ht="37.5" hidden="false" customHeight="true" outlineLevel="0" collapsed="false">
      <c r="A14" s="2" t="s">
        <v>42</v>
      </c>
      <c r="B14" s="2" t="s">
        <v>805</v>
      </c>
      <c r="C14" s="2" t="s">
        <v>1022</v>
      </c>
      <c r="D14" s="2" t="s">
        <v>947</v>
      </c>
      <c r="E14" s="2" t="s">
        <v>1023</v>
      </c>
      <c r="F14" s="2" t="s">
        <v>1024</v>
      </c>
      <c r="G14" s="2" t="s">
        <v>1025</v>
      </c>
      <c r="H14" s="2" t="s">
        <v>1026</v>
      </c>
      <c r="I14" s="3"/>
      <c r="J14" s="3"/>
      <c r="K14" s="3"/>
      <c r="L14" s="3"/>
      <c r="M14" s="3"/>
    </row>
    <row r="15" customFormat="false" ht="15" hidden="false" customHeight="true" outlineLevel="0" collapsed="false">
      <c r="A15" s="3" t="str">
        <f aca="false">Calculations!A71</f>
        <v>LOT-CU-2607-A</v>
      </c>
      <c r="B15" s="3" t="str">
        <f aca="false">Calculations!B71</f>
        <v>MAT-CU-C101</v>
      </c>
      <c r="C15" s="27" t="n">
        <f aca="false">Calculations!O71</f>
        <v>0</v>
      </c>
      <c r="D15" s="3" t="str">
        <f aca="false">Calculations!P71</f>
        <v>RELEASE</v>
      </c>
      <c r="E15" s="21" t="b">
        <f aca="false">Calculations!C71</f>
        <v>0</v>
      </c>
      <c r="F15" s="21" t="b">
        <f aca="false">Calculations!D71</f>
        <v>0</v>
      </c>
      <c r="G15" s="3" t="n">
        <f aca="false">Calculations!E71</f>
        <v>0</v>
      </c>
      <c r="H15" s="21" t="b">
        <f aca="false">Calculations!F71</f>
        <v>0</v>
      </c>
      <c r="I15" s="3"/>
      <c r="J15" s="3"/>
      <c r="K15" s="3"/>
      <c r="L15" s="3"/>
      <c r="M15" s="3"/>
    </row>
    <row r="16" customFormat="false" ht="15" hidden="false" customHeight="true" outlineLevel="0" collapsed="false">
      <c r="A16" s="3" t="str">
        <f aca="false">Calculations!A72</f>
        <v>LOT-CU-2607-B</v>
      </c>
      <c r="B16" s="3" t="str">
        <f aca="false">Calculations!B72</f>
        <v>MAT-CU-WIRE</v>
      </c>
      <c r="C16" s="27" t="n">
        <f aca="false">Calculations!O72</f>
        <v>12</v>
      </c>
      <c r="D16" s="3" t="str">
        <f aca="false">Calculations!P72</f>
        <v>CONDITIONAL</v>
      </c>
      <c r="E16" s="21" t="b">
        <f aca="false">Calculations!C72</f>
        <v>0</v>
      </c>
      <c r="F16" s="21" t="b">
        <f aca="false">Calculations!D72</f>
        <v>0</v>
      </c>
      <c r="G16" s="3" t="n">
        <f aca="false">Calculations!E72</f>
        <v>0</v>
      </c>
      <c r="H16" s="21" t="b">
        <f aca="false">Calculations!F72</f>
        <v>1</v>
      </c>
      <c r="I16" s="3"/>
      <c r="J16" s="3"/>
      <c r="K16" s="3"/>
      <c r="L16" s="3"/>
      <c r="M16" s="3"/>
    </row>
    <row r="17" customFormat="false" ht="15" hidden="false" customHeight="true" outlineLevel="0" collapsed="false">
      <c r="A17" s="3" t="str">
        <f aca="false">Calculations!A73</f>
        <v>LOT-CU-2607-C</v>
      </c>
      <c r="B17" s="3" t="str">
        <f aca="false">Calculations!B73</f>
        <v>MAT-CU-HBPLATE</v>
      </c>
      <c r="C17" s="27" t="n">
        <f aca="false">Calculations!O73</f>
        <v>8</v>
      </c>
      <c r="D17" s="3" t="str">
        <f aca="false">Calculations!P73</f>
        <v>CONDITIONAL</v>
      </c>
      <c r="E17" s="21" t="b">
        <f aca="false">Calculations!C73</f>
        <v>0</v>
      </c>
      <c r="F17" s="21" t="b">
        <f aca="false">Calculations!D73</f>
        <v>0</v>
      </c>
      <c r="G17" s="3" t="n">
        <f aca="false">Calculations!E73</f>
        <v>0</v>
      </c>
      <c r="H17" s="21" t="b">
        <f aca="false">Calculations!F73</f>
        <v>1</v>
      </c>
      <c r="I17" s="3"/>
      <c r="J17" s="3"/>
      <c r="K17" s="3"/>
      <c r="L17" s="3"/>
      <c r="M17" s="3"/>
    </row>
    <row r="18" customFormat="false" ht="15" hidden="false" customHeight="true" outlineLevel="0" collapsed="false">
      <c r="A18" s="3" t="str">
        <f aca="false">Calculations!A74</f>
        <v>LOT-CU-2607-D</v>
      </c>
      <c r="B18" s="3" t="str">
        <f aca="false">Calculations!B74</f>
        <v>MAT-CU-HBPLATE</v>
      </c>
      <c r="C18" s="27" t="n">
        <f aca="false">Calculations!O74</f>
        <v>88</v>
      </c>
      <c r="D18" s="3" t="str">
        <f aca="false">Calculations!P74</f>
        <v>HOLD</v>
      </c>
      <c r="E18" s="21" t="b">
        <f aca="false">Calculations!C74</f>
        <v>1</v>
      </c>
      <c r="F18" s="21" t="b">
        <f aca="false">Calculations!D74</f>
        <v>1</v>
      </c>
      <c r="G18" s="21" t="b">
        <f aca="false">Calculations!E74</f>
        <v>1</v>
      </c>
      <c r="H18" s="21" t="b">
        <f aca="false">Calculations!F74</f>
        <v>1</v>
      </c>
      <c r="I18" s="3"/>
      <c r="J18" s="3"/>
      <c r="K18" s="3"/>
      <c r="L18" s="3"/>
      <c r="M18" s="3"/>
    </row>
    <row r="19" customFormat="false" ht="15" hidden="false" customHeight="true" outlineLevel="0" collapsed="false">
      <c r="A19" s="3" t="str">
        <f aca="false">Calculations!A75</f>
        <v>LOT-CU-2607-E</v>
      </c>
      <c r="B19" s="3" t="str">
        <f aca="false">Calculations!B75</f>
        <v>MAT-CU3SN-ETA</v>
      </c>
      <c r="C19" s="27" t="n">
        <f aca="false">Calculations!O75</f>
        <v>44</v>
      </c>
      <c r="D19" s="3" t="str">
        <f aca="false">Calculations!P75</f>
        <v>CONDITIONAL</v>
      </c>
      <c r="E19" s="21" t="b">
        <f aca="false">Calculations!C75</f>
        <v>1</v>
      </c>
      <c r="F19" s="21" t="b">
        <f aca="false">Calculations!D75</f>
        <v>0</v>
      </c>
      <c r="G19" s="3" t="n">
        <f aca="false">Calculations!E75</f>
        <v>0</v>
      </c>
      <c r="H19" s="21" t="b">
        <f aca="false">Calculations!F75</f>
        <v>0</v>
      </c>
      <c r="I19" s="3"/>
      <c r="J19" s="3"/>
      <c r="K19" s="3"/>
      <c r="L19" s="3"/>
      <c r="M19" s="3"/>
    </row>
  </sheetData>
  <mergeCells count="2">
    <mergeCell ref="A1:M1"/>
    <mergeCell ref="A13:H13"/>
  </mergeCells>
  <conditionalFormatting sqref="I4:I9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</conditionalFormatting>
  <hyperlinks>
    <hyperlink ref="L4" r:id="rId1" location="'Inputs'!A50" display="Inputs row 50"/>
    <hyperlink ref="M4" r:id="rId2" display="LAB-CHEM · chemistry_assay.csv"/>
    <hyperlink ref="L5" r:id="rId3" location="'Inputs'!A38" display="Inputs row 38"/>
    <hyperlink ref="M5" r:id="rId4" display="LAB-COND · conductivity_panel_tests.csv"/>
    <hyperlink ref="L6" r:id="rId5" location="'Inputs'!A39" display="Inputs row 39"/>
    <hyperlink ref="M6" r:id="rId6" display="LAB-COND · conductivity_panel_tests.csv"/>
    <hyperlink ref="L7" r:id="rId7" location="'Inputs'!A52" display="Inputs row 52"/>
    <hyperlink ref="M7" r:id="rId8" display="LAB-CHEM · chemistry_assay.csv"/>
    <hyperlink ref="L8" r:id="rId9" location="'Inputs'!A48" display="Inputs row 48"/>
    <hyperlink ref="M8" r:id="rId10" display="LAB-CHEM · chemistry_assay.csv"/>
    <hyperlink ref="L9" r:id="rId11" location="'Inputs'!A73" display="Inputs row 73"/>
    <hyperlink ref="M9" r:id="rId12" display="PCN-HB-044 / XR-17 log · 2026-07-08.lo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3"/>
    <tablePart r:id="rId1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5"/>
    <col collapsed="false" customWidth="true" hidden="false" outlineLevel="0" max="3" min="3" style="1" width="15"/>
    <col collapsed="false" customWidth="true" hidden="false" outlineLevel="0" max="4" min="4" style="1" width="88"/>
    <col collapsed="false" customWidth="true" hidden="false" outlineLevel="0" max="5" min="5" style="1" width="14"/>
    <col collapsed="false" customWidth="true" hidden="false" outlineLevel="0" max="6" min="6" style="1" width="60"/>
  </cols>
  <sheetData>
    <row r="1" customFormat="false" ht="15" hidden="false" customHeight="true" outlineLevel="0" collapsed="false">
      <c r="A1" s="19" t="s">
        <v>1027</v>
      </c>
      <c r="B1" s="19"/>
      <c r="C1" s="19"/>
      <c r="D1" s="19"/>
      <c r="E1" s="19"/>
      <c r="F1" s="19"/>
    </row>
    <row r="2" customFormat="false" ht="15" hidden="false" customHeight="true" outlineLevel="0" collapsed="false">
      <c r="A2" s="3"/>
      <c r="B2" s="3"/>
      <c r="C2" s="3"/>
      <c r="D2" s="3"/>
      <c r="E2" s="3"/>
      <c r="F2" s="3"/>
    </row>
    <row r="3" customFormat="false" ht="36" hidden="false" customHeight="true" outlineLevel="0" collapsed="false">
      <c r="A3" s="2" t="s">
        <v>1028</v>
      </c>
      <c r="B3" s="2" t="s">
        <v>1029</v>
      </c>
      <c r="C3" s="2" t="s">
        <v>1030</v>
      </c>
      <c r="D3" s="2" t="s">
        <v>1031</v>
      </c>
      <c r="E3" s="2" t="s">
        <v>872</v>
      </c>
      <c r="F3" s="2" t="s">
        <v>77</v>
      </c>
    </row>
    <row r="4" customFormat="false" ht="15" hidden="false" customHeight="true" outlineLevel="0" collapsed="false">
      <c r="A4" s="3" t="s">
        <v>1032</v>
      </c>
      <c r="B4" s="3" t="s">
        <v>1033</v>
      </c>
      <c r="C4" s="3" t="s">
        <v>1034</v>
      </c>
      <c r="D4" s="3" t="n">
        <f aca="false">COUNTA(Inputs!$C$2:$C$75)</f>
        <v>74</v>
      </c>
      <c r="E4" s="25" t="str">
        <f aca="false">IF(VALUE(C4)=D4,"PASS","FAIL")</f>
        <v>PASS</v>
      </c>
      <c r="F4" s="3" t="s">
        <v>1035</v>
      </c>
    </row>
    <row r="5" customFormat="false" ht="15" hidden="false" customHeight="true" outlineLevel="0" collapsed="false">
      <c r="A5" s="3" t="s">
        <v>1036</v>
      </c>
      <c r="B5" s="3" t="s">
        <v>1037</v>
      </c>
      <c r="C5" s="3" t="s">
        <v>1038</v>
      </c>
      <c r="D5" s="3" t="n">
        <f aca="false">COUNTBLANK(Inputs!$D$2:$D$75)</f>
        <v>0</v>
      </c>
      <c r="E5" s="25" t="str">
        <f aca="false">IF(VALUE(C5)=D5,"PASS","FAIL")</f>
        <v>PASS</v>
      </c>
      <c r="F5" s="3" t="s">
        <v>1039</v>
      </c>
    </row>
    <row r="6" customFormat="false" ht="15" hidden="false" customHeight="true" outlineLevel="0" collapsed="false">
      <c r="A6" s="3" t="s">
        <v>1040</v>
      </c>
      <c r="B6" s="3" t="s">
        <v>1041</v>
      </c>
      <c r="C6" s="3" t="s">
        <v>1038</v>
      </c>
      <c r="D6" s="3" t="n">
        <f aca="false">COUNTBLANK(Inputs!$B$2:$B$75)</f>
        <v>0</v>
      </c>
      <c r="E6" s="25" t="str">
        <f aca="false">IF(VALUE(C6)=D6,"PASS","FAIL")</f>
        <v>PASS</v>
      </c>
      <c r="F6" s="3" t="s">
        <v>1042</v>
      </c>
    </row>
    <row r="7" customFormat="false" ht="15" hidden="false" customHeight="true" outlineLevel="0" collapsed="false">
      <c r="A7" s="3" t="s">
        <v>1043</v>
      </c>
      <c r="B7" s="3" t="s">
        <v>1044</v>
      </c>
      <c r="C7" s="3" t="s">
        <v>1038</v>
      </c>
      <c r="D7" s="3" t="n">
        <f aca="false">COUNTBLANK(Inputs!$I$2:$I$75)</f>
        <v>0</v>
      </c>
      <c r="E7" s="25" t="str">
        <f aca="false">IF(VALUE(C7)=D7,"PASS","FAIL")</f>
        <v>PASS</v>
      </c>
      <c r="F7" s="3" t="s">
        <v>1045</v>
      </c>
    </row>
    <row r="8" customFormat="false" ht="15" hidden="false" customHeight="true" outlineLevel="0" collapsed="false">
      <c r="A8" s="3" t="s">
        <v>1046</v>
      </c>
      <c r="B8" s="3" t="s">
        <v>1047</v>
      </c>
      <c r="C8" s="3" t="s">
        <v>1038</v>
      </c>
      <c r="D8" s="3" t="n">
        <f aca="false">COUNTBLANK(Inputs!$J$2:$J$75)</f>
        <v>0</v>
      </c>
      <c r="E8" s="25" t="str">
        <f aca="false">IF(VALUE(C8)=D8,"PASS","FAIL")</f>
        <v>PASS</v>
      </c>
      <c r="F8" s="3" t="s">
        <v>1048</v>
      </c>
    </row>
    <row r="9" customFormat="false" ht="15" hidden="false" customHeight="true" outlineLevel="0" collapsed="false">
      <c r="A9" s="3" t="s">
        <v>1049</v>
      </c>
      <c r="B9" s="3" t="s">
        <v>1050</v>
      </c>
      <c r="C9" s="3" t="s">
        <v>1051</v>
      </c>
      <c r="D9" s="3" t="n">
        <f aca="false">COUNTIF(Inputs!$L$2:$L$75,"excluded_duplicate")</f>
        <v>2</v>
      </c>
      <c r="E9" s="25" t="str">
        <f aca="false">IF(VALUE(C9)=D9,"PASS","FAIL")</f>
        <v>PASS</v>
      </c>
      <c r="F9" s="3" t="s">
        <v>1052</v>
      </c>
    </row>
    <row r="10" customFormat="false" ht="15" hidden="false" customHeight="true" outlineLevel="0" collapsed="false">
      <c r="A10" s="3" t="s">
        <v>1053</v>
      </c>
      <c r="B10" s="3" t="s">
        <v>1054</v>
      </c>
      <c r="C10" s="3" t="n">
        <v>5</v>
      </c>
      <c r="D10" s="3" t="n">
        <f aca="false">COUNTIF(Inputs!$L$2:$L$75,"included_unverified_support_only")</f>
        <v>5</v>
      </c>
      <c r="E10" s="25" t="str">
        <f aca="false">IF(VALUE(C10)=D10,"PASS","FAIL")</f>
        <v>PASS</v>
      </c>
      <c r="F10" s="3" t="s">
        <v>1055</v>
      </c>
    </row>
    <row r="11" customFormat="false" ht="15" hidden="false" customHeight="true" outlineLevel="0" collapsed="false">
      <c r="A11" s="3" t="s">
        <v>1056</v>
      </c>
      <c r="B11" s="3" t="s">
        <v>1057</v>
      </c>
      <c r="C11" s="3" t="s">
        <v>1058</v>
      </c>
      <c r="D11" s="3" t="n">
        <f aca="false">COUNTIF(Inputs!$L$2:$L$75,"excluded_from_condition_matched_comparison")</f>
        <v>1</v>
      </c>
      <c r="E11" s="25" t="str">
        <f aca="false">IF(VALUE(C11)=D11,"PASS","FAIL")</f>
        <v>PASS</v>
      </c>
      <c r="F11" s="3" t="s">
        <v>1059</v>
      </c>
    </row>
    <row r="12" customFormat="false" ht="15" hidden="false" customHeight="true" outlineLevel="0" collapsed="false">
      <c r="A12" s="3" t="s">
        <v>1060</v>
      </c>
      <c r="B12" s="3" t="s">
        <v>1061</v>
      </c>
      <c r="C12" s="3" t="s">
        <v>1051</v>
      </c>
      <c r="D12" s="3" t="n">
        <f aca="false">COUNTIF(Inputs!$L$2:$L$75,"excluded_from_property_comparison_pending_identity")</f>
        <v>2</v>
      </c>
      <c r="E12" s="25" t="str">
        <f aca="false">IF(VALUE(C12)=D12,"PASS","FAIL")</f>
        <v>PASS</v>
      </c>
      <c r="F12" s="3" t="s">
        <v>1062</v>
      </c>
    </row>
    <row r="13" customFormat="false" ht="15" hidden="false" customHeight="true" outlineLevel="0" collapsed="false">
      <c r="A13" s="3" t="s">
        <v>1063</v>
      </c>
      <c r="B13" s="3" t="s">
        <v>1064</v>
      </c>
      <c r="C13" s="3" t="s">
        <v>1065</v>
      </c>
      <c r="D13" s="3" t="n">
        <f aca="false">COUNTIF(Calculations!$L$4:$L$10,TRUE())</f>
        <v>7</v>
      </c>
      <c r="E13" s="25" t="str">
        <f aca="false">IF(VALUE(C13)=D13,"PASS","FAIL")</f>
        <v>PASS</v>
      </c>
      <c r="F13" s="3" t="s">
        <v>1066</v>
      </c>
    </row>
    <row r="14" customFormat="false" ht="15" hidden="false" customHeight="true" outlineLevel="0" collapsed="false">
      <c r="A14" s="3" t="s">
        <v>1067</v>
      </c>
      <c r="B14" s="3" t="s">
        <v>1068</v>
      </c>
      <c r="C14" s="3" t="s">
        <v>1069</v>
      </c>
      <c r="D14" s="3" t="n">
        <f aca="false">COUNTIF(Inputs!$AC$2:$AC$75,"Yes")</f>
        <v>5</v>
      </c>
      <c r="E14" s="25" t="str">
        <f aca="false">IF(VALUE(C14)=D14,"PASS","FAIL")</f>
        <v>PASS</v>
      </c>
      <c r="F14" s="3" t="s">
        <v>1070</v>
      </c>
    </row>
    <row r="15" customFormat="false" ht="15" hidden="false" customHeight="true" outlineLevel="0" collapsed="false">
      <c r="A15" s="3" t="s">
        <v>1071</v>
      </c>
      <c r="B15" s="3" t="s">
        <v>1072</v>
      </c>
      <c r="C15" s="3" t="s">
        <v>1073</v>
      </c>
      <c r="D15" s="3" t="n">
        <f aca="false">COUNTIF(Outputs!$L$4:$L$9,"Inputs row *")</f>
        <v>6</v>
      </c>
      <c r="E15" s="25" t="str">
        <f aca="false">IF(VALUE(C15)=D15,"PASS","FAIL")</f>
        <v>PASS</v>
      </c>
      <c r="F15" s="3" t="s">
        <v>1074</v>
      </c>
    </row>
    <row r="16" customFormat="false" ht="27.75" hidden="false" customHeight="true" outlineLevel="0" collapsed="false">
      <c r="A16" s="3" t="s">
        <v>1075</v>
      </c>
      <c r="B16" s="3" t="s">
        <v>1076</v>
      </c>
      <c r="C16" s="3" t="s">
        <v>1065</v>
      </c>
      <c r="D16" s="3" t="n">
        <f aca="false">COUNTIF(Calculations!$Q$4:$Q$10,"SELECTED")</f>
        <v>7</v>
      </c>
      <c r="E16" s="3" t="str">
        <f aca="false">IF(VALUE(C16)=D16,"PASS","FAIL")</f>
        <v>PASS</v>
      </c>
      <c r="F16" s="3" t="s">
        <v>1077</v>
      </c>
    </row>
    <row r="17" customFormat="false" ht="15" hidden="false" customHeight="true" outlineLevel="0" collapsed="false">
      <c r="A17" s="3" t="s">
        <v>1078</v>
      </c>
      <c r="B17" s="3" t="s">
        <v>1079</v>
      </c>
      <c r="C17" s="3" t="s">
        <v>1069</v>
      </c>
      <c r="D17" s="3" t="n">
        <f aca="false">COUNT(Calculations!$O$71:$O$75)</f>
        <v>5</v>
      </c>
      <c r="E17" s="3" t="str">
        <f aca="false">IF(VALUE(C17)=D17,"PASS","FAIL")</f>
        <v>PASS</v>
      </c>
      <c r="F17" s="3" t="s">
        <v>1080</v>
      </c>
    </row>
    <row r="18" customFormat="false" ht="15" hidden="false" customHeight="true" outlineLevel="0" collapsed="false">
      <c r="A18" s="3" t="s">
        <v>1081</v>
      </c>
      <c r="B18" s="3" t="s">
        <v>1082</v>
      </c>
      <c r="C18" s="3" t="s">
        <v>1083</v>
      </c>
      <c r="D18" s="3" t="n">
        <f aca="false">COUNT(Scenarios!$R$4:$R$7)</f>
        <v>4</v>
      </c>
      <c r="E18" s="3" t="str">
        <f aca="false">IF(VALUE(C18)=D18,"PASS","FAIL")</f>
        <v>PASS</v>
      </c>
      <c r="F18" s="3" t="s">
        <v>1084</v>
      </c>
    </row>
    <row r="19" customFormat="false" ht="15" hidden="false" customHeight="true" outlineLevel="0" collapsed="false">
      <c r="A19" s="3" t="s">
        <v>1085</v>
      </c>
      <c r="B19" s="3" t="s">
        <v>1086</v>
      </c>
      <c r="C19" s="3" t="n">
        <v>4</v>
      </c>
      <c r="D19" s="3" t="n">
        <f aca="false">COUNTIF(Scenarios!$AB$4:$AB$7,"PASS")</f>
        <v>4</v>
      </c>
      <c r="E19" s="3" t="str">
        <f aca="false">IF(C19=D19,"PASS","FAIL")</f>
        <v>PASS</v>
      </c>
      <c r="F19" s="3" t="s">
        <v>1087</v>
      </c>
    </row>
    <row r="20" customFormat="false" ht="15" hidden="false" customHeight="true" outlineLevel="0" collapsed="false">
      <c r="A20" s="3" t="s">
        <v>1088</v>
      </c>
      <c r="B20" s="3" t="s">
        <v>1089</v>
      </c>
      <c r="C20" s="3" t="n">
        <v>20</v>
      </c>
      <c r="D20" s="3" t="n">
        <f aca="false">COUNT(Scenarios!$F$4:$F$7)+COUNT(Scenarios!$I$4:$I$7)+COUNT(Scenarios!$K$4:$K$7)+COUNT(Scenarios!$R$4:$R$7)+COUNT(Scenarios!$W$4:$W$7)</f>
        <v>20</v>
      </c>
      <c r="E20" s="3" t="str">
        <f aca="false">IF(C20=D20,"PASS","FAIL")</f>
        <v>PASS</v>
      </c>
      <c r="F20" s="3" t="s">
        <v>1090</v>
      </c>
    </row>
    <row r="21" customFormat="false" ht="15" hidden="false" customHeight="true" outlineLevel="0" collapsed="false">
      <c r="A21" s="3" t="s">
        <v>1091</v>
      </c>
      <c r="B21" s="3" t="s">
        <v>1092</v>
      </c>
      <c r="C21" s="3" t="n">
        <v>1</v>
      </c>
      <c r="D21" s="21" t="b">
        <f aca="false">--AND(Scenarios!$R$4=Calculations!$O$74,Scenarios!$W$4=Calculations!$O$72)</f>
        <v>1</v>
      </c>
      <c r="E21" s="3" t="str">
        <f aca="false">IF(C21=D21,"PASS","FAIL")</f>
        <v>PASS</v>
      </c>
      <c r="F21" s="3" t="s">
        <v>1093</v>
      </c>
    </row>
    <row r="22" customFormat="false" ht="15" hidden="false" customHeight="true" outlineLevel="0" collapsed="false">
      <c r="A22" s="19" t="s">
        <v>1094</v>
      </c>
      <c r="B22" s="19"/>
      <c r="C22" s="19"/>
      <c r="D22" s="19"/>
      <c r="E22" s="3"/>
      <c r="F22" s="3"/>
    </row>
    <row r="23" customFormat="false" ht="37.5" hidden="false" customHeight="true" outlineLevel="0" collapsed="false">
      <c r="A23" s="2" t="s">
        <v>1095</v>
      </c>
      <c r="B23" s="2" t="s">
        <v>1096</v>
      </c>
      <c r="C23" s="2" t="s">
        <v>1097</v>
      </c>
      <c r="D23" s="2" t="s">
        <v>1098</v>
      </c>
      <c r="E23" s="3"/>
      <c r="F23" s="3"/>
    </row>
    <row r="24" customFormat="false" ht="54.75" hidden="false" customHeight="true" outlineLevel="0" collapsed="false">
      <c r="A24" s="3" t="s">
        <v>1099</v>
      </c>
      <c r="B24" s="3" t="s">
        <v>1100</v>
      </c>
      <c r="C24" s="20" t="n">
        <f aca="false">Calculations!P5</f>
        <v>1.762</v>
      </c>
      <c r="D24" s="28" t="s">
        <v>1101</v>
      </c>
      <c r="E24" s="3"/>
      <c r="F24" s="3"/>
    </row>
    <row r="25" customFormat="false" ht="54.75" hidden="false" customHeight="true" outlineLevel="0" collapsed="false">
      <c r="A25" s="3" t="s">
        <v>1102</v>
      </c>
      <c r="B25" s="3" t="s">
        <v>1103</v>
      </c>
      <c r="C25" s="20" t="n">
        <f aca="false">Calculations!J21</f>
        <v>155.344304775281</v>
      </c>
      <c r="D25" s="28" t="s">
        <v>1104</v>
      </c>
      <c r="E25" s="3"/>
      <c r="F25" s="3"/>
    </row>
    <row r="26" customFormat="false" ht="27.75" hidden="false" customHeight="true" outlineLevel="0" collapsed="false">
      <c r="A26" s="3" t="s">
        <v>1105</v>
      </c>
      <c r="B26" s="3" t="s">
        <v>1106</v>
      </c>
      <c r="C26" s="3" t="str">
        <f aca="false">Calculations!J46</f>
        <v>FAIL</v>
      </c>
      <c r="D26" s="28" t="s">
        <v>1107</v>
      </c>
      <c r="E26" s="3"/>
      <c r="F26" s="3"/>
    </row>
    <row r="27" customFormat="false" ht="27.75" hidden="false" customHeight="true" outlineLevel="0" collapsed="false">
      <c r="A27" s="3" t="s">
        <v>1108</v>
      </c>
      <c r="B27" s="3" t="s">
        <v>1109</v>
      </c>
      <c r="C27" s="27" t="n">
        <f aca="false">Calculations!O74</f>
        <v>88</v>
      </c>
      <c r="D27" s="28" t="s">
        <v>1110</v>
      </c>
      <c r="E27" s="3"/>
      <c r="F27" s="3"/>
    </row>
    <row r="28" customFormat="false" ht="27.75" hidden="false" customHeight="true" outlineLevel="0" collapsed="false">
      <c r="A28" s="3" t="s">
        <v>1111</v>
      </c>
      <c r="B28" s="3" t="s">
        <v>1112</v>
      </c>
      <c r="C28" s="27" t="n">
        <f aca="false">Scenarios!W5</f>
        <v>44</v>
      </c>
      <c r="D28" s="28" t="s">
        <v>1113</v>
      </c>
      <c r="E28" s="3"/>
      <c r="F28" s="3"/>
    </row>
  </sheetData>
  <mergeCells count="2">
    <mergeCell ref="A1:F1"/>
    <mergeCell ref="A22:D22"/>
  </mergeCells>
  <conditionalFormatting sqref="E4:E15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2026-07-24T00:00:00Z</dcterms:created>
  <dc:creator>OpenAI Codex</dc:creator>
  <dc:description/>
  <dc:language>en-US</dc:language>
  <cp:lastModifiedBy/>
  <dcterms:modified xsi:type="dcterms:W3CDTF">2026-07-24T21:43:50Z</dcterms:modified>
  <cp:revision>0</cp:revision>
  <dc:subject>Traceable technical calculations and findings derived from source_register.xlsx</dc:subject>
  <dc:title>July 2026 Copper Technical Findings Matrix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