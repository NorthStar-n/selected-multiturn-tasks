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785" windowHeight="11010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Outputs" sheetId="5" state="visible" r:id="rId5"/>
    <sheet xmlns:r="http://schemas.openxmlformats.org/officeDocument/2006/relationships" name="Checks" sheetId="6" state="visible" r:id="rId6"/>
  </sheets>
  <definedNames>
    <definedName name="rho_20c">'Inputs'!$B$2</definedName>
    <definedName name="alpha">'Inputs'!$B$3</definedName>
    <definedName name="service_temp_c">'Inputs'!$B$5</definedName>
    <definedName name="resistance_limit_mohm">'Inputs'!$B$9</definedName>
    <definedName name="_xlnm._FilterDatabase" localSheetId="0" hidden="1">'Read_Me'!$A$1:$B$6</definedName>
    <definedName name="_xlnm.Print_Area" localSheetId="0">'Read_Me'!$A$1:$B$6</definedName>
    <definedName name="_xlnm._FilterDatabase" localSheetId="1" hidden="1">'Inputs'!$A$1:$D$18</definedName>
    <definedName name="_xlnm.Print_Area" localSheetId="1">'Inputs'!$A$1:$D$18</definedName>
    <definedName name="_xlnm._FilterDatabase" localSheetId="2" hidden="1">'Calculations'!$A$1:$D$8</definedName>
    <definedName name="_xlnm.Print_Area" localSheetId="2">'Calculations'!$A$1:$D$8</definedName>
    <definedName name="_xlnm._FilterDatabase" localSheetId="3" hidden="1">'Scenarios'!$A$1:$E$4</definedName>
    <definedName name="_xlnm.Print_Area" localSheetId="3">'Scenarios'!$A$1:$K$16</definedName>
    <definedName name="_xlnm._FilterDatabase" localSheetId="4" hidden="1">'Outputs'!$A$1:$E$21</definedName>
    <definedName name="_xlnm.Print_Area" localSheetId="4">'Outputs'!$A$1:$E$21</definedName>
    <definedName name="_xlnm._FilterDatabase" localSheetId="5" hidden="1">'Checks'!$A$1:$E$6</definedName>
    <definedName name="_xlnm.Print_Area" localSheetId="5">'Checks'!$A$1:$E$6</definedName>
  </definedNames>
  <calcPr calcId="162913" fullCalcOnLoad="1" forceFullCalc="1"/>
</workbook>
</file>

<file path=xl/styles.xml><?xml version="1.0" encoding="utf-8"?>
<styleSheet xmlns="http://schemas.openxmlformats.org/spreadsheetml/2006/main">
  <numFmts count="14">
    <numFmt numFmtId="164" formatCode="_(* #,##0_);_(* \(#,##0\);_(* &quot;-&quot;??_);_(@_)"/>
    <numFmt numFmtId="165" formatCode="0.0%"/>
    <numFmt numFmtId="166" formatCode="&quot;$&quot;#,##0"/>
    <numFmt numFmtId="167" formatCode="&quot;$&quot;#,##0.00_);[Red]\(&quot;$&quot;#,##0.00\)"/>
    <numFmt numFmtId="168" formatCode="&quot;$&quot;#,##0_);[Red]\(&quot;$&quot;#,##0\)"/>
    <numFmt numFmtId="169" formatCode="[$-409]mmm\-yy;@"/>
    <numFmt numFmtId="170" formatCode="&quot;$&quot;#,##0.00"/>
    <numFmt numFmtId="171" formatCode="#,###\ &quot;units&quot;"/>
    <numFmt numFmtId="172" formatCode="0.0000"/>
    <numFmt numFmtId="173" formatCode="0.000"/>
    <numFmt numFmtId="174" formatCode="0.000000"/>
    <numFmt numFmtId="175" formatCode="0.00000"/>
    <numFmt numFmtId="176" formatCode="0.0"/>
    <numFmt numFmtId="177" formatCode="0.0000000"/>
  </numFmts>
  <fonts count="5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theme="4"/>
      <sz val="12"/>
    </font>
    <font>
      <name val="Arial"/>
      <family val="2"/>
      <color theme="1"/>
      <sz val="11"/>
    </font>
    <font>
      <name val="Arial"/>
      <family val="2"/>
      <sz val="11"/>
    </font>
    <font>
      <name val="Calibri"/>
      <family val="2"/>
      <color indexed="12"/>
      <sz val="10"/>
      <u val="single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9"/>
      <sz val="10"/>
      <scheme val="minor"/>
    </font>
    <font>
      <name val="Arial"/>
      <family val="2"/>
      <color indexed="9"/>
      <sz val="10"/>
    </font>
    <font>
      <name val="Calibri"/>
      <family val="2"/>
      <b val="1"/>
      <sz val="10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9"/>
    </font>
    <font>
      <name val="Calibri"/>
      <family val="2"/>
      <color theme="1"/>
      <sz val="10"/>
      <scheme val="minor"/>
    </font>
    <font>
      <name val="Arial"/>
      <family val="2"/>
      <b val="1"/>
      <color theme="0"/>
      <sz val="8"/>
    </font>
    <font>
      <name val="Arial"/>
      <family val="2"/>
      <color theme="0"/>
      <sz val="8"/>
    </font>
    <font>
      <name val="Calibri"/>
      <family val="2"/>
      <b val="1"/>
      <color theme="1"/>
      <sz val="10"/>
      <scheme val="minor"/>
    </font>
    <font>
      <name val="Arial"/>
      <family val="2"/>
      <color theme="4" tint="0.7999816888943144"/>
      <sz val="8"/>
    </font>
    <font>
      <name val="Arial"/>
      <family val="2"/>
      <color theme="4" tint="-0.499984740745262"/>
      <sz val="8"/>
    </font>
    <font>
      <name val="Arial"/>
      <family val="2"/>
      <b val="1"/>
      <color theme="4" tint="-0.499984740745262"/>
      <sz val="8"/>
    </font>
    <font>
      <name val="Calibri"/>
      <family val="2"/>
      <b val="1"/>
      <sz val="12"/>
      <scheme val="minor"/>
    </font>
    <font>
      <name val="Calibri"/>
      <family val="2"/>
      <b val="1"/>
      <color theme="4" tint="-0.249977111117893"/>
      <sz val="10"/>
      <scheme val="minor"/>
    </font>
    <font>
      <name val="Calibri"/>
      <family val="2"/>
      <color indexed="12"/>
      <sz val="11"/>
      <u val="single"/>
      <scheme val="minor"/>
    </font>
    <font>
      <name val="Calibri"/>
      <family val="2"/>
      <color indexed="12"/>
      <sz val="9"/>
      <u val="single"/>
      <scheme val="minor"/>
    </font>
    <font>
      <name val="Calibri"/>
      <family val="2"/>
      <sz val="18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indexed="12"/>
      <sz val="10"/>
      <scheme val="minor"/>
    </font>
    <font>
      <name val="Calibri"/>
      <family val="2"/>
      <sz val="12"/>
      <scheme val="minor"/>
    </font>
    <font>
      <name val="Calibri"/>
      <family val="2"/>
      <color theme="4"/>
      <sz val="20"/>
      <scheme val="minor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0"/>
      <scheme val="minor"/>
    </font>
    <font>
      <name val="Calibri"/>
      <family val="2"/>
      <b val="1"/>
      <color theme="4"/>
      <sz val="9"/>
      <scheme val="minor"/>
    </font>
    <font>
      <name val="Calibri"/>
      <family val="2"/>
      <color theme="1" tint="0.3499862666707358"/>
      <sz val="8"/>
      <scheme val="minor"/>
    </font>
    <font>
      <name val="Calibri"/>
      <family val="2"/>
      <color theme="1"/>
      <sz val="9"/>
      <scheme val="minor"/>
    </font>
    <font>
      <name val="Arial"/>
      <family val="2"/>
      <color theme="1" tint="0.3499862666707358"/>
      <sz val="8"/>
    </font>
    <font>
      <name val="Arial"/>
      <family val="2"/>
      <color theme="4"/>
      <sz val="8"/>
    </font>
    <font>
      <name val="Calibri"/>
      <family val="2"/>
      <color theme="4"/>
      <sz val="10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b val="1"/>
      <sz val="11"/>
      <scheme val="minor"/>
    </font>
    <font>
      <b val="1"/>
      <color rgb="00FFFFFF"/>
    </font>
    <font>
      <b val="1"/>
      <color rgb="00FFFFFF"/>
      <sz val="9"/>
    </font>
    <font>
      <sz val="8"/>
    </font>
  </fonts>
  <fills count="14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0022333B"/>
      </patternFill>
    </fill>
    <fill>
      <patternFill patternType="solid">
        <fgColor rgb="001D2B3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/>
      </right>
      <top/>
      <bottom/>
      <diagonal/>
    </border>
    <border>
      <left/>
      <right/>
      <top style="thin">
        <color theme="4" tint="0.5999633777886288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4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double">
        <color theme="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bottom style="thin">
        <color rgb="00B9C0C7"/>
      </bottom>
    </border>
    <border>
      <bottom style="hair">
        <color rgb="00D8DEE4"/>
      </bottom>
    </border>
    <border>
      <bottom style="thin">
        <color rgb="00D9E2E7"/>
      </bottom>
    </border>
  </borders>
  <cellStyleXfs count="10">
    <xf numFmtId="0" fontId="1" fillId="0" borderId="0"/>
    <xf numFmtId="43" fontId="1" fillId="0" borderId="0"/>
    <xf numFmtId="0" fontId="2" fillId="0" borderId="1"/>
    <xf numFmtId="0" fontId="5" fillId="2" borderId="0"/>
    <xf numFmtId="0" fontId="1" fillId="3" borderId="0"/>
    <xf numFmtId="0" fontId="9" fillId="0" borderId="0" applyAlignment="1" applyProtection="1">
      <alignment vertical="top"/>
      <protection locked="0" hidden="0"/>
    </xf>
    <xf numFmtId="44" fontId="1" fillId="0" borderId="0"/>
    <xf numFmtId="0" fontId="8" fillId="0" borderId="0"/>
    <xf numFmtId="0" fontId="14" fillId="0" borderId="0" applyAlignment="1" applyProtection="1">
      <alignment vertical="top"/>
      <protection locked="0" hidden="0"/>
    </xf>
    <xf numFmtId="9" fontId="1" fillId="0" borderId="0"/>
  </cellStyleXfs>
  <cellXfs count="322">
    <xf numFmtId="0" fontId="0" fillId="0" borderId="0" pivotButton="0" quotePrefix="0" xfId="0"/>
    <xf numFmtId="0" fontId="5" fillId="2" borderId="0" pivotButton="0" quotePrefix="0" xfId="3"/>
    <xf numFmtId="0" fontId="4" fillId="0" borderId="0" pivotButton="0" quotePrefix="0" xfId="0"/>
    <xf numFmtId="0" fontId="6" fillId="0" borderId="4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5">
      <alignment horizontal="left"/>
    </xf>
    <xf numFmtId="164" fontId="0" fillId="0" borderId="0" pivotButton="0" quotePrefix="0" xfId="1"/>
    <xf numFmtId="0" fontId="5" fillId="2" borderId="0" applyAlignment="1" pivotButton="0" quotePrefix="0" xfId="3">
      <alignment vertical="center"/>
    </xf>
    <xf numFmtId="0" fontId="5" fillId="2" borderId="0" applyAlignment="1" pivotButton="0" quotePrefix="0" xfId="3">
      <alignment horizontal="right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3" fillId="2" borderId="0" applyAlignment="1" pivotButton="0" quotePrefix="0" xfId="3">
      <alignment vertical="center"/>
    </xf>
    <xf numFmtId="0" fontId="1" fillId="3" borderId="3" pivotButton="0" quotePrefix="0" xfId="4"/>
    <xf numFmtId="164" fontId="1" fillId="3" borderId="3" pivotButton="0" quotePrefix="0" xfId="4"/>
    <xf numFmtId="165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3">
      <alignment horizontal="right"/>
    </xf>
    <xf numFmtId="0" fontId="1" fillId="3" borderId="2" pivotButton="0" quotePrefix="0" xfId="4"/>
    <xf numFmtId="10" fontId="1" fillId="3" borderId="2" pivotButton="0" quotePrefix="0" xfId="4"/>
    <xf numFmtId="3" fontId="1" fillId="3" borderId="2" pivotButton="0" quotePrefix="0" xfId="4"/>
    <xf numFmtId="0" fontId="4" fillId="5" borderId="7" applyAlignment="1" pivotButton="0" quotePrefix="0" xfId="4">
      <alignment vertical="center"/>
    </xf>
    <xf numFmtId="0" fontId="3" fillId="6" borderId="0" applyAlignment="1" pivotButton="0" quotePrefix="0" xfId="3">
      <alignment vertical="center"/>
    </xf>
    <xf numFmtId="0" fontId="5" fillId="6" borderId="0" applyAlignment="1" pivotButton="0" quotePrefix="0" xfId="3">
      <alignment vertical="center"/>
    </xf>
    <xf numFmtId="0" fontId="5" fillId="6" borderId="0" applyAlignment="1" pivotButton="0" quotePrefix="0" xfId="3">
      <alignment horizontal="right" vertical="center"/>
    </xf>
    <xf numFmtId="14" fontId="0" fillId="0" borderId="5" applyAlignment="1" pivotButton="0" quotePrefix="0" xfId="1">
      <alignment vertical="center"/>
    </xf>
    <xf numFmtId="14" fontId="0" fillId="0" borderId="0" applyAlignment="1" pivotButton="0" quotePrefix="0" xfId="1">
      <alignment vertical="center"/>
    </xf>
    <xf numFmtId="0" fontId="3" fillId="6" borderId="0" applyAlignment="1" pivotButton="0" quotePrefix="0" xfId="3">
      <alignment horizontal="right" vertical="center"/>
    </xf>
    <xf numFmtId="166" fontId="0" fillId="0" borderId="0" pivotButton="0" quotePrefix="0" xfId="0"/>
    <xf numFmtId="166" fontId="1" fillId="3" borderId="2" pivotButton="0" quotePrefix="0" xfId="4"/>
    <xf numFmtId="14" fontId="0" fillId="0" borderId="0" pivotButton="0" quotePrefix="0" xfId="0"/>
    <xf numFmtId="166" fontId="0" fillId="0" borderId="0" applyAlignment="1" pivotButton="0" quotePrefix="0" xfId="1">
      <alignment vertical="center"/>
    </xf>
    <xf numFmtId="166" fontId="0" fillId="0" borderId="5" applyAlignment="1" pivotButton="0" quotePrefix="0" xfId="1">
      <alignment vertical="center"/>
    </xf>
    <xf numFmtId="166" fontId="0" fillId="0" borderId="6" applyAlignment="1" pivotButton="0" quotePrefix="0" xfId="1">
      <alignment vertical="center"/>
    </xf>
    <xf numFmtId="166" fontId="4" fillId="5" borderId="7" applyAlignment="1" pivotButton="0" quotePrefix="0" xfId="1">
      <alignment vertical="center"/>
    </xf>
    <xf numFmtId="0" fontId="11" fillId="2" borderId="0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0" fontId="5" fillId="6" borderId="0" applyAlignment="1" pivotButton="0" quotePrefix="0" xfId="3">
      <alignment vertical="center"/>
    </xf>
    <xf numFmtId="0" fontId="10" fillId="0" borderId="0" applyAlignment="1" pivotButton="0" quotePrefix="0" xfId="0">
      <alignment vertical="center"/>
    </xf>
    <xf numFmtId="0" fontId="5" fillId="2" borderId="0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12" fillId="0" borderId="0" pivotButton="0" quotePrefix="0" xfId="7"/>
    <xf numFmtId="0" fontId="13" fillId="0" borderId="0" pivotButton="0" quotePrefix="0" xfId="7"/>
    <xf numFmtId="0" fontId="8" fillId="0" borderId="0" pivotButton="0" quotePrefix="0" xfId="7"/>
    <xf numFmtId="0" fontId="12" fillId="0" borderId="0" applyAlignment="1" pivotButton="0" quotePrefix="0" xfId="7">
      <alignment vertical="center"/>
    </xf>
    <xf numFmtId="0" fontId="15" fillId="0" borderId="0" applyAlignment="1" pivotButton="0" quotePrefix="0" xfId="7">
      <alignment vertical="center"/>
    </xf>
    <xf numFmtId="0" fontId="16" fillId="0" borderId="0" applyAlignment="1" pivotButton="0" quotePrefix="0" xfId="7">
      <alignment vertical="center"/>
    </xf>
    <xf numFmtId="0" fontId="13" fillId="0" borderId="0" applyAlignment="1" pivotButton="0" quotePrefix="0" xfId="7">
      <alignment vertical="center"/>
    </xf>
    <xf numFmtId="0" fontId="17" fillId="0" borderId="0" applyAlignment="1" pivotButton="0" quotePrefix="0" xfId="7">
      <alignment vertical="center"/>
    </xf>
    <xf numFmtId="0" fontId="12" fillId="0" borderId="0" applyAlignment="1" pivotButton="0" quotePrefix="0" xfId="7">
      <alignment vertical="center"/>
    </xf>
    <xf numFmtId="0" fontId="12" fillId="0" borderId="0" applyAlignment="1" applyProtection="1" pivotButton="0" quotePrefix="0" xfId="7">
      <alignment vertical="center"/>
      <protection locked="0" hidden="0"/>
    </xf>
    <xf numFmtId="0" fontId="12" fillId="0" borderId="0" applyAlignment="1" pivotButton="0" quotePrefix="0" xfId="7">
      <alignment vertical="center"/>
    </xf>
    <xf numFmtId="0" fontId="15" fillId="0" borderId="0" applyAlignment="1" pivotButton="0" quotePrefix="0" xfId="7">
      <alignment horizontal="right" vertical="center"/>
    </xf>
    <xf numFmtId="0" fontId="15" fillId="0" borderId="0" applyAlignment="1" pivotButton="0" quotePrefix="0" xfId="7">
      <alignment vertical="center"/>
    </xf>
    <xf numFmtId="0" fontId="12" fillId="0" borderId="0" applyAlignment="1" applyProtection="1" pivotButton="0" quotePrefix="0" xfId="7">
      <alignment vertical="center"/>
      <protection locked="0" hidden="0"/>
    </xf>
    <xf numFmtId="42" fontId="13" fillId="0" borderId="0" applyAlignment="1" pivotButton="0" quotePrefix="0" xfId="7">
      <alignment vertical="center"/>
    </xf>
    <xf numFmtId="0" fontId="12" fillId="0" borderId="0" pivotButton="0" quotePrefix="0" xfId="7"/>
    <xf numFmtId="166" fontId="12" fillId="0" borderId="8" applyAlignment="1" applyProtection="1" pivotButton="0" quotePrefix="0" xfId="6">
      <alignment vertical="center"/>
      <protection locked="0" hidden="0"/>
    </xf>
    <xf numFmtId="166" fontId="12" fillId="0" borderId="9" applyAlignment="1" pivotButton="0" quotePrefix="0" xfId="6">
      <alignment vertical="center"/>
    </xf>
    <xf numFmtId="166" fontId="12" fillId="0" borderId="0" applyAlignment="1" pivotButton="0" quotePrefix="0" xfId="6">
      <alignment vertical="center"/>
    </xf>
    <xf numFmtId="166" fontId="12" fillId="0" borderId="11" applyAlignment="1" pivotButton="0" quotePrefix="0" xfId="7">
      <alignment vertical="center"/>
    </xf>
    <xf numFmtId="0" fontId="19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1" fontId="19" fillId="7" borderId="10" applyAlignment="1" applyProtection="1" pivotButton="0" quotePrefix="0" xfId="0">
      <alignment horizontal="center" vertical="center"/>
      <protection locked="0" hidden="0"/>
    </xf>
    <xf numFmtId="1" fontId="19" fillId="5" borderId="10" applyAlignment="1" pivotButton="0" quotePrefix="0" xfId="0">
      <alignment horizontal="center" vertical="center"/>
    </xf>
    <xf numFmtId="0" fontId="19" fillId="0" borderId="14" applyAlignment="1" applyProtection="1" pivotButton="0" quotePrefix="0" xfId="0">
      <alignment vertical="center"/>
      <protection locked="0" hidden="0"/>
    </xf>
    <xf numFmtId="1" fontId="19" fillId="7" borderId="14" applyAlignment="1" applyProtection="1" pivotButton="0" quotePrefix="0" xfId="0">
      <alignment horizontal="center" vertical="center"/>
      <protection locked="0" hidden="0"/>
    </xf>
    <xf numFmtId="1" fontId="19" fillId="5" borderId="14" applyAlignment="1" pivotButton="0" quotePrefix="0" xfId="0">
      <alignment horizontal="center" vertical="center"/>
    </xf>
    <xf numFmtId="0" fontId="19" fillId="8" borderId="14" applyAlignment="1" pivotButton="0" quotePrefix="0" xfId="0">
      <alignment vertical="center"/>
    </xf>
    <xf numFmtId="167" fontId="19" fillId="0" borderId="14" applyAlignment="1" applyProtection="1" pivotButton="0" quotePrefix="0" xfId="0">
      <alignment horizontal="center" vertical="center"/>
      <protection locked="0" hidden="0"/>
    </xf>
    <xf numFmtId="167" fontId="19" fillId="5" borderId="14" applyAlignment="1" pivotButton="0" quotePrefix="0" xfId="0">
      <alignment horizontal="center" vertical="center"/>
    </xf>
    <xf numFmtId="9" fontId="19" fillId="8" borderId="14" applyAlignment="1" pivotButton="0" quotePrefix="0" xfId="0">
      <alignment horizontal="center" vertical="center"/>
    </xf>
    <xf numFmtId="9" fontId="19" fillId="5" borderId="14" applyAlignment="1" pivotButton="0" quotePrefix="0" xfId="0">
      <alignment horizontal="center" vertical="center"/>
    </xf>
    <xf numFmtId="168" fontId="19" fillId="8" borderId="14" applyAlignment="1" pivotButton="0" quotePrefix="0" xfId="0">
      <alignment horizontal="center" vertical="center"/>
    </xf>
    <xf numFmtId="168" fontId="20" fillId="5" borderId="14" applyAlignment="1" pivotButton="0" quotePrefix="0" xfId="0">
      <alignment horizontal="center" vertical="center"/>
    </xf>
    <xf numFmtId="0" fontId="19" fillId="8" borderId="15" applyAlignment="1" pivotButton="0" quotePrefix="0" xfId="0">
      <alignment vertical="center"/>
    </xf>
    <xf numFmtId="168" fontId="20" fillId="5" borderId="15" applyAlignment="1" pivotButton="0" quotePrefix="0" xfId="0">
      <alignment horizontal="center" vertical="center"/>
    </xf>
    <xf numFmtId="167" fontId="19" fillId="8" borderId="14" applyAlignment="1" pivotButton="0" quotePrefix="0" xfId="0">
      <alignment horizontal="center" vertical="center"/>
    </xf>
    <xf numFmtId="1" fontId="19" fillId="7" borderId="10" applyAlignment="1" applyProtection="1" pivotButton="0" quotePrefix="0" xfId="0">
      <alignment horizontal="left" vertical="center"/>
      <protection locked="0" hidden="0"/>
    </xf>
    <xf numFmtId="0" fontId="23" fillId="6" borderId="0" applyAlignment="1" pivotButton="0" quotePrefix="0" xfId="0">
      <alignment vertical="center"/>
    </xf>
    <xf numFmtId="0" fontId="24" fillId="6" borderId="0" applyAlignment="1" pivotButton="0" quotePrefix="0" xfId="0">
      <alignment vertical="center"/>
    </xf>
    <xf numFmtId="0" fontId="23" fillId="6" borderId="0" applyAlignment="1" pivotButton="0" quotePrefix="0" xfId="0">
      <alignment horizontal="center" vertical="center"/>
    </xf>
    <xf numFmtId="0" fontId="19" fillId="8" borderId="10" applyAlignment="1" pivotButton="0" quotePrefix="0" xfId="0">
      <alignment vertical="center"/>
    </xf>
    <xf numFmtId="167" fontId="19" fillId="0" borderId="10" applyAlignment="1" applyProtection="1" pivotButton="0" quotePrefix="0" xfId="0">
      <alignment horizontal="center" vertical="center"/>
      <protection locked="0" hidden="0"/>
    </xf>
    <xf numFmtId="167" fontId="19" fillId="5" borderId="10" applyAlignment="1" pivotButton="0" quotePrefix="0" xfId="0">
      <alignment horizontal="center" vertical="center"/>
    </xf>
    <xf numFmtId="168" fontId="19" fillId="8" borderId="10" applyAlignment="1" pivotButton="0" quotePrefix="0" xfId="0">
      <alignment horizontal="center" vertical="center"/>
    </xf>
    <xf numFmtId="168" fontId="20" fillId="5" borderId="10" applyAlignment="1" pivotButton="0" quotePrefix="0" xfId="0">
      <alignment horizontal="center" vertical="center"/>
    </xf>
    <xf numFmtId="167" fontId="19" fillId="8" borderId="10" applyAlignment="1" pivotButton="0" quotePrefix="0" xfId="0">
      <alignment horizontal="center" vertical="center"/>
    </xf>
    <xf numFmtId="9" fontId="19" fillId="8" borderId="10" applyAlignment="1" pivotButton="0" quotePrefix="0" xfId="0">
      <alignment horizontal="center" vertical="center"/>
    </xf>
    <xf numFmtId="9" fontId="19" fillId="5" borderId="10" applyAlignment="1" pivotButton="0" quotePrefix="0" xfId="0">
      <alignment horizontal="center" vertical="center"/>
    </xf>
    <xf numFmtId="169" fontId="24" fillId="2" borderId="0" applyAlignment="1" pivotButton="0" quotePrefix="0" xfId="3">
      <alignment horizontal="center" vertical="center"/>
    </xf>
    <xf numFmtId="0" fontId="24" fillId="2" borderId="0" applyAlignment="1" pivotButton="0" quotePrefix="0" xfId="3">
      <alignment horizontal="center" vertical="center"/>
    </xf>
    <xf numFmtId="168" fontId="19" fillId="8" borderId="15" applyAlignment="1" pivotButton="0" quotePrefix="0" xfId="0">
      <alignment horizontal="center" vertical="center"/>
    </xf>
    <xf numFmtId="0" fontId="20" fillId="5" borderId="2" applyAlignment="1" pivotButton="0" quotePrefix="0" xfId="0">
      <alignment vertical="center"/>
    </xf>
    <xf numFmtId="168" fontId="20" fillId="5" borderId="2" applyAlignment="1" pivotButton="0" quotePrefix="0" xfId="0">
      <alignment horizontal="center" vertical="center"/>
    </xf>
    <xf numFmtId="167" fontId="19" fillId="8" borderId="15" applyAlignment="1" pivotButton="0" quotePrefix="0" xfId="0">
      <alignment horizontal="center" vertical="center"/>
    </xf>
    <xf numFmtId="167" fontId="19" fillId="5" borderId="15" applyAlignment="1" pivotButton="0" quotePrefix="0" xfId="0">
      <alignment horizontal="center" vertical="center"/>
    </xf>
    <xf numFmtId="167" fontId="19" fillId="0" borderId="15" applyAlignment="1" applyProtection="1" pivotButton="0" quotePrefix="0" xfId="0">
      <alignment horizontal="center" vertical="center"/>
      <protection locked="0" hidden="0"/>
    </xf>
    <xf numFmtId="9" fontId="19" fillId="8" borderId="15" applyAlignment="1" pivotButton="0" quotePrefix="0" xfId="0">
      <alignment horizontal="center" vertical="center"/>
    </xf>
    <xf numFmtId="9" fontId="19" fillId="5" borderId="15" applyAlignment="1" pivotButton="0" quotePrefix="0" xfId="0">
      <alignment horizontal="center" vertical="center"/>
    </xf>
    <xf numFmtId="0" fontId="19" fillId="0" borderId="15" applyAlignment="1" applyProtection="1" pivotButton="0" quotePrefix="0" xfId="0">
      <alignment vertical="center"/>
      <protection locked="0" hidden="0"/>
    </xf>
    <xf numFmtId="1" fontId="19" fillId="7" borderId="15" applyAlignment="1" applyProtection="1" pivotButton="0" quotePrefix="0" xfId="0">
      <alignment horizontal="center" vertical="center"/>
      <protection locked="0" hidden="0"/>
    </xf>
    <xf numFmtId="1" fontId="19" fillId="5" borderId="15" applyAlignment="1" pivotButton="0" quotePrefix="0" xfId="0">
      <alignment horizontal="center" vertical="center"/>
    </xf>
    <xf numFmtId="0" fontId="22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19" fillId="7" borderId="0" applyAlignment="1" pivotButton="0" quotePrefix="0" xfId="0">
      <alignment vertical="center"/>
    </xf>
    <xf numFmtId="0" fontId="24" fillId="11" borderId="0" applyAlignment="1" pivotButton="0" quotePrefix="0" xfId="0">
      <alignment horizontal="center" vertical="center"/>
    </xf>
    <xf numFmtId="168" fontId="19" fillId="10" borderId="2" applyAlignment="1" pivotButton="0" quotePrefix="0" xfId="0">
      <alignment horizontal="center" vertical="center"/>
    </xf>
    <xf numFmtId="1" fontId="19" fillId="7" borderId="16" applyAlignment="1" pivotButton="0" quotePrefix="0" xfId="0">
      <alignment horizontal="center" vertical="center"/>
    </xf>
    <xf numFmtId="1" fontId="19" fillId="7" borderId="17" applyAlignment="1" pivotButton="0" quotePrefix="0" xfId="0">
      <alignment horizontal="center" vertical="center"/>
    </xf>
    <xf numFmtId="9" fontId="19" fillId="4" borderId="16" applyAlignment="1" pivotButton="0" quotePrefix="0" xfId="9">
      <alignment horizontal="center" vertical="center"/>
    </xf>
    <xf numFmtId="9" fontId="19" fillId="4" borderId="17" applyAlignment="1" pivotButton="0" quotePrefix="0" xfId="9">
      <alignment horizontal="center" vertical="center"/>
    </xf>
    <xf numFmtId="0" fontId="19" fillId="8" borderId="17" applyAlignment="1" pivotButton="0" quotePrefix="0" xfId="0">
      <alignment vertical="center"/>
    </xf>
    <xf numFmtId="167" fontId="19" fillId="7" borderId="17" applyAlignment="1" pivotButton="0" quotePrefix="0" xfId="0">
      <alignment horizontal="center" vertical="center"/>
    </xf>
    <xf numFmtId="167" fontId="19" fillId="4" borderId="17" applyAlignment="1" pivotButton="0" quotePrefix="0" xfId="0">
      <alignment horizontal="center" vertical="center"/>
    </xf>
    <xf numFmtId="9" fontId="19" fillId="7" borderId="17" applyAlignment="1" pivotButton="0" quotePrefix="0" xfId="0">
      <alignment horizontal="center" vertical="center"/>
    </xf>
    <xf numFmtId="9" fontId="19" fillId="4" borderId="17" applyAlignment="1" pivotButton="0" quotePrefix="0" xfId="0">
      <alignment horizontal="center" vertical="center"/>
    </xf>
    <xf numFmtId="168" fontId="20" fillId="7" borderId="17" applyAlignment="1" pivotButton="0" quotePrefix="0" xfId="0">
      <alignment horizontal="center" vertical="center"/>
    </xf>
    <xf numFmtId="0" fontId="19" fillId="8" borderId="18" applyAlignment="1" pivotButton="0" quotePrefix="0" xfId="0">
      <alignment vertical="center"/>
    </xf>
    <xf numFmtId="168" fontId="20" fillId="7" borderId="18" applyAlignment="1" pivotButton="0" quotePrefix="0" xfId="0">
      <alignment horizontal="center" vertical="center"/>
    </xf>
    <xf numFmtId="168" fontId="19" fillId="4" borderId="17" applyAlignment="1" pivotButton="0" quotePrefix="0" xfId="0">
      <alignment horizontal="center" vertical="center"/>
    </xf>
    <xf numFmtId="168" fontId="19" fillId="4" borderId="18" applyAlignment="1" pivotButton="0" quotePrefix="0" xfId="0">
      <alignment horizontal="center" vertical="center"/>
    </xf>
    <xf numFmtId="0" fontId="19" fillId="8" borderId="16" applyAlignment="1" pivotButton="0" quotePrefix="0" xfId="0">
      <alignment vertical="center"/>
    </xf>
    <xf numFmtId="168" fontId="20" fillId="7" borderId="16" applyAlignment="1" pivotButton="0" quotePrefix="0" xfId="0">
      <alignment horizontal="center" vertical="center"/>
    </xf>
    <xf numFmtId="168" fontId="19" fillId="4" borderId="16" applyAlignment="1" pivotButton="0" quotePrefix="0" xfId="0">
      <alignment horizontal="center" vertical="center"/>
    </xf>
    <xf numFmtId="9" fontId="19" fillId="7" borderId="16" applyAlignment="1" pivotButton="0" quotePrefix="0" xfId="0">
      <alignment horizontal="center" vertical="center"/>
    </xf>
    <xf numFmtId="9" fontId="19" fillId="4" borderId="16" applyAlignment="1" pivotButton="0" quotePrefix="0" xfId="0">
      <alignment horizontal="center" vertical="center"/>
    </xf>
    <xf numFmtId="167" fontId="19" fillId="7" borderId="16" applyAlignment="1" pivotButton="0" quotePrefix="0" xfId="0">
      <alignment horizontal="center" vertical="center"/>
    </xf>
    <xf numFmtId="167" fontId="19" fillId="4" borderId="16" applyAlignment="1" pivotButton="0" quotePrefix="0" xfId="0">
      <alignment horizontal="center" vertical="center"/>
    </xf>
    <xf numFmtId="0" fontId="27" fillId="5" borderId="0" applyAlignment="1" pivotButton="0" quotePrefix="0" xfId="0">
      <alignment vertical="center"/>
    </xf>
    <xf numFmtId="0" fontId="28" fillId="5" borderId="0" applyAlignment="1" pivotButton="0" quotePrefix="0" xfId="0">
      <alignment horizontal="center" vertical="center"/>
    </xf>
    <xf numFmtId="0" fontId="26" fillId="11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applyProtection="1" pivotButton="0" quotePrefix="0" xfId="0">
      <alignment vertical="center"/>
      <protection locked="0" hidden="0"/>
    </xf>
    <xf numFmtId="165" fontId="12" fillId="0" borderId="0" applyAlignment="1" pivotButton="0" quotePrefix="0" xfId="9">
      <alignment horizontal="right" vertical="center"/>
    </xf>
    <xf numFmtId="41" fontId="12" fillId="0" borderId="0" applyAlignment="1" pivotButton="0" quotePrefix="0" xfId="9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2" fillId="0" borderId="0" applyAlignment="1" applyProtection="1" pivotButton="0" quotePrefix="0" xfId="0">
      <alignment vertical="center"/>
      <protection locked="0" hidden="0"/>
    </xf>
    <xf numFmtId="0" fontId="12" fillId="0" borderId="0" pivotButton="0" quotePrefix="0" xfId="0"/>
    <xf numFmtId="0" fontId="30" fillId="0" borderId="0" applyAlignment="1" pivotButton="0" quotePrefix="0" xfId="0">
      <alignment vertical="center"/>
    </xf>
    <xf numFmtId="0" fontId="12" fillId="0" borderId="22" applyAlignment="1" applyProtection="1" pivotButton="0" quotePrefix="0" xfId="0">
      <alignment vertical="center"/>
      <protection locked="0" hidden="0"/>
    </xf>
    <xf numFmtId="166" fontId="12" fillId="0" borderId="0" applyAlignment="1" pivotButton="0" quotePrefix="0" xfId="0">
      <alignment vertical="center"/>
    </xf>
    <xf numFmtId="166" fontId="12" fillId="0" borderId="20" applyAlignment="1" applyProtection="1" pivotButton="0" quotePrefix="0" xfId="6">
      <alignment vertical="center"/>
      <protection locked="0" hidden="0"/>
    </xf>
    <xf numFmtId="166" fontId="12" fillId="0" borderId="23" applyAlignment="1" applyProtection="1" pivotButton="0" quotePrefix="0" xfId="6">
      <alignment vertical="center"/>
      <protection locked="0" hidden="0"/>
    </xf>
    <xf numFmtId="166" fontId="12" fillId="0" borderId="19" applyAlignment="1" applyProtection="1" pivotButton="0" quotePrefix="0" xfId="6">
      <alignment vertical="center"/>
      <protection locked="0" hidden="0"/>
    </xf>
    <xf numFmtId="41" fontId="12" fillId="9" borderId="0" applyAlignment="1" pivotButton="0" quotePrefix="0" xfId="6">
      <alignment vertical="center"/>
    </xf>
    <xf numFmtId="166" fontId="12" fillId="0" borderId="24" applyAlignment="1" applyProtection="1" pivotButton="0" quotePrefix="0" xfId="6">
      <alignment vertical="center"/>
      <protection locked="0" hidden="0"/>
    </xf>
    <xf numFmtId="166" fontId="12" fillId="0" borderId="5" applyAlignment="1" applyProtection="1" pivotButton="0" quotePrefix="0" xfId="6">
      <alignment vertical="center"/>
      <protection locked="0" hidden="0"/>
    </xf>
    <xf numFmtId="0" fontId="9" fillId="0" borderId="0" applyAlignment="1" pivotButton="0" quotePrefix="0" xfId="5">
      <alignment horizontal="left"/>
    </xf>
    <xf numFmtId="0" fontId="31" fillId="0" borderId="0" applyAlignment="1" pivotButton="0" quotePrefix="0" xfId="5">
      <alignment horizontal="left"/>
    </xf>
    <xf numFmtId="0" fontId="13" fillId="0" borderId="0" pivotButton="0" quotePrefix="0" xfId="0"/>
    <xf numFmtId="0" fontId="2" fillId="0" borderId="4" applyAlignment="1" pivotButton="0" quotePrefix="0" xfId="2">
      <alignment vertical="center"/>
    </xf>
    <xf numFmtId="0" fontId="12" fillId="0" borderId="0" pivotButton="0" quotePrefix="0" xfId="0"/>
    <xf numFmtId="0" fontId="32" fillId="0" borderId="0" applyAlignment="1" pivotButton="0" quotePrefix="0" xfId="5">
      <alignment horizontal="left"/>
    </xf>
    <xf numFmtId="0" fontId="0" fillId="0" borderId="25" pivotButton="0" quotePrefix="0" xfId="0"/>
    <xf numFmtId="0" fontId="9" fillId="0" borderId="25" applyAlignment="1" pivotButton="0" quotePrefix="0" xfId="5">
      <alignment horizontal="left" wrapText="1"/>
    </xf>
    <xf numFmtId="0" fontId="33" fillId="4" borderId="0" applyAlignment="1" pivotButton="0" quotePrefix="0" xfId="0">
      <alignment vertical="center"/>
    </xf>
    <xf numFmtId="0" fontId="12" fillId="4" borderId="0" applyAlignment="1" pivotButton="0" quotePrefix="0" xfId="0">
      <alignment horizontal="right" vertical="center"/>
    </xf>
    <xf numFmtId="0" fontId="12" fillId="0" borderId="0" pivotButton="0" quotePrefix="0" xfId="0"/>
    <xf numFmtId="0" fontId="12" fillId="0" borderId="0" pivotButton="0" quotePrefix="0" xfId="0"/>
    <xf numFmtId="0" fontId="34" fillId="0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vertical="top"/>
    </xf>
    <xf numFmtId="0" fontId="35" fillId="0" borderId="4" pivotButton="0" quotePrefix="0" xfId="0"/>
    <xf numFmtId="0" fontId="36" fillId="0" borderId="4" applyAlignment="1" pivotButton="0" quotePrefix="0" xfId="0">
      <alignment vertical="top"/>
    </xf>
    <xf numFmtId="0" fontId="12" fillId="0" borderId="4" applyAlignment="1" pivotButton="0" quotePrefix="0" xfId="0">
      <alignment vertical="top"/>
    </xf>
    <xf numFmtId="0" fontId="37" fillId="0" borderId="0" applyAlignment="1" pivotButton="0" quotePrefix="0" xfId="0">
      <alignment horizontal="left" vertical="top" wrapText="1" readingOrder="1"/>
    </xf>
    <xf numFmtId="0" fontId="38" fillId="0" borderId="0" applyAlignment="1" pivotButton="0" quotePrefix="0" xfId="0">
      <alignment horizontal="left" vertical="top" wrapText="1" readingOrder="1"/>
    </xf>
    <xf numFmtId="0" fontId="37" fillId="0" borderId="0" applyAlignment="1" pivotButton="0" quotePrefix="0" xfId="0">
      <alignment horizontal="left" vertical="center" wrapText="1" readingOrder="1"/>
    </xf>
    <xf numFmtId="0" fontId="36" fillId="0" borderId="0" applyAlignment="1" pivotButton="0" quotePrefix="0" xfId="0">
      <alignment horizontal="right" vertical="top"/>
    </xf>
    <xf numFmtId="0" fontId="36" fillId="0" borderId="0" applyAlignment="1" pivotButton="0" quotePrefix="0" xfId="0">
      <alignment vertical="top" wrapText="1"/>
    </xf>
    <xf numFmtId="0" fontId="39" fillId="0" borderId="0" pivotButton="0" quotePrefix="0" xfId="0"/>
    <xf numFmtId="0" fontId="12" fillId="0" borderId="25" pivotButton="0" quotePrefix="0" xfId="0"/>
    <xf numFmtId="0" fontId="40" fillId="0" borderId="25" applyAlignment="1" pivotButton="0" quotePrefix="0" xfId="0">
      <alignment horizontal="left" wrapText="1"/>
    </xf>
    <xf numFmtId="0" fontId="29" fillId="0" borderId="25" applyAlignment="1" pivotButton="0" quotePrefix="0" xfId="0">
      <alignment horizontal="left" wrapText="1"/>
    </xf>
    <xf numFmtId="0" fontId="0" fillId="0" borderId="0" applyAlignment="1" pivotButton="0" quotePrefix="0" xfId="0">
      <alignment vertical="top" wrapText="1"/>
    </xf>
    <xf numFmtId="0" fontId="38" fillId="0" borderId="0" applyAlignment="1" pivotButton="0" quotePrefix="0" xfId="0">
      <alignment horizontal="left" vertical="center" wrapText="1" readingOrder="1"/>
    </xf>
    <xf numFmtId="0" fontId="41" fillId="4" borderId="0" applyAlignment="1" pivotButton="0" quotePrefix="0" xfId="0">
      <alignment vertical="center"/>
    </xf>
    <xf numFmtId="1" fontId="19" fillId="7" borderId="15" applyAlignment="1" pivotButton="0" quotePrefix="0" xfId="0">
      <alignment horizontal="center" vertical="center"/>
    </xf>
    <xf numFmtId="9" fontId="19" fillId="4" borderId="15" applyAlignment="1" pivotButton="0" quotePrefix="0" xfId="9">
      <alignment horizontal="center" vertical="center"/>
    </xf>
    <xf numFmtId="167" fontId="19" fillId="7" borderId="15" applyAlignment="1" pivotButton="0" quotePrefix="0" xfId="0">
      <alignment horizontal="center" vertical="center"/>
    </xf>
    <xf numFmtId="167" fontId="19" fillId="4" borderId="15" applyAlignment="1" pivotButton="0" quotePrefix="0" xfId="0">
      <alignment horizontal="center" vertical="center"/>
    </xf>
    <xf numFmtId="9" fontId="19" fillId="7" borderId="15" applyAlignment="1" pivotButton="0" quotePrefix="0" xfId="0">
      <alignment horizontal="center" vertical="center"/>
    </xf>
    <xf numFmtId="9" fontId="19" fillId="4" borderId="15" applyAlignment="1" pivotButton="0" quotePrefix="0" xfId="0">
      <alignment horizontal="center" vertical="center"/>
    </xf>
    <xf numFmtId="0" fontId="19" fillId="7" borderId="16" applyAlignment="1" applyProtection="1" pivotButton="0" quotePrefix="0" xfId="0">
      <alignment vertical="center"/>
      <protection locked="0" hidden="0"/>
    </xf>
    <xf numFmtId="0" fontId="19" fillId="7" borderId="17" applyAlignment="1" applyProtection="1" pivotButton="0" quotePrefix="0" xfId="0">
      <alignment vertical="center"/>
      <protection locked="0" hidden="0"/>
    </xf>
    <xf numFmtId="0" fontId="19" fillId="7" borderId="15" applyAlignment="1" applyProtection="1" pivotButton="0" quotePrefix="0" xfId="0">
      <alignment vertical="center"/>
      <protection locked="0" hidden="0"/>
    </xf>
    <xf numFmtId="0" fontId="9" fillId="0" borderId="0" applyAlignment="1" pivotButton="0" quotePrefix="0" xfId="5">
      <alignment vertical="center"/>
    </xf>
    <xf numFmtId="1" fontId="0" fillId="0" borderId="5" applyAlignment="1" pivotButton="0" quotePrefix="0" xfId="1">
      <alignment vertical="center"/>
    </xf>
    <xf numFmtId="0" fontId="0" fillId="0" borderId="26" pivotButton="0" quotePrefix="0" xfId="0"/>
    <xf numFmtId="0" fontId="42" fillId="0" borderId="0" pivotButton="0" quotePrefix="0" xfId="0"/>
    <xf numFmtId="0" fontId="43" fillId="0" borderId="0" pivotButton="0" quotePrefix="0" xfId="0"/>
    <xf numFmtId="3" fontId="44" fillId="0" borderId="0" applyAlignment="1" pivotButton="0" quotePrefix="0" xfId="0">
      <alignment horizontal="left"/>
    </xf>
    <xf numFmtId="0" fontId="44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right" vertical="center"/>
    </xf>
    <xf numFmtId="0" fontId="43" fillId="0" borderId="0" applyAlignment="1" pivotButton="0" quotePrefix="0" xfId="0">
      <alignment horizontal="right" vertical="center"/>
    </xf>
    <xf numFmtId="9" fontId="47" fillId="8" borderId="0" applyAlignment="1" pivotButton="0" quotePrefix="0" xfId="0">
      <alignment horizontal="center" vertical="center"/>
    </xf>
    <xf numFmtId="168" fontId="48" fillId="5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9" fillId="0" borderId="0" pivotButton="0" quotePrefix="0" xfId="0"/>
    <xf numFmtId="0" fontId="5" fillId="10" borderId="0" applyAlignment="1" pivotButton="0" quotePrefix="0" xfId="3">
      <alignment horizontal="right"/>
    </xf>
    <xf numFmtId="3" fontId="50" fillId="0" borderId="0" pivotButton="0" quotePrefix="0" xfId="0"/>
    <xf numFmtId="3" fontId="1" fillId="5" borderId="27" pivotButton="0" quotePrefix="0" xfId="4"/>
    <xf numFmtId="0" fontId="2" fillId="0" borderId="0" applyAlignment="1" pivotButton="0" quotePrefix="0" xfId="2">
      <alignment vertical="center"/>
    </xf>
    <xf numFmtId="0" fontId="46" fillId="7" borderId="0" applyAlignment="1" pivotButton="0" quotePrefix="0" xfId="0">
      <alignment vertical="center"/>
    </xf>
    <xf numFmtId="9" fontId="47" fillId="7" borderId="0" applyAlignment="1" pivotButton="0" quotePrefix="0" xfId="0">
      <alignment horizontal="center" vertical="center"/>
    </xf>
    <xf numFmtId="168" fontId="48" fillId="7" borderId="0" applyAlignment="1" pivotButton="0" quotePrefix="0" xfId="0">
      <alignment horizontal="center" vertical="center"/>
    </xf>
    <xf numFmtId="0" fontId="4" fillId="5" borderId="2" applyAlignment="1" pivotButton="0" quotePrefix="0" xfId="4">
      <alignment vertical="center"/>
    </xf>
    <xf numFmtId="0" fontId="4" fillId="0" borderId="0" applyAlignment="1" pivotButton="0" quotePrefix="0" xfId="0">
      <alignment vertical="center"/>
    </xf>
    <xf numFmtId="166" fontId="4" fillId="0" borderId="0" applyAlignment="1" pivotButton="0" quotePrefix="0" xfId="1">
      <alignment vertical="center"/>
    </xf>
    <xf numFmtId="0" fontId="4" fillId="0" borderId="4" applyAlignment="1" pivotButton="0" quotePrefix="0" xfId="0">
      <alignment vertical="center"/>
    </xf>
    <xf numFmtId="166" fontId="4" fillId="0" borderId="4" applyAlignment="1" pivotButton="0" quotePrefix="0" xfId="1">
      <alignment vertical="center"/>
    </xf>
    <xf numFmtId="0" fontId="3" fillId="6" borderId="0" applyAlignment="1" pivotButton="0" quotePrefix="0" xfId="3">
      <alignment horizontal="center" vertical="center"/>
    </xf>
    <xf numFmtId="10" fontId="0" fillId="0" borderId="5" applyAlignment="1" pivotButton="0" quotePrefix="0" xfId="1">
      <alignment vertical="center"/>
    </xf>
    <xf numFmtId="10" fontId="0" fillId="0" borderId="6" applyAlignment="1" pivotButton="0" quotePrefix="0" xfId="1">
      <alignment vertical="center"/>
    </xf>
    <xf numFmtId="0" fontId="51" fillId="0" borderId="0" applyAlignment="1" pivotButton="0" quotePrefix="0" xfId="0">
      <alignment vertical="center"/>
    </xf>
    <xf numFmtId="0" fontId="4" fillId="5" borderId="0" applyAlignment="1" pivotButton="0" quotePrefix="0" xfId="4">
      <alignment vertical="center"/>
    </xf>
    <xf numFmtId="0" fontId="1" fillId="5" borderId="0" applyAlignment="1" pivotButton="0" quotePrefix="0" xfId="4">
      <alignment vertical="center"/>
    </xf>
    <xf numFmtId="170" fontId="0" fillId="0" borderId="5" applyAlignment="1" pivotButton="0" quotePrefix="0" xfId="1">
      <alignment vertical="center"/>
    </xf>
    <xf numFmtId="170" fontId="0" fillId="0" borderId="6" applyAlignment="1" pivotButton="0" quotePrefix="0" xfId="1">
      <alignment vertical="center"/>
    </xf>
    <xf numFmtId="170" fontId="4" fillId="5" borderId="2" applyAlignment="1" pivotButton="0" quotePrefix="0" xfId="1">
      <alignment vertical="center"/>
    </xf>
    <xf numFmtId="0" fontId="0" fillId="0" borderId="2" pivotButton="0" quotePrefix="0" xfId="0"/>
    <xf numFmtId="0" fontId="43" fillId="0" borderId="2" applyAlignment="1" pivotButton="0" quotePrefix="0" xfId="0">
      <alignment horizontal="right" vertical="center"/>
    </xf>
    <xf numFmtId="170" fontId="0" fillId="0" borderId="28" applyAlignment="1" pivotButton="0" quotePrefix="0" xfId="1">
      <alignment vertical="center"/>
    </xf>
    <xf numFmtId="170" fontId="4" fillId="5" borderId="0" applyAlignment="1" pivotButton="0" quotePrefix="0" xfId="1">
      <alignment vertical="center"/>
    </xf>
    <xf numFmtId="10" fontId="4" fillId="5" borderId="0" applyAlignment="1" pivotButton="0" quotePrefix="0" xfId="1">
      <alignment vertical="center"/>
    </xf>
    <xf numFmtId="171" fontId="4" fillId="5" borderId="2" applyAlignment="1" pivotButton="0" quotePrefix="0" xfId="1">
      <alignment vertical="center"/>
    </xf>
    <xf numFmtId="0" fontId="45" fillId="0" borderId="29" applyAlignment="1" pivotButton="0" quotePrefix="0" xfId="0">
      <alignment horizontal="center" vertical="center"/>
    </xf>
    <xf numFmtId="0" fontId="43" fillId="7" borderId="0" applyAlignment="1" pivotButton="0" quotePrefix="0" xfId="0">
      <alignment horizontal="right" vertical="center"/>
    </xf>
    <xf numFmtId="0" fontId="45" fillId="7" borderId="0" applyAlignment="1" pivotButton="0" quotePrefix="0" xfId="0">
      <alignment horizontal="center" vertical="center"/>
    </xf>
    <xf numFmtId="0" fontId="45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45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43" fillId="0" borderId="0" applyAlignment="1" pivotButton="0" quotePrefix="0" xfId="0">
      <alignment horizontal="right" vertical="center"/>
    </xf>
    <xf numFmtId="0" fontId="0" fillId="7" borderId="0" pivotButton="0" quotePrefix="0" xfId="0"/>
    <xf numFmtId="170" fontId="4" fillId="4" borderId="2" applyAlignment="1" pivotButton="0" quotePrefix="0" xfId="1">
      <alignment vertical="center"/>
    </xf>
    <xf numFmtId="0" fontId="12" fillId="0" borderId="22" applyAlignment="1" applyProtection="1" pivotButton="0" quotePrefix="0" xfId="7">
      <alignment vertical="center"/>
      <protection locked="0" hidden="0"/>
    </xf>
    <xf numFmtId="0" fontId="17" fillId="4" borderId="2" applyAlignment="1" pivotButton="0" quotePrefix="0" xfId="7">
      <alignment horizontal="right" vertical="center"/>
    </xf>
    <xf numFmtId="166" fontId="17" fillId="4" borderId="2" applyAlignment="1" pivotButton="0" quotePrefix="0" xfId="7">
      <alignment vertical="center"/>
    </xf>
    <xf numFmtId="0" fontId="17" fillId="5" borderId="0" applyAlignment="1" pivotButton="0" quotePrefix="0" xfId="7">
      <alignment horizontal="left" vertical="center"/>
    </xf>
    <xf numFmtId="166" fontId="17" fillId="5" borderId="0" applyAlignment="1" pivotButton="0" quotePrefix="0" xfId="7">
      <alignment vertical="center"/>
    </xf>
    <xf numFmtId="0" fontId="17" fillId="4" borderId="30" applyAlignment="1" pivotButton="0" quotePrefix="0" xfId="7">
      <alignment horizontal="right" vertical="center"/>
    </xf>
    <xf numFmtId="166" fontId="17" fillId="4" borderId="30" applyAlignment="1" pivotButton="0" quotePrefix="0" xfId="7">
      <alignment vertical="center"/>
    </xf>
    <xf numFmtId="0" fontId="17" fillId="5" borderId="2" applyAlignment="1" pivotButton="0" quotePrefix="0" xfId="7">
      <alignment horizontal="left" vertical="center"/>
    </xf>
    <xf numFmtId="166" fontId="17" fillId="5" borderId="2" applyAlignment="1" pivotButton="0" quotePrefix="0" xfId="7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6" fontId="4" fillId="4" borderId="2" applyAlignment="1" pivotButton="0" quotePrefix="0" xfId="1">
      <alignment vertical="center"/>
    </xf>
    <xf numFmtId="0" fontId="17" fillId="5" borderId="2" applyAlignment="1" pivotButton="0" quotePrefix="0" xfId="0">
      <alignment vertical="center"/>
    </xf>
    <xf numFmtId="166" fontId="17" fillId="5" borderId="2" applyAlignment="1" pivotButton="0" quotePrefix="0" xfId="0">
      <alignment vertical="center"/>
    </xf>
    <xf numFmtId="166" fontId="12" fillId="0" borderId="6" applyAlignment="1" applyProtection="1" pivotButton="0" quotePrefix="0" xfId="6">
      <alignment vertical="center"/>
      <protection locked="0" hidden="0"/>
    </xf>
    <xf numFmtId="0" fontId="17" fillId="5" borderId="0" applyAlignment="1" pivotButton="0" quotePrefix="0" xfId="0">
      <alignment vertical="center"/>
    </xf>
    <xf numFmtId="0" fontId="17" fillId="4" borderId="15" applyAlignment="1" pivotButton="0" quotePrefix="0" xfId="0">
      <alignment horizontal="right" vertical="center"/>
    </xf>
    <xf numFmtId="0" fontId="12" fillId="4" borderId="0" applyAlignment="1" applyProtection="1" pivotButton="0" quotePrefix="0" xfId="0">
      <alignment vertical="center"/>
      <protection locked="0" hidden="0"/>
    </xf>
    <xf numFmtId="166" fontId="12" fillId="4" borderId="21" applyAlignment="1" pivotButton="0" quotePrefix="0" xfId="0">
      <alignment vertical="center"/>
    </xf>
    <xf numFmtId="41" fontId="12" fillId="4" borderId="0" applyAlignment="1" pivotButton="0" quotePrefix="0" xfId="9">
      <alignment horizontal="right" vertical="center"/>
    </xf>
    <xf numFmtId="0" fontId="12" fillId="4" borderId="0" applyAlignment="1" pivotButton="0" quotePrefix="0" xfId="0">
      <alignment vertical="center"/>
    </xf>
    <xf numFmtId="41" fontId="15" fillId="4" borderId="0" applyAlignment="1" pivotButton="0" quotePrefix="0" xfId="9">
      <alignment horizontal="right" vertical="center"/>
    </xf>
    <xf numFmtId="0" fontId="17" fillId="4" borderId="2" applyAlignment="1" pivotButton="0" quotePrefix="0" xfId="0">
      <alignment horizontal="right" vertical="center"/>
    </xf>
    <xf numFmtId="166" fontId="17" fillId="4" borderId="2" applyAlignment="1" pivotButton="0" quotePrefix="0" xfId="0">
      <alignment vertical="center"/>
    </xf>
    <xf numFmtId="165" fontId="12" fillId="4" borderId="2" applyAlignment="1" pivotButton="0" quotePrefix="0" xfId="9">
      <alignment horizontal="right" vertical="center"/>
    </xf>
    <xf numFmtId="0" fontId="12" fillId="4" borderId="2" applyAlignment="1" pivotButton="0" quotePrefix="0" xfId="0">
      <alignment vertical="center"/>
    </xf>
    <xf numFmtId="0" fontId="17" fillId="4" borderId="30" applyAlignment="1" pivotButton="0" quotePrefix="0" xfId="0">
      <alignment horizontal="right" vertical="center"/>
    </xf>
    <xf numFmtId="166" fontId="17" fillId="4" borderId="30" applyAlignment="1" pivotButton="0" quotePrefix="0" xfId="0">
      <alignment vertical="center"/>
    </xf>
    <xf numFmtId="165" fontId="12" fillId="4" borderId="30" applyAlignment="1" pivotButton="0" quotePrefix="0" xfId="9">
      <alignment horizontal="right" vertical="center"/>
    </xf>
    <xf numFmtId="0" fontId="12" fillId="4" borderId="30" applyAlignment="1" pivotButton="0" quotePrefix="0" xfId="0">
      <alignment vertical="center"/>
    </xf>
    <xf numFmtId="166" fontId="12" fillId="4" borderId="31" applyAlignment="1" pivotButton="0" quotePrefix="0" xfId="0">
      <alignment vertical="center"/>
    </xf>
    <xf numFmtId="0" fontId="4" fillId="4" borderId="2" applyAlignment="1" pivotButton="0" quotePrefix="0" xfId="0">
      <alignment horizontal="right" vertical="center"/>
    </xf>
    <xf numFmtId="166" fontId="1" fillId="4" borderId="2" applyAlignment="1" pivotButton="0" quotePrefix="0" xfId="1">
      <alignment vertical="center"/>
    </xf>
    <xf numFmtId="168" fontId="4" fillId="5" borderId="0" applyAlignment="1" pivotButton="0" quotePrefix="0" xfId="0">
      <alignment horizontal="right" vertical="center"/>
    </xf>
    <xf numFmtId="168" fontId="0" fillId="7" borderId="0" applyAlignment="1" pivotButton="0" quotePrefix="0" xfId="0">
      <alignment horizontal="right" vertical="center"/>
    </xf>
    <xf numFmtId="0" fontId="5" fillId="6" borderId="0" pivotButton="0" quotePrefix="0" xfId="0"/>
    <xf numFmtId="0" fontId="5" fillId="6" borderId="0" applyAlignment="1" pivotButton="0" quotePrefix="0" xfId="0">
      <alignment horizontal="right" vertical="center"/>
    </xf>
    <xf numFmtId="0" fontId="52" fillId="5" borderId="0" applyAlignment="1" pivotButton="0" quotePrefix="0" xfId="0">
      <alignment vertical="center"/>
    </xf>
    <xf numFmtId="166" fontId="52" fillId="5" borderId="0" applyAlignment="1" pivotButton="0" quotePrefix="0" xfId="0">
      <alignment vertical="center"/>
    </xf>
    <xf numFmtId="165" fontId="36" fillId="5" borderId="0" applyAlignment="1" pivotButton="0" quotePrefix="0" xfId="9">
      <alignment horizontal="right" vertical="center"/>
    </xf>
    <xf numFmtId="0" fontId="36" fillId="5" borderId="0" applyAlignment="1" pivotButton="0" quotePrefix="0" xfId="0">
      <alignment vertical="center"/>
    </xf>
    <xf numFmtId="0" fontId="52" fillId="5" borderId="2" applyAlignment="1" pivotButton="0" quotePrefix="0" xfId="0">
      <alignment vertical="center"/>
    </xf>
    <xf numFmtId="166" fontId="52" fillId="5" borderId="2" applyAlignment="1" pivotButton="0" quotePrefix="0" xfId="0">
      <alignment vertical="center"/>
    </xf>
    <xf numFmtId="41" fontId="36" fillId="5" borderId="2" applyAlignment="1" pivotButton="0" quotePrefix="0" xfId="9">
      <alignment horizontal="right" vertical="center"/>
    </xf>
    <xf numFmtId="0" fontId="36" fillId="5" borderId="2" applyAlignment="1" pivotButton="0" quotePrefix="0" xfId="0">
      <alignment vertical="center"/>
    </xf>
    <xf numFmtId="0" fontId="17" fillId="9" borderId="0" applyAlignment="1" pivotButton="0" quotePrefix="0" xfId="0">
      <alignment vertical="center"/>
    </xf>
    <xf numFmtId="166" fontId="17" fillId="4" borderId="15" applyAlignment="1" pivotButton="0" quotePrefix="0" xfId="6">
      <alignment vertical="center"/>
    </xf>
    <xf numFmtId="166" fontId="17" fillId="4" borderId="2" applyAlignment="1" pivotButton="0" quotePrefix="0" xfId="6">
      <alignment vertical="center"/>
    </xf>
    <xf numFmtId="166" fontId="17" fillId="4" borderId="30" applyAlignment="1" pivotButton="0" quotePrefix="0" xfId="6">
      <alignment vertical="center"/>
    </xf>
    <xf numFmtId="2" fontId="17" fillId="5" borderId="0" applyAlignment="1" pivotButton="0" quotePrefix="0" xfId="9">
      <alignment vertical="center"/>
    </xf>
    <xf numFmtId="41" fontId="17" fillId="5" borderId="0" applyAlignment="1" pivotButton="0" quotePrefix="0" xfId="6">
      <alignment vertical="center"/>
    </xf>
    <xf numFmtId="164" fontId="4" fillId="4" borderId="2" applyAlignment="1" pivotButton="0" quotePrefix="0" xfId="1">
      <alignment vertical="center"/>
    </xf>
    <xf numFmtId="14" fontId="21" fillId="7" borderId="12" applyAlignment="1" applyProtection="1" pivotButton="0" quotePrefix="0" xfId="0">
      <alignment horizontal="center" vertical="center"/>
      <protection locked="0" hidden="0"/>
    </xf>
    <xf numFmtId="14" fontId="21" fillId="7" borderId="13" applyAlignment="1" applyProtection="1" pivotButton="0" quotePrefix="0" xfId="0">
      <alignment horizontal="center" vertical="center"/>
      <protection locked="0" hidden="0"/>
    </xf>
    <xf numFmtId="0" fontId="53" fillId="12" borderId="35" applyAlignment="1" pivotButton="0" quotePrefix="0" xfId="0">
      <alignment horizontal="center" vertical="center" wrapText="1"/>
    </xf>
    <xf numFmtId="0" fontId="0" fillId="0" borderId="36" applyAlignment="1" pivotButton="0" quotePrefix="0" xfId="0">
      <alignment vertical="top" wrapText="1"/>
    </xf>
    <xf numFmtId="172" fontId="0" fillId="0" borderId="36" applyAlignment="1" pivotButton="0" quotePrefix="0" xfId="0">
      <alignment vertical="top" wrapText="1"/>
    </xf>
    <xf numFmtId="173" fontId="0" fillId="0" borderId="36" applyAlignment="1" pivotButton="0" quotePrefix="0" xfId="0">
      <alignment vertical="top" wrapText="1"/>
    </xf>
    <xf numFmtId="2" fontId="0" fillId="0" borderId="36" applyAlignment="1" pivotButton="0" quotePrefix="0" xfId="0">
      <alignment vertical="top" wrapText="1"/>
    </xf>
    <xf numFmtId="174" fontId="0" fillId="0" borderId="36" applyAlignment="1" pivotButton="0" quotePrefix="0" xfId="0">
      <alignment vertical="top" wrapText="1"/>
    </xf>
    <xf numFmtId="0" fontId="54" fillId="13" borderId="37" applyAlignment="1" pivotButton="0" quotePrefix="0" xfId="0">
      <alignment vertical="center" wrapText="1"/>
    </xf>
    <xf numFmtId="0" fontId="55" fillId="0" borderId="37" applyAlignment="1" pivotButton="0" quotePrefix="0" xfId="0">
      <alignment vertical="top" wrapText="1"/>
    </xf>
    <xf numFmtId="173" fontId="55" fillId="0" borderId="37" applyAlignment="1" pivotButton="0" quotePrefix="0" xfId="0">
      <alignment vertical="top" wrapText="1"/>
    </xf>
    <xf numFmtId="175" fontId="55" fillId="0" borderId="37" applyAlignment="1" pivotButton="0" quotePrefix="0" xfId="0">
      <alignment vertical="top" wrapText="1"/>
    </xf>
    <xf numFmtId="1" fontId="55" fillId="0" borderId="37" applyAlignment="1" pivotButton="0" quotePrefix="0" xfId="0">
      <alignment vertical="top" wrapText="1"/>
    </xf>
    <xf numFmtId="176" fontId="55" fillId="0" borderId="37" applyAlignment="1" pivotButton="0" quotePrefix="0" xfId="0">
      <alignment vertical="top" wrapText="1"/>
    </xf>
    <xf numFmtId="3" fontId="55" fillId="0" borderId="37" applyAlignment="1" pivotButton="0" quotePrefix="0" xfId="0">
      <alignment vertical="top" wrapText="1"/>
    </xf>
    <xf numFmtId="2" fontId="55" fillId="0" borderId="37" applyAlignment="1" pivotButton="0" quotePrefix="0" xfId="0">
      <alignment vertical="top" wrapText="1"/>
    </xf>
    <xf numFmtId="174" fontId="55" fillId="0" borderId="37" applyAlignment="1" pivotButton="0" quotePrefix="0" xfId="0">
      <alignment vertical="top" wrapText="1"/>
    </xf>
    <xf numFmtId="177" fontId="55" fillId="0" borderId="37" applyAlignment="1" pivotButton="0" quotePrefix="0" xfId="0">
      <alignment vertical="top" wrapText="1"/>
    </xf>
    <xf numFmtId="4" fontId="55" fillId="0" borderId="37" applyAlignment="1" pivotButton="0" quotePrefix="0" xfId="0">
      <alignment vertical="top" wrapText="1"/>
    </xf>
  </cellXfs>
  <cellStyles count="10">
    <cellStyle name="Normal" xfId="0" builtinId="0"/>
    <cellStyle name="Comma" xfId="1" builtinId="3"/>
    <cellStyle name="Heading 1" xfId="2" builtinId="16"/>
    <cellStyle name="Accent1" xfId="3" builtinId="29"/>
    <cellStyle name="40% - Accent1" xfId="4" builtinId="31"/>
    <cellStyle name="Hyperlink" xfId="5" builtinId="8"/>
    <cellStyle name="Currency" xfId="6" builtinId="4"/>
    <cellStyle name="Normal 2" xfId="7"/>
    <cellStyle name="Hyperlink 2" xfId="8"/>
    <cellStyle name="Percent" xfId="9" builtinId="5"/>
  </cellStyles>
  <dxfs count="8">
    <dxf>
      <font>
        <condense val="0"/>
        <color indexed="10"/>
        <extend val="0"/>
      </font>
    </dxf>
    <dxf>
      <font>
        <condense val="0"/>
        <color indexed="10"/>
        <extend val="0"/>
      </font>
    </dxf>
    <dxf>
      <font>
        <name val="Calibri"/>
        <b val="1"/>
        <strike val="0"/>
        <outline val="0"/>
        <shadow val="0"/>
        <color theme="1"/>
        <sz val="11"/>
        <vertAlign val="baseline"/>
        <scheme val="minor"/>
      </font>
      <numFmt numFmtId="10" formatCode="&quot;$&quot;#,##0_);[Red]\(&quot;$&quot;#,##0\)"/>
      <fill>
        <patternFill patternType="solid">
          <fgColor indexed="64"/>
          <bgColor theme="4" tint="0.7999816888943144"/>
        </patternFill>
      </fill>
      <alignment horizontal="right" vertical="center"/>
    </dxf>
    <dxf>
      <numFmt numFmtId="10" formatCode="&quot;$&quot;#,##0_);[Red]\(&quot;$&quot;#,##0\)"/>
      <fill>
        <patternFill patternType="solid">
          <fgColor indexed="64"/>
          <bgColor theme="0"/>
        </patternFill>
      </fill>
      <alignment horizontal="right" vertical="center"/>
    </dxf>
    <dxf>
      <numFmt numFmtId="10" formatCode="&quot;$&quot;#,##0_);[Red]\(&quot;$&quot;#,##0\)"/>
      <fill>
        <patternFill patternType="solid">
          <fgColor indexed="64"/>
          <bgColor theme="0"/>
        </patternFill>
      </fill>
      <alignment horizontal="right"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Calibri"/>
        <strike val="0"/>
        <outline val="0"/>
        <shadow val="0"/>
        <color theme="0"/>
        <sz val="11"/>
        <vertAlign val="baseline"/>
        <scheme val="minor"/>
      </font>
      <fill>
        <patternFill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Resistance Scenario Margins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'Scenarios'!$A$2:$A$4</f>
            </numRef>
          </cat>
          <val>
            <numRef>
              <f>'Scenarios'!$C$2:$C$4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mOhm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3024000" cy="151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1F497D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0" customWidth="1" style="245" min="1" max="1"/>
    <col width="70" customWidth="1" style="245" min="2" max="2"/>
  </cols>
  <sheetData>
    <row r="1" ht="22" customHeight="1" s="245">
      <c r="A1" s="311" t="inlineStr">
        <is>
          <t>field</t>
        </is>
      </c>
      <c r="B1" s="311" t="inlineStr">
        <is>
          <t>value</t>
        </is>
      </c>
    </row>
    <row r="2" ht="34" customHeight="1" s="245">
      <c r="A2" s="312" t="inlineStr">
        <is>
          <t>purpose</t>
        </is>
      </c>
      <c r="B2" s="312" t="inlineStr">
        <is>
          <t>Monthly copper conductor qualification model fed by source_register.xlsx</t>
        </is>
      </c>
    </row>
    <row r="3" ht="34" customHeight="1" s="245">
      <c r="A3" s="312" t="inlineStr">
        <is>
          <t>sector</t>
        </is>
      </c>
      <c r="B3" s="312" t="inlineStr">
        <is>
          <t>chemicals and process industries</t>
        </is>
      </c>
    </row>
    <row r="4" ht="34" customHeight="1" s="245">
      <c r="A4" s="312" t="inlineStr">
        <is>
          <t>template_context_id</t>
        </is>
      </c>
      <c r="B4" s="312" t="inlineStr">
        <is>
          <t>afo.v1.chemical.xlsx.scenario_model.finance_terminal.cc9a6e5ec1e8</t>
        </is>
      </c>
    </row>
    <row r="5" ht="34" customHeight="1" s="245">
      <c r="A5" s="312" t="inlineStr">
        <is>
          <t>dependency</t>
        </is>
      </c>
      <c r="B5" s="312" t="inlineStr">
        <is>
          <t>source_register.xlsx -&gt; technical_findings_matrix.xlsx -&gt; qualification_readout.pptx -&gt; risk_assessment.docx</t>
        </is>
      </c>
    </row>
    <row r="6" ht="34" customHeight="1" s="245">
      <c r="A6" s="312" t="inlineStr">
        <is>
          <t>replacement_status</t>
        </is>
      </c>
      <c r="B6" s="312" t="inlineStr">
        <is>
          <t>All starter text, ranges, and sheets replaced with scenario-specific content</t>
        </is>
      </c>
    </row>
  </sheetData>
  <autoFilter ref="A1:B6"/>
  <pageMargins left="0.25" right="0.25" top="0.35" bottom="0.35" header="0.15" footer="0.1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2" customWidth="1" style="245" min="1" max="1"/>
    <col width="14" customWidth="1" style="245" min="2" max="2"/>
    <col width="12" customWidth="1" style="245" min="3" max="3"/>
    <col width="22" customWidth="1" style="245" min="4" max="4"/>
  </cols>
  <sheetData>
    <row r="1" ht="22" customHeight="1" s="245">
      <c r="A1" s="311" t="inlineStr">
        <is>
          <t>input_name</t>
        </is>
      </c>
      <c r="B1" s="311" t="inlineStr">
        <is>
          <t>value</t>
        </is>
      </c>
      <c r="C1" s="311" t="inlineStr">
        <is>
          <t>unit</t>
        </is>
      </c>
      <c r="D1" s="311" t="inlineStr">
        <is>
          <t>source_anchor</t>
        </is>
      </c>
    </row>
    <row r="2" ht="34" customHeight="1" s="245">
      <c r="A2" s="312" t="inlineStr">
        <is>
          <t>rho_20c</t>
        </is>
      </c>
      <c r="B2" s="313" t="n">
        <v>1.762</v>
      </c>
      <c r="C2" s="312" t="inlineStr">
        <is>
          <t>uOhm-cm</t>
        </is>
      </c>
      <c r="D2" s="312" t="inlineStr">
        <is>
          <t>LR-COND-0726-06</t>
        </is>
      </c>
    </row>
    <row r="3" ht="34" customHeight="1" s="245">
      <c r="A3" s="312" t="inlineStr">
        <is>
          <t>alpha</t>
        </is>
      </c>
      <c r="B3" s="314" t="n">
        <v>0.00393</v>
      </c>
      <c r="C3" s="312" t="inlineStr">
        <is>
          <t>per C</t>
        </is>
      </c>
      <c r="D3" s="312" t="inlineStr">
        <is>
          <t>CFG-QA-CU-0726</t>
        </is>
      </c>
    </row>
    <row r="4" ht="34" customHeight="1" s="245">
      <c r="A4" s="312" t="inlineStr">
        <is>
          <t>reference_temp_c</t>
        </is>
      </c>
      <c r="B4" s="315" t="n">
        <v>20</v>
      </c>
      <c r="C4" s="312" t="inlineStr">
        <is>
          <t>C</t>
        </is>
      </c>
      <c r="D4" s="312" t="inlineStr">
        <is>
          <t>CFG-QA-CU-0726</t>
        </is>
      </c>
    </row>
    <row r="5" ht="34" customHeight="1" s="245">
      <c r="A5" s="312" t="inlineStr">
        <is>
          <t>service_temp_c</t>
        </is>
      </c>
      <c r="B5" s="315" t="n">
        <v>85</v>
      </c>
      <c r="C5" s="312" t="inlineStr">
        <is>
          <t>C</t>
        </is>
      </c>
      <c r="D5" s="312" t="inlineStr">
        <is>
          <t>EMAIL-HB-WINDOW</t>
        </is>
      </c>
    </row>
    <row r="6" ht="34" customHeight="1" s="245">
      <c r="A6" s="312" t="inlineStr">
        <is>
          <t>length_mm</t>
        </is>
      </c>
      <c r="B6" s="315" t="n">
        <v>50</v>
      </c>
      <c r="C6" s="312" t="inlineStr">
        <is>
          <t>mm</t>
        </is>
      </c>
      <c r="D6" s="312" t="inlineStr">
        <is>
          <t>TRACE-HB-225</t>
        </is>
      </c>
    </row>
    <row r="7" ht="34" customHeight="1" s="245">
      <c r="A7" s="312" t="inlineStr">
        <is>
          <t>width_um</t>
        </is>
      </c>
      <c r="B7" s="315" t="n">
        <v>400</v>
      </c>
      <c r="C7" s="312" t="inlineStr">
        <is>
          <t>um</t>
        </is>
      </c>
      <c r="D7" s="312" t="inlineStr">
        <is>
          <t>TRACE-HB-225</t>
        </is>
      </c>
    </row>
    <row r="8" ht="34" customHeight="1" s="245">
      <c r="A8" s="312" t="inlineStr">
        <is>
          <t>thickness_um</t>
        </is>
      </c>
      <c r="B8" s="316" t="n">
        <v>17.8</v>
      </c>
      <c r="C8" s="312" t="inlineStr">
        <is>
          <t>um</t>
        </is>
      </c>
      <c r="D8" s="312" t="inlineStr">
        <is>
          <t>XR17-20260708-04</t>
        </is>
      </c>
    </row>
    <row r="9" ht="34" customHeight="1" s="245">
      <c r="A9" s="312" t="inlineStr">
        <is>
          <t>resistance_limit_mohm</t>
        </is>
      </c>
      <c r="B9" s="317" t="n">
        <v>160</v>
      </c>
      <c r="C9" s="312" t="inlineStr">
        <is>
          <t>mOhm</t>
        </is>
      </c>
      <c r="D9" s="312" t="inlineStr">
        <is>
          <t>CCP-CU-180 Rev. 2</t>
        </is>
      </c>
    </row>
    <row r="10" ht="34" customHeight="1" s="245">
      <c r="A10" s="312" t="inlineStr">
        <is>
          <t>old_rev1_limit_mohm</t>
        </is>
      </c>
      <c r="B10" s="317" t="n">
        <v>170</v>
      </c>
      <c r="C10" s="312" t="inlineStr">
        <is>
          <t>mOhm</t>
        </is>
      </c>
      <c r="D10" s="312" t="inlineStr">
        <is>
          <t>CCP-CU-180 Rev. 1</t>
        </is>
      </c>
    </row>
    <row r="11" ht="34" customHeight="1" s="245">
      <c r="A11" s="312" t="inlineStr">
        <is>
          <t>conductivity_min_iacs</t>
        </is>
      </c>
      <c r="B11" s="318" t="n">
        <v>100.5</v>
      </c>
      <c r="C11" s="312" t="inlineStr">
        <is>
          <t>% IACS</t>
        </is>
      </c>
      <c r="D11" s="312" t="inlineStr">
        <is>
          <t>CCP-CU-180 Rev. 2</t>
        </is>
      </c>
    </row>
    <row r="12" ht="34" customHeight="1" s="245">
      <c r="A12" s="312" t="inlineStr">
        <is>
          <t>hb_thickness_floor_um</t>
        </is>
      </c>
      <c r="B12" s="316" t="n">
        <v>17.5</v>
      </c>
      <c r="C12" s="312" t="inlineStr">
        <is>
          <t>um</t>
        </is>
      </c>
      <c r="D12" s="312" t="inlineStr">
        <is>
          <t>PCN-HB-044 Rev. C</t>
        </is>
      </c>
    </row>
    <row r="13" ht="34" customHeight="1" s="245">
      <c r="A13" s="312" t="inlineStr">
        <is>
          <t>oxygen_limit_ppm</t>
        </is>
      </c>
      <c r="B13" s="316" t="n">
        <v>5</v>
      </c>
      <c r="C13" s="312" t="inlineStr">
        <is>
          <t>ppm</t>
        </is>
      </c>
      <c r="D13" s="312" t="inlineStr">
        <is>
          <t>STD-CU-309</t>
        </is>
      </c>
    </row>
    <row r="14" ht="34" customHeight="1" s="245">
      <c r="A14" s="312" t="inlineStr">
        <is>
          <t>sulfur_limit_ppm</t>
        </is>
      </c>
      <c r="B14" s="316" t="n">
        <v>4</v>
      </c>
      <c r="C14" s="312" t="inlineStr">
        <is>
          <t>ppm</t>
        </is>
      </c>
      <c r="D14" s="312" t="inlineStr">
        <is>
          <t>CQA-CU-772</t>
        </is>
      </c>
    </row>
    <row r="15" ht="34" customHeight="1" s="245">
      <c r="A15" s="312" t="inlineStr">
        <is>
          <t>lead_limit_ppm</t>
        </is>
      </c>
      <c r="B15" s="316" t="n">
        <v>5</v>
      </c>
      <c r="C15" s="312" t="inlineStr">
        <is>
          <t>ppm</t>
        </is>
      </c>
      <c r="D15" s="312" t="inlineStr">
        <is>
          <t>STD-CU-101</t>
        </is>
      </c>
    </row>
    <row r="16" ht="34" customHeight="1" s="245">
      <c r="A16" s="312" t="inlineStr">
        <is>
          <t>bismuth_limit_ppm</t>
        </is>
      </c>
      <c r="B16" s="316" t="n">
        <v>2.5</v>
      </c>
      <c r="C16" s="312" t="inlineStr">
        <is>
          <t>ppm</t>
        </is>
      </c>
      <c r="D16" s="312" t="inlineStr">
        <is>
          <t>STD-CU-214</t>
        </is>
      </c>
    </row>
    <row r="17" ht="34" customHeight="1" s="245">
      <c r="A17" s="312" t="inlineStr">
        <is>
          <t>iron_limit_ppm</t>
        </is>
      </c>
      <c r="B17" s="316" t="n">
        <v>8</v>
      </c>
      <c r="C17" s="312" t="inlineStr">
        <is>
          <t>ppm</t>
        </is>
      </c>
      <c r="D17" s="312" t="inlineStr">
        <is>
          <t>STD-CU-214</t>
        </is>
      </c>
    </row>
    <row r="18" ht="34" customHeight="1" s="245">
      <c r="A18" s="312" t="inlineStr">
        <is>
          <t>nickel_limit_ppm</t>
        </is>
      </c>
      <c r="B18" s="316" t="n">
        <v>5</v>
      </c>
      <c r="C18" s="312" t="inlineStr">
        <is>
          <t>ppm</t>
        </is>
      </c>
      <c r="D18" s="312" t="inlineStr">
        <is>
          <t>STD-CU-309</t>
        </is>
      </c>
    </row>
  </sheetData>
  <autoFilter ref="A1:D18"/>
  <dataValidations count="1">
    <dataValidation sqref="B2:B18" showDropDown="0" showInputMessage="0" showErrorMessage="0" allowBlank="0" type="decimal" operator="greaterThanOrEqual">
      <formula1>0</formula1>
    </dataValidation>
  </dataValidations>
  <pageMargins left="0.25" right="0.25" top="0.35" bottom="0.35" header="0.15" footer="0.1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8" customWidth="1" style="245" min="1" max="1"/>
    <col width="16" customWidth="1" style="245" min="2" max="2"/>
    <col width="52" customWidth="1" style="245" min="3" max="3"/>
    <col width="17" customWidth="1" style="245" min="4" max="4"/>
  </cols>
  <sheetData>
    <row r="1" ht="22" customHeight="1" s="245">
      <c r="A1" s="311" t="inlineStr">
        <is>
          <t>metric</t>
        </is>
      </c>
      <c r="B1" s="311" t="inlineStr">
        <is>
          <t>reported_value</t>
        </is>
      </c>
      <c r="C1" s="311" t="inlineStr">
        <is>
          <t>formula_or_method</t>
        </is>
      </c>
      <c r="D1" s="311" t="inlineStr">
        <is>
          <t>evidence_anchor</t>
        </is>
      </c>
    </row>
    <row r="2" ht="34" customHeight="1" s="245">
      <c r="A2" s="312" t="inlineStr">
        <is>
          <t>resistance_mohm</t>
        </is>
      </c>
      <c r="B2" s="318" t="n">
        <v>155.344304775281</v>
      </c>
      <c r="C2" s="312">
        <f>Inputs!B2*1E-8*(1+Inputs!B3*(Inputs!B5-Inputs!B4))*(Inputs!B6*0.001)/((Inputs!B7*1E-6)*(Inputs!B8*1E-6))*1000</f>
        <v/>
      </c>
      <c r="D2" s="312" t="inlineStr">
        <is>
          <t>EV-RES-01</t>
        </is>
      </c>
    </row>
    <row r="3" ht="34" customHeight="1" s="245">
      <c r="A3" s="312" t="inlineStr">
        <is>
          <t>margin_mohm</t>
        </is>
      </c>
      <c r="B3" s="318" t="n">
        <v>4.65569522471904</v>
      </c>
      <c r="C3" s="312">
        <f>Inputs!B9-B2</f>
        <v/>
      </c>
      <c r="D3" s="312" t="inlineStr">
        <is>
          <t>EV-RES-01</t>
        </is>
      </c>
    </row>
    <row r="4" ht="34" customHeight="1" s="245">
      <c r="A4" s="312" t="inlineStr">
        <is>
          <t>room_temp_resistance_mohm</t>
        </is>
      </c>
      <c r="B4" s="318" t="n">
        <v>123.7359550561798</v>
      </c>
      <c r="C4" s="312">
        <f>Inputs!B2*1E-8*(Inputs!B6*0.001)/((Inputs!B7*1E-6)*(Inputs!B8*1E-6))*1000</f>
        <v/>
      </c>
      <c r="D4" s="312" t="inlineStr">
        <is>
          <t>EV-RES-01</t>
        </is>
      </c>
    </row>
    <row r="5" ht="34" customHeight="1" s="245">
      <c r="A5" s="312" t="inlineStr">
        <is>
          <t>room_temp_understatement_mohm</t>
        </is>
      </c>
      <c r="B5" s="318" t="n">
        <v>31.60834971910114</v>
      </c>
      <c r="C5" s="312">
        <f>B2-B4</f>
        <v/>
      </c>
      <c r="D5" s="312" t="inlineStr">
        <is>
          <t>EV-RES-01</t>
        </is>
      </c>
    </row>
    <row r="6" ht="34" customHeight="1" s="245">
      <c r="A6" s="312" t="inlineStr">
        <is>
          <t>old_rev1_margin_mohm</t>
        </is>
      </c>
      <c r="B6" s="318" t="n">
        <v>14.65569522471904</v>
      </c>
      <c r="C6" s="312">
        <f>Inputs!B10-B2</f>
        <v/>
      </c>
      <c r="D6" s="312" t="inlineStr">
        <is>
          <t>EV-REV-01</t>
        </is>
      </c>
    </row>
    <row r="7" ht="34" customHeight="1" s="245">
      <c r="A7" s="312" t="inlineStr">
        <is>
          <t>protocol_yield_mpa</t>
        </is>
      </c>
      <c r="B7" s="317" t="n">
        <v>219</v>
      </c>
      <c r="C7" s="312" t="inlineStr">
        <is>
          <t>condition matched: 23 C / 101.3 kPa / 1E-3 s^-1</t>
        </is>
      </c>
      <c r="D7" s="312" t="inlineStr">
        <is>
          <t>MECH-0726-01</t>
        </is>
      </c>
    </row>
    <row r="8" ht="34" customHeight="1" s="245">
      <c r="A8" s="312" t="inlineStr">
        <is>
          <t>wrong_condition_yield_mpa</t>
        </is>
      </c>
      <c r="B8" s="317" t="n">
        <v>176</v>
      </c>
      <c r="C8" s="312" t="inlineStr">
        <is>
          <t>non-governing: 85 C / 1E-2 s^-1</t>
        </is>
      </c>
      <c r="D8" s="312" t="inlineStr">
        <is>
          <t>MECH-0726-02</t>
        </is>
      </c>
    </row>
  </sheetData>
  <autoFilter ref="A1:D8"/>
  <pageMargins left="0.25" right="0.25" top="0.35" bottom="0.35" header="0.15" footer="0.1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style="245" min="1" max="1"/>
    <col width="16" customWidth="1" style="245" min="2" max="2"/>
    <col width="15" customWidth="1" style="245" min="3" max="3"/>
    <col width="17" customWidth="1" style="245" min="4" max="4"/>
    <col width="45" customWidth="1" style="245" min="5" max="5"/>
  </cols>
  <sheetData>
    <row r="1" ht="22" customHeight="1" s="245">
      <c r="A1" s="311" t="inlineStr">
        <is>
          <t>scenario</t>
        </is>
      </c>
      <c r="B1" s="311" t="inlineStr">
        <is>
          <t>resistance_mohm</t>
        </is>
      </c>
      <c r="C1" s="311" t="inlineStr">
        <is>
          <t>margin_mohm</t>
        </is>
      </c>
      <c r="D1" s="311" t="inlineStr">
        <is>
          <t>governing_status</t>
        </is>
      </c>
      <c r="E1" s="311" t="inlineStr">
        <is>
          <t>interpretation</t>
        </is>
      </c>
    </row>
    <row r="2" ht="34" customHeight="1" s="245">
      <c r="A2" s="312" t="inlineStr">
        <is>
          <t>governed_85c_rev2</t>
        </is>
      </c>
      <c r="B2" s="318" t="n">
        <v>155.344304775281</v>
      </c>
      <c r="C2" s="318" t="n">
        <v>4.65569522471904</v>
      </c>
      <c r="D2" s="312" t="inlineStr">
        <is>
          <t>governing</t>
        </is>
      </c>
      <c r="E2" s="312" t="inlineStr">
        <is>
          <t>Narrow pass on resistance; hold driven by chemistry/conductivity.</t>
        </is>
      </c>
    </row>
    <row r="3" ht="34" customHeight="1" s="245">
      <c r="A3" s="312" t="inlineStr">
        <is>
          <t>room_temperature_shortcut</t>
        </is>
      </c>
      <c r="B3" s="318" t="n">
        <v>123.7359550561798</v>
      </c>
      <c r="C3" s="318" t="n">
        <v>36.26404494382018</v>
      </c>
      <c r="D3" s="312" t="inlineStr">
        <is>
          <t>non-governing</t>
        </is>
      </c>
      <c r="E3" s="312" t="inlineStr">
        <is>
          <t>Understates resistance by 31.61 mOhm.</t>
        </is>
      </c>
    </row>
    <row r="4" ht="34" customHeight="1" s="245">
      <c r="A4" s="312" t="inlineStr">
        <is>
          <t>old_rev1_limit_shortcut</t>
        </is>
      </c>
      <c r="B4" s="318" t="n">
        <v>155.344304775281</v>
      </c>
      <c r="C4" s="318" t="n">
        <v>14.65569522471904</v>
      </c>
      <c r="D4" s="312" t="inlineStr">
        <is>
          <t>non-governing</t>
        </is>
      </c>
      <c r="E4" s="312" t="inlineStr">
        <is>
          <t>Overstates margin by using obsolete 170 mOhm limit.</t>
        </is>
      </c>
    </row>
  </sheetData>
  <autoFilter ref="A1:E4"/>
  <pageMargins left="0.25" right="0.25" top="0.35" bottom="0.35" header="0.15" footer="0.15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1" customWidth="1" style="245" min="1" max="1"/>
    <col width="25" customWidth="1" style="245" min="2" max="2"/>
    <col width="15" customWidth="1" style="245" min="3" max="3"/>
    <col width="33" customWidth="1" style="245" min="4" max="4"/>
    <col width="45" customWidth="1" style="245" min="5" max="5"/>
  </cols>
  <sheetData>
    <row r="1" ht="22" customHeight="1" s="245">
      <c r="A1" s="311" t="inlineStr">
        <is>
          <t>output_id</t>
        </is>
      </c>
      <c r="B1" s="311" t="inlineStr">
        <is>
          <t>category</t>
        </is>
      </c>
      <c r="C1" s="311" t="inlineStr">
        <is>
          <t>value</t>
        </is>
      </c>
      <c r="D1" s="311" t="inlineStr">
        <is>
          <t>unit_or_status</t>
        </is>
      </c>
      <c r="E1" s="311" t="inlineStr">
        <is>
          <t>evidence_or_dependency</t>
        </is>
      </c>
    </row>
    <row r="2" ht="34" customHeight="1" s="245">
      <c r="A2" s="312" t="inlineStr">
        <is>
          <t>OUT-POP-COUNT</t>
        </is>
      </c>
      <c r="B2" s="312" t="inlineStr">
        <is>
          <t>population</t>
        </is>
      </c>
      <c r="C2" s="317" t="n">
        <v>13</v>
      </c>
      <c r="D2" s="312" t="inlineStr">
        <is>
          <t>material identities</t>
        </is>
      </c>
      <c r="E2" s="312" t="inlineStr">
        <is>
          <t>source_register.xlsx</t>
        </is>
      </c>
    </row>
    <row r="3" ht="34" customHeight="1" s="245">
      <c r="A3" s="312" t="inlineStr">
        <is>
          <t>OUT-FAIL-COUNT</t>
        </is>
      </c>
      <c r="B3" s="312" t="inlineStr">
        <is>
          <t>lot disposition</t>
        </is>
      </c>
      <c r="C3" s="317" t="n">
        <v>2</v>
      </c>
      <c r="D3" s="312" t="inlineStr">
        <is>
          <t>held lots</t>
        </is>
      </c>
      <c r="E3" s="312" t="inlineStr">
        <is>
          <t>LOT-CU-2607-D; LOT-CU-2607-E</t>
        </is>
      </c>
    </row>
    <row r="4" ht="34" customHeight="1" s="245">
      <c r="A4" s="312" t="inlineStr">
        <is>
          <t>OUT-COND-COUNT</t>
        </is>
      </c>
      <c r="B4" s="312" t="inlineStr">
        <is>
          <t>lot disposition</t>
        </is>
      </c>
      <c r="C4" s="317" t="n">
        <v>1</v>
      </c>
      <c r="D4" s="312" t="inlineStr">
        <is>
          <t>conditional release</t>
        </is>
      </c>
      <c r="E4" s="312" t="inlineStr">
        <is>
          <t>LOT-CU-2607-B</t>
        </is>
      </c>
    </row>
    <row r="5" ht="34" customHeight="1" s="245">
      <c r="A5" s="312" t="inlineStr">
        <is>
          <t>RISK-01</t>
        </is>
      </c>
      <c r="B5" s="312" t="inlineStr">
        <is>
          <t>top risk</t>
        </is>
      </c>
      <c r="C5" s="317" t="n">
        <v>80</v>
      </c>
      <c r="D5" s="312" t="inlineStr">
        <is>
          <t>LOT-CU-2607-D Hold</t>
        </is>
      </c>
      <c r="E5" s="312" t="inlineStr">
        <is>
          <t>S breach; conductivity breach; 4.66 mOhm margin</t>
        </is>
      </c>
    </row>
    <row r="6" ht="34" customHeight="1" s="245">
      <c r="A6" s="312" t="inlineStr">
        <is>
          <t>RISK-02</t>
        </is>
      </c>
      <c r="B6" s="312" t="inlineStr">
        <is>
          <t>second risk</t>
        </is>
      </c>
      <c r="C6" s="317" t="n">
        <v>40</v>
      </c>
      <c r="D6" s="312" t="inlineStr">
        <is>
          <t>LOT-CU-2607-E Hold</t>
        </is>
      </c>
      <c r="E6" s="312" t="inlineStr">
        <is>
          <t>Lead breach 5.4 ppm</t>
        </is>
      </c>
    </row>
    <row r="7" ht="34" customHeight="1" s="245">
      <c r="A7" s="312" t="inlineStr">
        <is>
          <t>RISK-03</t>
        </is>
      </c>
      <c r="B7" s="312" t="inlineStr">
        <is>
          <t>third risk</t>
        </is>
      </c>
      <c r="C7" s="317" t="n">
        <v>8</v>
      </c>
      <c r="D7" s="312" t="inlineStr">
        <is>
          <t>LOT-CU-2607-B Conditional release</t>
        </is>
      </c>
      <c r="E7" s="312" t="inlineStr">
        <is>
          <t>MAT-WVR-26-071</t>
        </is>
      </c>
    </row>
    <row r="8" ht="34" customHeight="1" s="245">
      <c r="A8" s="312" t="inlineStr">
        <is>
          <t>CAT-COD-CU</t>
        </is>
      </c>
      <c r="B8" s="312" t="inlineStr">
        <is>
          <t>crystal symmetry</t>
        </is>
      </c>
      <c r="C8" s="317" t="n">
        <v>12</v>
      </c>
      <c r="D8" s="312" t="inlineStr">
        <is>
          <t>standard-condition pure Cu records</t>
        </is>
      </c>
      <c r="E8" s="312" t="inlineStr">
        <is>
          <t>F m -3 m / SG 225</t>
        </is>
      </c>
    </row>
    <row r="9" ht="34" customHeight="1" s="245">
      <c r="A9" s="312" t="inlineStr">
        <is>
          <t>CAT-COD-CU-TOTAL</t>
        </is>
      </c>
      <c r="B9" s="312" t="inlineStr">
        <is>
          <t>crystal symmetry</t>
        </is>
      </c>
      <c r="C9" s="317" t="n">
        <v>22</v>
      </c>
      <c r="D9" s="312" t="inlineStr">
        <is>
          <t>total pure-Cu COD records</t>
        </is>
      </c>
      <c r="E9" s="312" t="inlineStr">
        <is>
          <t>all 22 share F m -3 m / SG 225</t>
        </is>
      </c>
    </row>
    <row r="10" ht="34" customHeight="1" s="245">
      <c r="A10" s="312" t="inlineStr">
        <is>
          <t>OUT-ID-CU2O</t>
        </is>
      </c>
      <c r="B10" s="312" t="inlineStr">
        <is>
          <t>identity resolution</t>
        </is>
      </c>
      <c r="C10" s="319" t="inlineStr">
        <is>
          <t>Cu2O</t>
        </is>
      </c>
      <c r="D10" s="312" t="inlineStr">
        <is>
          <t>MAT-CU2O-CUPRITE</t>
        </is>
      </c>
      <c r="E10" s="312" t="inlineStr">
        <is>
          <t>Cu^1O legacy notation resolves to cuprite, not CuO</t>
        </is>
      </c>
    </row>
    <row r="11" ht="34" customHeight="1" s="245">
      <c r="A11" s="312" t="inlineStr">
        <is>
          <t>CAT-AFLOW-TOP</t>
        </is>
      </c>
      <c r="B11" s="312" t="inlineStr">
        <is>
          <t>formation energy</t>
        </is>
      </c>
      <c r="C11" s="320" t="n">
        <v>-0.0973103</v>
      </c>
      <c r="D11" s="312" t="inlineStr">
        <is>
          <t>eV/atom</t>
        </is>
      </c>
      <c r="E11" s="312" t="inlineStr">
        <is>
          <t>aflow:aca47c434f9e2dc8</t>
        </is>
      </c>
    </row>
    <row r="12" ht="34" customHeight="1" s="245">
      <c r="A12" s="312" t="inlineStr">
        <is>
          <t>CAT-AFLOW-2</t>
        </is>
      </c>
      <c r="B12" s="312" t="inlineStr">
        <is>
          <t>formation energy</t>
        </is>
      </c>
      <c r="C12" s="320" t="n">
        <v>-0.0961982</v>
      </c>
      <c r="D12" s="312" t="inlineStr">
        <is>
          <t>eV/atom</t>
        </is>
      </c>
      <c r="E12" s="312" t="inlineStr">
        <is>
          <t>aflow:53725bf233e77afc</t>
        </is>
      </c>
    </row>
    <row r="13" ht="34" customHeight="1" s="245">
      <c r="A13" s="312" t="inlineStr">
        <is>
          <t>CAT-AFLOW-3</t>
        </is>
      </c>
      <c r="B13" s="312" t="inlineStr">
        <is>
          <t>formation energy</t>
        </is>
      </c>
      <c r="C13" s="320" t="n">
        <v>-0.0915473</v>
      </c>
      <c r="D13" s="312" t="inlineStr">
        <is>
          <t>eV/atom</t>
        </is>
      </c>
      <c r="E13" s="312" t="inlineStr">
        <is>
          <t>aflow:65ad75192503ef40</t>
        </is>
      </c>
    </row>
    <row r="14" ht="34" customHeight="1" s="245">
      <c r="A14" s="312" t="inlineStr">
        <is>
          <t>CAT-OQMD-CU2O</t>
        </is>
      </c>
      <c r="B14" s="312" t="inlineStr">
        <is>
          <t>stability</t>
        </is>
      </c>
      <c r="C14" s="319" t="n">
        <v>0.0004411766666669</v>
      </c>
      <c r="D14" s="312" t="inlineStr">
        <is>
          <t>eV/atom</t>
        </is>
      </c>
      <c r="E14" s="312" t="inlineStr">
        <is>
          <t>Cu2O comparable oxide</t>
        </is>
      </c>
    </row>
    <row r="15" ht="34" customHeight="1" s="245">
      <c r="A15" s="312" t="inlineStr">
        <is>
          <t>CAT-OQMD-CUO</t>
        </is>
      </c>
      <c r="B15" s="312" t="inlineStr">
        <is>
          <t>stability</t>
        </is>
      </c>
      <c r="C15" s="319" t="n">
        <v>0.026504872499999</v>
      </c>
      <c r="D15" s="312" t="inlineStr">
        <is>
          <t>eV/atom</t>
        </is>
      </c>
      <c r="E15" s="312" t="inlineStr">
        <is>
          <t>CuO comparable oxide</t>
        </is>
      </c>
    </row>
    <row r="16" ht="34" customHeight="1" s="245">
      <c r="A16" s="312" t="inlineStr">
        <is>
          <t>CAT-PUBCHEM-SULFATE</t>
        </is>
      </c>
      <c r="B16" s="312" t="inlineStr">
        <is>
          <t>excluded</t>
        </is>
      </c>
      <c r="C16" s="315" t="n">
        <v>24462</v>
      </c>
      <c r="D16" s="312" t="inlineStr">
        <is>
          <t>CID</t>
        </is>
      </c>
      <c r="E16" s="312" t="inlineStr">
        <is>
          <t>identity only, no OQMD sulfate row</t>
        </is>
      </c>
    </row>
    <row r="17" ht="34" customHeight="1" s="245">
      <c r="A17" s="312" t="inlineStr">
        <is>
          <t>PROP-CU-IACS</t>
        </is>
      </c>
      <c r="B17" s="312" t="inlineStr">
        <is>
          <t>measured property</t>
        </is>
      </c>
      <c r="C17" s="318" t="n">
        <v>101.52</v>
      </c>
      <c r="D17" s="312" t="inlineStr">
        <is>
          <t>% IACS</t>
        </is>
      </c>
      <c r="E17" s="312" t="inlineStr">
        <is>
          <t>measured value used instead of 101.0 literature value</t>
        </is>
      </c>
    </row>
    <row r="18" ht="34" customHeight="1" s="245">
      <c r="A18" s="312" t="inlineStr">
        <is>
          <t>PROP-HB-YIELD</t>
        </is>
      </c>
      <c r="B18" s="312" t="inlineStr">
        <is>
          <t>condition-matched property</t>
        </is>
      </c>
      <c r="C18" s="317" t="n">
        <v>219</v>
      </c>
      <c r="D18" s="312" t="inlineStr">
        <is>
          <t>MPa</t>
        </is>
      </c>
      <c r="E18" s="312" t="inlineStr">
        <is>
          <t>23 C / 101.3 kPa / 1E-3 s^-1; 176 MPa accelerated value excluded</t>
        </is>
      </c>
    </row>
    <row r="19" ht="34" customHeight="1" s="245">
      <c r="A19" s="312" t="inlineStr">
        <is>
          <t>PROP-CU-THERMAL</t>
        </is>
      </c>
      <c r="B19" s="312" t="inlineStr">
        <is>
          <t>measured property</t>
        </is>
      </c>
      <c r="C19" s="316" t="n">
        <v>392.6</v>
      </c>
      <c r="D19" s="312" t="inlineStr">
        <is>
          <t>W/mK</t>
        </is>
      </c>
      <c r="E19" s="312" t="inlineStr">
        <is>
          <t>MAT-CU-C101 measured thermal conductivity</t>
        </is>
      </c>
    </row>
    <row r="20" ht="34" customHeight="1" s="245">
      <c r="A20" s="312" t="inlineStr">
        <is>
          <t>PROP-HB-THERMAL</t>
        </is>
      </c>
      <c r="B20" s="312" t="inlineStr">
        <is>
          <t>measured property</t>
        </is>
      </c>
      <c r="C20" s="316" t="n">
        <v>386.8</v>
      </c>
      <c r="D20" s="312" t="inlineStr">
        <is>
          <t>W/mK</t>
        </is>
      </c>
      <c r="E20" s="312" t="inlineStr">
        <is>
          <t>MAT-CU-HBPLATE measured thermal conductivity</t>
        </is>
      </c>
    </row>
    <row r="21" ht="34" customHeight="1" s="245">
      <c r="A21" s="312" t="inlineStr">
        <is>
          <t>PROP-LIT-ONLY</t>
        </is>
      </c>
      <c r="B21" s="312" t="inlineStr">
        <is>
          <t>unverified property</t>
        </is>
      </c>
      <c r="C21" s="317" t="n">
        <v>2</v>
      </c>
      <c r="D21" s="312" t="inlineStr">
        <is>
          <t>literature-only properties</t>
        </is>
      </c>
      <c r="E21" s="312" t="inlineStr">
        <is>
          <t>coefficient of thermal expansion; electromigration activation energy</t>
        </is>
      </c>
    </row>
  </sheetData>
  <autoFilter ref="A1:E21"/>
  <pageMargins left="0.25" right="0.25" top="0.35" bottom="0.35" header="0.15" footer="0.1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style="245" min="1" max="1"/>
    <col width="28" customWidth="1" style="245" min="2" max="2"/>
    <col width="12" customWidth="1" style="245" min="3" max="3"/>
    <col width="14" customWidth="1" style="245" min="4" max="4"/>
    <col width="14" customWidth="1" style="245" min="5" max="5"/>
  </cols>
  <sheetData>
    <row r="1" ht="22" customHeight="1" s="245">
      <c r="A1" s="311" t="inlineStr">
        <is>
          <t>check_id</t>
        </is>
      </c>
      <c r="B1" s="311" t="inlineStr">
        <is>
          <t>check</t>
        </is>
      </c>
      <c r="C1" s="311" t="inlineStr">
        <is>
          <t>expected</t>
        </is>
      </c>
      <c r="D1" s="311" t="inlineStr">
        <is>
          <t>actual</t>
        </is>
      </c>
      <c r="E1" s="311" t="inlineStr">
        <is>
          <t>status</t>
        </is>
      </c>
    </row>
    <row r="2" ht="34" customHeight="1" s="245">
      <c r="A2" s="312" t="inlineStr">
        <is>
          <t>CHK-01</t>
        </is>
      </c>
      <c r="B2" s="312" t="inlineStr">
        <is>
          <t>material identity count</t>
        </is>
      </c>
      <c r="C2" s="317" t="n">
        <v>13</v>
      </c>
      <c r="D2" s="317" t="n">
        <v>13</v>
      </c>
      <c r="E2" s="312">
        <f>IF(C2=D2,"PASS","FAIL")</f>
        <v/>
      </c>
    </row>
    <row r="3" ht="34" customHeight="1" s="245">
      <c r="A3" s="312" t="inlineStr">
        <is>
          <t>CHK-02</t>
        </is>
      </c>
      <c r="B3" s="312" t="inlineStr">
        <is>
          <t>failure lot count</t>
        </is>
      </c>
      <c r="C3" s="317" t="n">
        <v>2</v>
      </c>
      <c r="D3" s="317" t="n">
        <v>2</v>
      </c>
      <c r="E3" s="312">
        <f>IF(C3=D3,"PASS","FAIL")</f>
        <v/>
      </c>
    </row>
    <row r="4" ht="34" customHeight="1" s="245">
      <c r="A4" s="312" t="inlineStr">
        <is>
          <t>CHK-03</t>
        </is>
      </c>
      <c r="B4" s="312" t="inlineStr">
        <is>
          <t>conditional lot count</t>
        </is>
      </c>
      <c r="C4" s="317" t="n">
        <v>1</v>
      </c>
      <c r="D4" s="317" t="n">
        <v>1</v>
      </c>
      <c r="E4" s="312">
        <f>IF(C4=D4,"PASS","FAIL")</f>
        <v/>
      </c>
    </row>
    <row r="5" ht="34" customHeight="1" s="245">
      <c r="A5" s="312" t="inlineStr">
        <is>
          <t>CHK-04</t>
        </is>
      </c>
      <c r="B5" s="312" t="inlineStr">
        <is>
          <t>resistance margin positive</t>
        </is>
      </c>
      <c r="C5" s="321" t="n">
        <v>0</v>
      </c>
      <c r="D5" s="318" t="n">
        <v>4.65569522471904</v>
      </c>
      <c r="E5" s="312">
        <f>IF(D5&gt;C5,"PASS","FAIL")</f>
        <v/>
      </c>
    </row>
    <row r="6" ht="34" customHeight="1" s="245">
      <c r="A6" s="312" t="inlineStr">
        <is>
          <t>CHK-05</t>
        </is>
      </c>
      <c r="B6" s="312" t="inlineStr">
        <is>
          <t>sulfate OQMD exclusion</t>
        </is>
      </c>
      <c r="C6" s="317" t="n">
        <v>0</v>
      </c>
      <c r="D6" s="317" t="n">
        <v>0</v>
      </c>
      <c r="E6" s="312">
        <f>IF(C6=D6,"PASS","FAIL")</f>
        <v/>
      </c>
    </row>
  </sheetData>
  <autoFilter ref="A1:E6"/>
  <pageMargins left="0.25" right="0.25" top="0.35" bottom="0.35" header="0.15" footer="0.1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Materials quality analyst</dc:creator>
  <dc:title xmlns:dc="http://purl.org/dc/elements/1.1/">Copper Qualification Technical Findings Matrix</dc:title>
  <dc:description xmlns:dc="http://purl.org/dc/elements/1.1/">Sector: chemicals and process industries; intended use: copper qualification scenario model; format: XLSX; blueprint: scenario_model; visual system: finance_terminal; variation: cc9a6e5ec1e8; replacement status: complete.</dc:description>
  <dc:subject xmlns:dc="http://purl.org/dc/elements/1.1/">Scenario model for monthly copper conductor release</dc:subject>
  <dcterms:created xmlns:dcterms="http://purl.org/dc/terms/" xmlns:xsi="http://www.w3.org/2001/XMLSchema-instance" xsi:type="dcterms:W3CDTF">2026-07-11T18:58:56Z</dcterms:created>
  <dcterms:modified xmlns:dcterms="http://purl.org/dc/terms/" xmlns:xsi="http://www.w3.org/2001/XMLSchema-instance" xsi:type="dcterms:W3CDTF">2026-07-11T19:26:56Z</dcterms:modified>
  <cp:lastModifiedBy>Materials quality analyst</cp:lastModifiedBy>
  <cp:category>Chemical process materials qualification</cp:category>
  <cp:keywords>afo.v1.chemical.xlsx.scenario_model.finance_terminal.cc9a6e5ec1e8, copper, scenario model, formulas, replacement complete</cp:keywords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/>
  </property>
  <property name="Version" fmtid="{D5CDD505-2E9C-101B-9397-08002B2CF9AE}" pid="3">
    <vt:lpwstr xmlns:vt="http://schemas.openxmlformats.org/officeDocument/2006/docPropsVTypes"/>
  </property>
</Properties>
</file>