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structions" sheetId="1" state="visible" r:id="rId3"/>
    <sheet name="Action_Register" sheetId="2" state="visible" r:id="rId4"/>
    <sheet name="Source_Crosswalk" sheetId="3" state="visible" r:id="rId5"/>
    <sheet name="Timeline" sheetId="4" state="visible" r:id="rId6"/>
    <sheet name="Risk_Matrix" sheetId="5" state="visible" r:id="rId7"/>
    <sheet name="Status_View" sheetId="6" state="visible" r:id="rId8"/>
    <sheet name="Formula_Checks" sheetId="7" state="visible" r:id="rId9"/>
    <sheet name="Lookups" sheetId="8" state="visible" r:id="rId10"/>
    <sheet name="Change_Log" sheetId="9" state="visible" r:id="rId11"/>
  </sheets>
  <definedNames>
    <definedName function="false" hidden="false" localSheetId="1" name="_xlnm.Print_Area" vbProcedure="false">Action_Register!$A$1:$P$36</definedName>
    <definedName function="false" hidden="false" localSheetId="1" name="_xlnm.Print_Titles" vbProcedure="false">Action_Register!$A:$D,Action_Register!$1:$1</definedName>
    <definedName function="false" hidden="true" localSheetId="1" name="_xlnm._FilterDatabase" vbProcedure="false">Action_Register!$A$1:$P$36</definedName>
    <definedName function="false" hidden="false" localSheetId="8" name="_xlnm.Print_Area" vbProcedure="false">Change_Log!$A$1:$D$2</definedName>
    <definedName function="false" hidden="false" localSheetId="8" name="_xlnm.Print_Titles" vbProcedure="false">Change_Log!$1:$1</definedName>
    <definedName function="false" hidden="true" localSheetId="8" name="_xlnm._FilterDatabase" vbProcedure="false">Change_Log!$A$1:$D$2</definedName>
    <definedName function="false" hidden="false" localSheetId="6" name="_xlnm.Print_Area" vbProcedure="false">Formula_Checks!$A$1:$D$6</definedName>
    <definedName function="false" hidden="false" localSheetId="6" name="_xlnm.Print_Titles" vbProcedure="false">Formula_Checks!$1:$1</definedName>
    <definedName function="false" hidden="false" localSheetId="0" name="_xlnm.Print_Area" vbProcedure="false">Instructions!$A$1:$B$12</definedName>
    <definedName function="false" hidden="false" localSheetId="0" name="_xlnm.Print_Titles" vbProcedure="false">Instructions!$1:$3</definedName>
    <definedName function="false" hidden="true" localSheetId="0" name="_xlnm._FilterDatabase" vbProcedure="false">Instructions!$A$3:$B$12</definedName>
    <definedName function="false" hidden="false" localSheetId="7" name="_xlnm.Print_Area" vbProcedure="false">Lookups!$A$1:$C$12</definedName>
    <definedName function="false" hidden="false" localSheetId="7" name="_xlnm.Print_Titles" vbProcedure="false">Lookups!$1:$1</definedName>
    <definedName function="false" hidden="true" localSheetId="7" name="_xlnm._FilterDatabase" vbProcedure="false">Lookups!$A$1:$C$12</definedName>
    <definedName function="false" hidden="false" localSheetId="4" name="_xlnm.Print_Area" vbProcedure="false">Risk_Matrix!$A$1:$H$22</definedName>
    <definedName function="false" hidden="false" localSheetId="4" name="_xlnm.Print_Titles" vbProcedure="false">Risk_Matrix!$1:$1</definedName>
    <definedName function="false" hidden="false" localSheetId="2" name="_xlnm.Print_Area" vbProcedure="false">Source_Crosswalk!$A$1:$I$36</definedName>
    <definedName function="false" hidden="false" localSheetId="2" name="_xlnm.Print_Titles" vbProcedure="false">Source_Crosswalk!$1:$1</definedName>
    <definedName function="false" hidden="true" localSheetId="2" name="_xlnm._FilterDatabase" vbProcedure="false">Source_Crosswalk!$A$1:$I$36</definedName>
    <definedName function="false" hidden="false" localSheetId="5" name="_xlnm.Print_Area" vbProcedure="false">Status_View!$A$1:$D$5</definedName>
    <definedName function="false" hidden="false" localSheetId="5" name="_xlnm.Print_Titles" vbProcedure="false">Status_View!$1:$1</definedName>
    <definedName function="false" hidden="true" localSheetId="5" name="_xlnm._FilterDatabase" vbProcedure="false">Status_View!$A$1:$D$5</definedName>
    <definedName function="false" hidden="false" localSheetId="3" name="_xlnm.Print_Area" vbProcedure="false">Timeline!$A$1:$F$11</definedName>
    <definedName function="false" hidden="false" localSheetId="3" name="_xlnm.Print_Titles" vbProcedure="false">Timeline!$1:$1</definedName>
    <definedName function="false" hidden="true" localSheetId="3" name="_xlnm._FilterDatabase" vbProcedure="false">Timeline!$A$1:$F$11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<sst xmlns="http://schemas.openxmlformats.org/spreadsheetml/2006/main" count="927" uniqueCount="401">
  <si>
    <t xml:space="preserve">Medication reconciliation action register</t>
  </si>
  <si>
    <t xml:space="preserve">Field</t>
  </si>
  <si>
    <t xml:space="preserve">Value</t>
  </si>
  <si>
    <t xml:space="preserve">Case</t>
  </si>
  <si>
    <t xml:space="preserve">CT-2026-0713-18 / Mara Ellison</t>
  </si>
  <si>
    <t xml:space="preserve">Purpose</t>
  </si>
  <si>
    <t xml:space="preserve">Operational reconciliation of all retained medication identities into KEEP, CHANGE, STOP, or CLARIFY dispositions.</t>
  </si>
  <si>
    <t xml:space="preserve">Authoring role or department</t>
  </si>
  <si>
    <t xml:space="preserve">Outpatient Pharmacy Operations</t>
  </si>
  <si>
    <t xml:space="preserve">Reporting period or effective date</t>
  </si>
  <si>
    <t xml:space="preserve">Effective 2026-07-15 for CT-2026-0713-18</t>
  </si>
  <si>
    <t xml:space="preserve">Revision / document status</t>
  </si>
  <si>
    <t xml:space="preserve">Revision 1.0; Final</t>
  </si>
  <si>
    <t xml:space="preserve">Keywords</t>
  </si>
  <si>
    <t xml:space="preserve">medication reconciliation; action register; care transition</t>
  </si>
  <si>
    <t xml:space="preserve">Scope</t>
  </si>
  <si>
    <t xml:space="preserve">Rows cover medication identities for the index care transition only; the same-batch CT-2026-0713-19 pharmacy row is excluded.</t>
  </si>
  <si>
    <t xml:space="preserve">Authority basis</t>
  </si>
  <si>
    <t xml:space="preserve">Final signed transition summary, later prescriber clarification, active allergy verification, and approved formulary reference control over preliminary queue rows and stale source lists.</t>
  </si>
  <si>
    <t xml:space="preserve">Use</t>
  </si>
  <si>
    <t xml:space="preserve">Filter Action_Register by action/risk/owner. Formula_Checks and Risk_Matrix recalculate from the register rows.</t>
  </si>
  <si>
    <t xml:space="preserve">Medication_ID</t>
  </si>
  <si>
    <t xml:space="preserve">Resolved_Medication</t>
  </si>
  <si>
    <t xml:space="preserve">Action</t>
  </si>
  <si>
    <t xml:space="preserve">Risk_Tier</t>
  </si>
  <si>
    <t xml:space="preserve">Source_Presence</t>
  </si>
  <si>
    <t xml:space="preserve">Admission_Label</t>
  </si>
  <si>
    <t xml:space="preserve">Portal_Label</t>
  </si>
  <si>
    <t xml:space="preserve">Pharmacy_Label</t>
  </si>
  <si>
    <t xml:space="preserve">Discharge_Line_ID</t>
  </si>
  <si>
    <t xml:space="preserve">Governing_Evidence</t>
  </si>
  <si>
    <t xml:space="preserve">Issue_Class</t>
  </si>
  <si>
    <t xml:space="preserve">Rationale</t>
  </si>
  <si>
    <t xml:space="preserve">Owner</t>
  </si>
  <si>
    <t xml:space="preserve">Due_Date</t>
  </si>
  <si>
    <t xml:space="preserve">Escalation_Status</t>
  </si>
  <si>
    <t xml:space="preserve">Follow_Up_Question</t>
  </si>
  <si>
    <t xml:space="preserve">MED-001</t>
  </si>
  <si>
    <t xml:space="preserve">apixaban 5 mg tablet</t>
  </si>
  <si>
    <t xml:space="preserve">KEEP</t>
  </si>
  <si>
    <t xml:space="preserve">HIGH</t>
  </si>
  <si>
    <t xml:space="preserve">Admission, Pharmacy, Final summary, Queue/clarification</t>
  </si>
  <si>
    <t xml:space="preserve">Eliquis 5 mg tablet</t>
  </si>
  <si>
    <t xml:space="preserve">DCS-MED-001</t>
  </si>
  <si>
    <t xml:space="preserve">DCS-MED-001; RCQ-7714</t>
  </si>
  <si>
    <t xml:space="preserve">disputed authority</t>
  </si>
  <si>
    <t xml:space="preserve">Final transition summary continues apixaban and supersedes the preliminary warfarin queue row.</t>
  </si>
  <si>
    <t xml:space="preserve">Pharmacist</t>
  </si>
  <si>
    <t xml:space="preserve">Same-day pharmacist review</t>
  </si>
  <si>
    <t xml:space="preserve">MED-002</t>
  </si>
  <si>
    <t xml:space="preserve">warfarin 5 mg tablet</t>
  </si>
  <si>
    <t xml:space="preserve">STOP</t>
  </si>
  <si>
    <t xml:space="preserve">Admission, Patient, Pharmacy, Final summary, Queue/clarification</t>
  </si>
  <si>
    <t xml:space="preserve">warfarin 5 mg once every evening</t>
  </si>
  <si>
    <t xml:space="preserve">warfarin sodium 5 mg tablet</t>
  </si>
  <si>
    <t xml:space="preserve">DCS-STOP-001</t>
  </si>
  <si>
    <t xml:space="preserve">DCS-STOP-001; RCQ-7714</t>
  </si>
  <si>
    <t xml:space="preserve">Final transition summary stops warfarin; preliminary queue action is non-authoritative.</t>
  </si>
  <si>
    <t xml:space="preserve">Cancel/close preliminary warfarin keep row and confirm patient counseling on stopped bottle.</t>
  </si>
  <si>
    <t xml:space="preserve">MED-003</t>
  </si>
  <si>
    <t xml:space="preserve">metoprolol tartrate 50 mg tablet</t>
  </si>
  <si>
    <t xml:space="preserve">MED</t>
  </si>
  <si>
    <t xml:space="preserve">Admission, Patient, Pharmacy, Final summary</t>
  </si>
  <si>
    <t xml:space="preserve">metoprolol tartrate 50 mg morning and bedtime; Lopressor 50 mg twice daily</t>
  </si>
  <si>
    <t xml:space="preserve">DCS-STOP-002</t>
  </si>
  <si>
    <t xml:space="preserve">DCS-STOP-002; DCS-MED-002; PTL-0713-003A/PTL-0713-003B</t>
  </si>
  <si>
    <t xml:space="preserve">duplicate; timing/reversal or correction</t>
  </si>
  <si>
    <t xml:space="preserve">Final transition summary changes therapy to metoprolol succinate ER; portal duplicate should not create a second medication identity.</t>
  </si>
  <si>
    <t xml:space="preserve">Profile/counsel stop</t>
  </si>
  <si>
    <t xml:space="preserve">MED-004</t>
  </si>
  <si>
    <t xml:space="preserve">metoprolol succinate ER 100 mg tablet</t>
  </si>
  <si>
    <t xml:space="preserve">CHANGE</t>
  </si>
  <si>
    <t xml:space="preserve">Final summary</t>
  </si>
  <si>
    <t xml:space="preserve">DCS-MED-002</t>
  </si>
  <si>
    <t xml:space="preserve">DCS-MED-002; FG-SUB-EXCL-02</t>
  </si>
  <si>
    <t xml:space="preserve">deficit or shortfall; timing/reversal or correction</t>
  </si>
  <si>
    <t xml:space="preserve">Final transition summary starts the extended-release product and it is not a formulary duplicate of metoprolol tartrate.</t>
  </si>
  <si>
    <t xml:space="preserve">Verify changed order before fill</t>
  </si>
  <si>
    <t xml:space="preserve">MED-005</t>
  </si>
  <si>
    <t xml:space="preserve">lisinopril 20 mg tablet</t>
  </si>
  <si>
    <t xml:space="preserve">Admission, Pharmacy, Final summary, Allergy</t>
  </si>
  <si>
    <t xml:space="preserve">DCS-STOP-003</t>
  </si>
  <si>
    <t xml:space="preserve">ALG-ACEI-20260712; DCS-STOP-003; RXH-0714-005</t>
  </si>
  <si>
    <t xml:space="preserve">allergy conflict; stale snapshot</t>
  </si>
  <si>
    <t xml:space="preserve">Active allergy update and final transition summary stop lisinopril; pharmacy ready-fill is stale.</t>
  </si>
  <si>
    <t xml:space="preserve">Cancel ready-to-fill lisinopril row and document active allergy conflict.</t>
  </si>
  <si>
    <t xml:space="preserve">MED-006</t>
  </si>
  <si>
    <t xml:space="preserve">losartan 50 mg tablet</t>
  </si>
  <si>
    <t xml:space="preserve">Final summary, Allergy</t>
  </si>
  <si>
    <t xml:space="preserve">DCS-MED-003</t>
  </si>
  <si>
    <t xml:space="preserve">DCS-MED-003; ALG-ACEI-20260712</t>
  </si>
  <si>
    <t xml:space="preserve">deficit or shortfall</t>
  </si>
  <si>
    <t xml:space="preserve">Final transition summary starts losartan after lisinopril stop; this is a new discharge item absent from home lists.</t>
  </si>
  <si>
    <t xml:space="preserve">MED-007</t>
  </si>
  <si>
    <t xml:space="preserve">insulin glargine-yfgn U-100 pen</t>
  </si>
  <si>
    <t xml:space="preserve">Lantus SoloStar U-100 insulin pen</t>
  </si>
  <si>
    <t xml:space="preserve">Lantus insulin pen 28 units every night</t>
  </si>
  <si>
    <t xml:space="preserve">Basaglar KwikPen U-100</t>
  </si>
  <si>
    <t xml:space="preserve">DCS-MED-004</t>
  </si>
  <si>
    <t xml:space="preserve">DCS-MED-004; FG-SUB-001</t>
  </si>
  <si>
    <t xml:space="preserve">substitution; dose change</t>
  </si>
  <si>
    <t xml:space="preserve">Approved insulin glargine product substitution applies, but the discharge dose changes to 30 units nightly.</t>
  </si>
  <si>
    <t xml:space="preserve">MED-009</t>
  </si>
  <si>
    <t xml:space="preserve">insulin lispro U-100 pen</t>
  </si>
  <si>
    <t xml:space="preserve">Humalog KwikPen U-100</t>
  </si>
  <si>
    <t xml:space="preserve">Humalog 6 units with meals</t>
  </si>
  <si>
    <t xml:space="preserve">DCS-MED-005</t>
  </si>
  <si>
    <t xml:space="preserve">DCS-MED-005; RXH-0714-009</t>
  </si>
  <si>
    <t xml:space="preserve">routine control</t>
  </si>
  <si>
    <t xml:space="preserve">Final transition summary continues the current rapid-acting insulin.</t>
  </si>
  <si>
    <t xml:space="preserve">MED-010</t>
  </si>
  <si>
    <t xml:space="preserve">metformin ER 500 mg tablet</t>
  </si>
  <si>
    <t xml:space="preserve">LOW</t>
  </si>
  <si>
    <t xml:space="preserve">metformin ER 500 mg twice a day</t>
  </si>
  <si>
    <t xml:space="preserve">DCS-STOP-004</t>
  </si>
  <si>
    <t xml:space="preserve">Final transition summary stops metformin ER; home and pharmacy rows are stale for discharge.</t>
  </si>
  <si>
    <t xml:space="preserve">MED-011</t>
  </si>
  <si>
    <t xml:space="preserve">furosemide 40 mg tablet</t>
  </si>
  <si>
    <t xml:space="preserve">furosemide 20 mg tablet</t>
  </si>
  <si>
    <t xml:space="preserve">water pill - furosemide 20 mg every morning</t>
  </si>
  <si>
    <t xml:space="preserve">DCS-MED-006</t>
  </si>
  <si>
    <t xml:space="preserve">dose change</t>
  </si>
  <si>
    <t xml:space="preserve">Final transition summary changes dose from 20 mg to 40 mg daily.</t>
  </si>
  <si>
    <t xml:space="preserve">MED-012</t>
  </si>
  <si>
    <t xml:space="preserve">potassium chloride ER 20 mEq tablet</t>
  </si>
  <si>
    <t xml:space="preserve">Klor-Con M20 20 mEq daily</t>
  </si>
  <si>
    <t xml:space="preserve">Klor-Con M20 tablet</t>
  </si>
  <si>
    <t xml:space="preserve">DCS-MED-007</t>
  </si>
  <si>
    <t xml:space="preserve">DCS-MED-007; EML-20260714-1510; FG-SUB-004</t>
  </si>
  <si>
    <t xml:space="preserve">timing/reversal or correction; substitution</t>
  </si>
  <si>
    <t xml:space="preserve">Later prescriber clarification confirms continuation after the lab result; Klor-Con M20 is the same product family.</t>
  </si>
  <si>
    <t xml:space="preserve">Ready if evidence aligns</t>
  </si>
  <si>
    <t xml:space="preserve">Fill/continue KCl after 2026-07-14 15:10 clarification.</t>
  </si>
  <si>
    <t xml:space="preserve">MED-013</t>
  </si>
  <si>
    <t xml:space="preserve">spironolactone 25 mg tablet</t>
  </si>
  <si>
    <t xml:space="preserve">CLARIFY</t>
  </si>
  <si>
    <t xml:space="preserve">Admission, Patient, Pharmacy, Queue/clarification</t>
  </si>
  <si>
    <t xml:space="preserve">spironolactone 25 mg every morning</t>
  </si>
  <si>
    <t xml:space="preserve">RXH-0714-013; EML-20260714-1510</t>
  </si>
  <si>
    <t xml:space="preserve">missing evidence</t>
  </si>
  <si>
    <t xml:space="preserve">Active pharmacy and patient rows exist, but the final transition summary does not address it and email leaves it for cardiology confirmation.</t>
  </si>
  <si>
    <t xml:space="preserve">Prescriber / Cardiology</t>
  </si>
  <si>
    <t xml:space="preserve">Open clarification</t>
  </si>
  <si>
    <t xml:space="preserve">Ask cardiology whether active spironolactone profile should continue.</t>
  </si>
  <si>
    <t xml:space="preserve">MED-014</t>
  </si>
  <si>
    <t xml:space="preserve">aspirin 81 mg EC tablet</t>
  </si>
  <si>
    <t xml:space="preserve">Admission, Patient, Final summary</t>
  </si>
  <si>
    <t xml:space="preserve">aspirin EC 81 mg tablet</t>
  </si>
  <si>
    <t xml:space="preserve">baby aspirin 81 mg daily</t>
  </si>
  <si>
    <t xml:space="preserve">DCS-STOP-005</t>
  </si>
  <si>
    <t xml:space="preserve">Final transition summary stops aspirin.</t>
  </si>
  <si>
    <t xml:space="preserve">MED-015</t>
  </si>
  <si>
    <t xml:space="preserve">clopidogrel 75 mg tablet</t>
  </si>
  <si>
    <t xml:space="preserve">Pharmacy, Final summary</t>
  </si>
  <si>
    <t xml:space="preserve">DCS-STOP-006</t>
  </si>
  <si>
    <t xml:space="preserve">DCS-STOP-006; RXH-0714-015</t>
  </si>
  <si>
    <t xml:space="preserve">surplus or overage</t>
  </si>
  <si>
    <t xml:space="preserve">Pharmacy profile is active, but final transition summary stops clopidogrel.</t>
  </si>
  <si>
    <t xml:space="preserve">Close active pharmacy profile after final stop instruction.</t>
  </si>
  <si>
    <t xml:space="preserve">MED-016</t>
  </si>
  <si>
    <t xml:space="preserve">albuterol HFA inhaler</t>
  </si>
  <si>
    <t xml:space="preserve">albuterol HFA 90 mcg inhaler</t>
  </si>
  <si>
    <t xml:space="preserve">Ventolin rescue inhaler 90 mcg 2 puffs when wheezy</t>
  </si>
  <si>
    <t xml:space="preserve">ProAir HFA 90 mcg inhaler</t>
  </si>
  <si>
    <t xml:space="preserve">DCS-MED-008</t>
  </si>
  <si>
    <t xml:space="preserve">DCS-MED-008; FG-SUB-003</t>
  </si>
  <si>
    <t xml:space="preserve">substitution</t>
  </si>
  <si>
    <t xml:space="preserve">Approved HFA product substitution collapses patient and pharmacy brand variants.</t>
  </si>
  <si>
    <t xml:space="preserve">MED-017</t>
  </si>
  <si>
    <t xml:space="preserve">fluticasone-salmeterol 250/50 Diskus</t>
  </si>
  <si>
    <t xml:space="preserve">Advair Diskus 250/50</t>
  </si>
  <si>
    <t xml:space="preserve">Advair 250/50 1 puff morning and night</t>
  </si>
  <si>
    <t xml:space="preserve">DCS-MED-009</t>
  </si>
  <si>
    <t xml:space="preserve">Final transition summary continues the maintenance inhaler.</t>
  </si>
  <si>
    <t xml:space="preserve">MED-018</t>
  </si>
  <si>
    <t xml:space="preserve">prednisone 10 mg tablet taper</t>
  </si>
  <si>
    <t xml:space="preserve">prednisone 10 mg tablet</t>
  </si>
  <si>
    <t xml:space="preserve">prednisone 10 mg not sure</t>
  </si>
  <si>
    <t xml:space="preserve">DCS-STOP-007</t>
  </si>
  <si>
    <t xml:space="preserve">Final transition summary stops the old taper; patient list was not updated after completion.</t>
  </si>
  <si>
    <t xml:space="preserve">MED-020</t>
  </si>
  <si>
    <t xml:space="preserve">amoxicillin-clavulanate 875/125 mg tablet</t>
  </si>
  <si>
    <t xml:space="preserve">DCS-STOP-008</t>
  </si>
  <si>
    <t xml:space="preserve">ALG-PCN-20240703; DCS-STOP-008</t>
  </si>
  <si>
    <t xml:space="preserve">allergy conflict</t>
  </si>
  <si>
    <t xml:space="preserve">Active penicillin allergy and final transition summary stop the antibiotic.</t>
  </si>
  <si>
    <t xml:space="preserve">Close antibiotic profile against active penicillin allergy and final stop instruction.</t>
  </si>
  <si>
    <t xml:space="preserve">MED-021</t>
  </si>
  <si>
    <t xml:space="preserve">naproxen 500 mg tablet</t>
  </si>
  <si>
    <t xml:space="preserve">Admission, Patient, Final summary, Allergy</t>
  </si>
  <si>
    <t xml:space="preserve">naproxen 500 mg when joints hurt</t>
  </si>
  <si>
    <t xml:space="preserve">DCS-STOP-009</t>
  </si>
  <si>
    <t xml:space="preserve">ALG-NSAID-20260218; DCS-STOP-009</t>
  </si>
  <si>
    <t xml:space="preserve">Active NSAID allergy and final transition summary stop naproxen.</t>
  </si>
  <si>
    <t xml:space="preserve">Document NSAID allergy stop and remove patient-supply continuation.</t>
  </si>
  <si>
    <t xml:space="preserve">MED-022</t>
  </si>
  <si>
    <t xml:space="preserve">acetaminophen 500 mg tablet</t>
  </si>
  <si>
    <t xml:space="preserve">Tylenol 500 mg 2 tablets when needed</t>
  </si>
  <si>
    <t xml:space="preserve">DCS-MED-010</t>
  </si>
  <si>
    <t xml:space="preserve">Final transition summary continues acetaminophen as needed.</t>
  </si>
  <si>
    <t xml:space="preserve">MED-023</t>
  </si>
  <si>
    <t xml:space="preserve">omeprazole 20 mg capsule</t>
  </si>
  <si>
    <t xml:space="preserve">omeprazole 20 mg daily before breakfast</t>
  </si>
  <si>
    <t xml:space="preserve">DCS-MED-011</t>
  </si>
  <si>
    <t xml:space="preserve">DCS-MED-011; FG-SUB-002; EML-20260714-1142</t>
  </si>
  <si>
    <t xml:space="preserve">substitution; disputed authority</t>
  </si>
  <si>
    <t xml:space="preserve">Approved guide converts inpatient pantoprazole to outpatient omeprazole; draft rabeprazole note is not approved.</t>
  </si>
  <si>
    <t xml:space="preserve">Dispense approved outpatient omeprazole substitution, not draft rabeprazole.</t>
  </si>
  <si>
    <t xml:space="preserve">MED-024</t>
  </si>
  <si>
    <t xml:space="preserve">atorvastatin 40 mg tablet</t>
  </si>
  <si>
    <t xml:space="preserve">atorvastatin 40 mg nightly</t>
  </si>
  <si>
    <t xml:space="preserve">DCS-STOP-010</t>
  </si>
  <si>
    <t xml:space="preserve">DCS-STOP-010; FG-SUB-EXCL-01</t>
  </si>
  <si>
    <t xml:space="preserve">non-substitution decoy</t>
  </si>
  <si>
    <t xml:space="preserve">Final transition summary stops atorvastatin; rosuvastatin is a separate discharge start, not a class-level substitution.</t>
  </si>
  <si>
    <t xml:space="preserve">MED-025</t>
  </si>
  <si>
    <t xml:space="preserve">rosuvastatin 20 mg tablet</t>
  </si>
  <si>
    <t xml:space="preserve">DCS-MED-012</t>
  </si>
  <si>
    <t xml:space="preserve">DCS-MED-012; FG-SUB-EXCL-01</t>
  </si>
  <si>
    <t xml:space="preserve">deficit or shortfall; non-substitution decoy</t>
  </si>
  <si>
    <t xml:space="preserve">Final transition summary starts rosuvastatin as a separate medication identity from atorvastatin.</t>
  </si>
  <si>
    <t xml:space="preserve">MED-026</t>
  </si>
  <si>
    <t xml:space="preserve">levothyroxine 75 mcg tablet</t>
  </si>
  <si>
    <t xml:space="preserve">levothyroxine 75 mcg early morning</t>
  </si>
  <si>
    <t xml:space="preserve">DCS-MED-013</t>
  </si>
  <si>
    <t xml:space="preserve">Final transition summary continues levothyroxine.</t>
  </si>
  <si>
    <t xml:space="preserve">MED-027</t>
  </si>
  <si>
    <t xml:space="preserve">sertraline 50 mg tablet</t>
  </si>
  <si>
    <t xml:space="preserve">sertraline 50 mg daily</t>
  </si>
  <si>
    <t xml:space="preserve">DCS-MED-014</t>
  </si>
  <si>
    <t xml:space="preserve">Final transition summary continues sertraline.</t>
  </si>
  <si>
    <t xml:space="preserve">MED-028</t>
  </si>
  <si>
    <t xml:space="preserve">trazodone 50 mg tablet</t>
  </si>
  <si>
    <t xml:space="preserve">trazodone 50 mg at bedtime if needed</t>
  </si>
  <si>
    <t xml:space="preserve">DCS-STOP-011</t>
  </si>
  <si>
    <t xml:space="preserve">Final transition summary stops trazodone despite patient and pharmacy history.</t>
  </si>
  <si>
    <t xml:space="preserve">MED-029</t>
  </si>
  <si>
    <t xml:space="preserve">vitamin D3 2,000 unit capsule</t>
  </si>
  <si>
    <t xml:space="preserve">vitamin D 2000 IU daily</t>
  </si>
  <si>
    <t xml:space="preserve">DCS-MED-015</t>
  </si>
  <si>
    <t xml:space="preserve">Final transition summary continues vitamin D3.</t>
  </si>
  <si>
    <t xml:space="preserve">MED-030</t>
  </si>
  <si>
    <t xml:space="preserve">fish oil 1,000 mg capsule</t>
  </si>
  <si>
    <t xml:space="preserve">Patient, Final summary</t>
  </si>
  <si>
    <t xml:space="preserve">fish oil 1,000 mg daily</t>
  </si>
  <si>
    <t xml:space="preserve">DCS-STOP-012</t>
  </si>
  <si>
    <t xml:space="preserve">PTL-0713-030; DCS-SUPP-RULE</t>
  </si>
  <si>
    <t xml:space="preserve">Patient-only supplement is not carried forward in the final transition summary.</t>
  </si>
  <si>
    <t xml:space="preserve">MED-031</t>
  </si>
  <si>
    <t xml:space="preserve">multivitamin tablet</t>
  </si>
  <si>
    <t xml:space="preserve">multivitamin 1 tablet daily</t>
  </si>
  <si>
    <t xml:space="preserve">DCS-MED-016</t>
  </si>
  <si>
    <t xml:space="preserve">Final transition summary continues multivitamin.</t>
  </si>
  <si>
    <t xml:space="preserve">MED-032</t>
  </si>
  <si>
    <t xml:space="preserve">senna 8.6 mg tablet</t>
  </si>
  <si>
    <t xml:space="preserve">DCS-MED-017</t>
  </si>
  <si>
    <t xml:space="preserve">Final transition summary starts senna; absent from home lists.</t>
  </si>
  <si>
    <t xml:space="preserve">MED-033</t>
  </si>
  <si>
    <t xml:space="preserve">docusate 100 mg capsule</t>
  </si>
  <si>
    <t xml:space="preserve">docusate 100 mg twice daily</t>
  </si>
  <si>
    <t xml:space="preserve">DCS-STOP-013</t>
  </si>
  <si>
    <t xml:space="preserve">Final transition summary stops docusate and starts senna separately.</t>
  </si>
  <si>
    <t xml:space="preserve">MED-034</t>
  </si>
  <si>
    <t xml:space="preserve">oxycodone 5 mg tablet</t>
  </si>
  <si>
    <t xml:space="preserve">oxycodone 5 mg only if pain is bad</t>
  </si>
  <si>
    <t xml:space="preserve">DCS-STOP-014</t>
  </si>
  <si>
    <t xml:space="preserve">Final transition summary stops the prior acute opioid order.</t>
  </si>
  <si>
    <t xml:space="preserve">MED-035</t>
  </si>
  <si>
    <t xml:space="preserve">gabapentin 300 mg capsule</t>
  </si>
  <si>
    <t xml:space="preserve">gabapentin 300 mg three times a day</t>
  </si>
  <si>
    <t xml:space="preserve">DCS-MED-018</t>
  </si>
  <si>
    <t xml:space="preserve">Final transition summary continues gabapentin.</t>
  </si>
  <si>
    <t xml:space="preserve">MED-037</t>
  </si>
  <si>
    <t xml:space="preserve">nitroglycerin 0.4 mg SL tablet</t>
  </si>
  <si>
    <t xml:space="preserve">nitroglycerin 0.4 mg sublingual tablet</t>
  </si>
  <si>
    <t xml:space="preserve">nitro tabs 0.4 mg under tongue if chest pain</t>
  </si>
  <si>
    <t xml:space="preserve">DCS-MED-019</t>
  </si>
  <si>
    <t xml:space="preserve">Final transition summary continues nitroglycerin as needed.</t>
  </si>
  <si>
    <t xml:space="preserve">MED-038</t>
  </si>
  <si>
    <t xml:space="preserve">magnesium oxide 400 mg tablet</t>
  </si>
  <si>
    <t xml:space="preserve">magnesium oxide 400 mg daily</t>
  </si>
  <si>
    <t xml:space="preserve">PTL-0713-038; RXH-0714-038; EML-20260714-1510</t>
  </si>
  <si>
    <t xml:space="preserve">Patient and pharmacy rows exist, but final transition summary does not address it and email asks pharmacy to clarify rather than infer.</t>
  </si>
  <si>
    <t xml:space="preserve">Discharging service</t>
  </si>
  <si>
    <t xml:space="preserve">Ask discharging service whether magnesium oxide should continue.</t>
  </si>
  <si>
    <t xml:space="preserve">Admission_Variant</t>
  </si>
  <si>
    <t xml:space="preserve">Portal_Variants</t>
  </si>
  <si>
    <t xml:space="preserve">Pharmacy_Variant</t>
  </si>
  <si>
    <t xml:space="preserve">Discharge_Variant</t>
  </si>
  <si>
    <t xml:space="preserve">Normalization_Basis</t>
  </si>
  <si>
    <t xml:space="preserve">Do_Not_Merge_With</t>
  </si>
  <si>
    <t xml:space="preserve">Output_Action</t>
  </si>
  <si>
    <t xml:space="preserve">Direct medication identity retained.</t>
  </si>
  <si>
    <t xml:space="preserve">Portal duplicate collapsed: metoprolol tartrate and Lopressor are the same immediate-release product.</t>
  </si>
  <si>
    <t xml:space="preserve">Do not collapse with metoprolol tartrate; final summary changes release form.</t>
  </si>
  <si>
    <t xml:space="preserve">FG-SUB-001 collapses Lantus/Basaglar/glargine-yfgn U-100; final-summary units control.</t>
  </si>
  <si>
    <t xml:space="preserve">FG-SUB-004 collapses Klor-Con M20 with potassium chloride ER 20 mEq.</t>
  </si>
  <si>
    <t xml:space="preserve">FG-SUB-003 collapses Ventolin/ProAir/generic albuterol HFA.</t>
  </si>
  <si>
    <t xml:space="preserve">pantoprazole 40 mg tablet</t>
  </si>
  <si>
    <t xml:space="preserve">FG-SUB-002 maps pantoprazole 40 mg to outpatient omeprazole 20 mg; draft rabeprazole is rejected.</t>
  </si>
  <si>
    <t xml:space="preserve">FG-SUB-EXCL-01 prevents class-level statin collapse.</t>
  </si>
  <si>
    <t xml:space="preserve">FG-SUB-EXCL-01 treats rosuvastatin as a separate discharge start.</t>
  </si>
  <si>
    <t xml:space="preserve">Event_Time</t>
  </si>
  <si>
    <t xml:space="preserve">Evidence_ID</t>
  </si>
  <si>
    <t xml:space="preserve">Record_Type</t>
  </si>
  <si>
    <t xml:space="preserve">Event_Summary</t>
  </si>
  <si>
    <t xml:space="preserve">Authority_Rank</t>
  </si>
  <si>
    <t xml:space="preserve">Effect_On_Register</t>
  </si>
  <si>
    <t xml:space="preserve">2026-07-10 08:12</t>
  </si>
  <si>
    <t xml:space="preserve">ADMEXP-20260712-4419</t>
  </si>
  <si>
    <t xml:space="preserve">Admission source</t>
  </si>
  <si>
    <t xml:space="preserve">home medication history captured for index case</t>
  </si>
  <si>
    <t xml:space="preserve">6</t>
  </si>
  <si>
    <t xml:space="preserve">establishes retained history</t>
  </si>
  <si>
    <t xml:space="preserve">2026-07-12 14:22</t>
  </si>
  <si>
    <t xml:space="preserve">ALG-ACEI-20260712</t>
  </si>
  <si>
    <t xml:space="preserve">Allergy update</t>
  </si>
  <si>
    <t xml:space="preserve">lisinopril angioedema verified as active severe allergy</t>
  </si>
  <si>
    <t xml:space="preserve">3</t>
  </si>
  <si>
    <t xml:space="preserve">lisinopril STOP</t>
  </si>
  <si>
    <t xml:space="preserve">2026-07-13 09:15</t>
  </si>
  <si>
    <t xml:space="preserve">PTLEXP-20260713-0915</t>
  </si>
  <si>
    <t xml:space="preserve">Patient source</t>
  </si>
  <si>
    <t xml:space="preserve">portal list captures patient-entered duplicates and OTC/supplement rows</t>
  </si>
  <si>
    <t xml:space="preserve">duplicate/surplus review</t>
  </si>
  <si>
    <t xml:space="preserve">2026-07-13 11:05</t>
  </si>
  <si>
    <t xml:space="preserve">RCQ-7714</t>
  </si>
  <si>
    <t xml:space="preserve">Queue</t>
  </si>
  <si>
    <t xml:space="preserve">preliminary warfarin keep row entered before final summary</t>
  </si>
  <si>
    <t xml:space="preserve">7</t>
  </si>
  <si>
    <t xml:space="preserve">superseded decoy</t>
  </si>
  <si>
    <t xml:space="preserve">2026-07-13 16:40</t>
  </si>
  <si>
    <t xml:space="preserve">DCS-744201-FINAL</t>
  </si>
  <si>
    <t xml:space="preserve">signed discharge medication section becomes controlling source</t>
  </si>
  <si>
    <t xml:space="preserve">1</t>
  </si>
  <si>
    <t xml:space="preserve">final keep/change/stop actions</t>
  </si>
  <si>
    <t xml:space="preserve">2026-07-14 08:21</t>
  </si>
  <si>
    <t xml:space="preserve">RCQ-7732</t>
  </si>
  <si>
    <t xml:space="preserve">spironolactone active profile but absent from final summary</t>
  </si>
  <si>
    <t xml:space="preserve">open clarification</t>
  </si>
  <si>
    <t xml:space="preserve">2026-07-14 08:24</t>
  </si>
  <si>
    <t xml:space="preserve">RCQ-7737</t>
  </si>
  <si>
    <t xml:space="preserve">magnesium oxide active profile and portal row absent from final summary</t>
  </si>
  <si>
    <t xml:space="preserve">2026-07-14 15:10</t>
  </si>
  <si>
    <t xml:space="preserve">EML-20260714-1510</t>
  </si>
  <si>
    <t xml:space="preserve">Clarification</t>
  </si>
  <si>
    <t xml:space="preserve">prescriber confirms potassium chloride continuation and leaves spironolactone/magnesium unresolved</t>
  </si>
  <si>
    <t xml:space="preserve">2</t>
  </si>
  <si>
    <t xml:space="preserve">potassium KEEP; two CLARIFY rows remain</t>
  </si>
  <si>
    <t xml:space="preserve">2026-07-14 17:05</t>
  </si>
  <si>
    <t xml:space="preserve">RCQ-7751</t>
  </si>
  <si>
    <t xml:space="preserve">PPI substitution row closed using approved formulary guide</t>
  </si>
  <si>
    <t xml:space="preserve">4</t>
  </si>
  <si>
    <t xml:space="preserve">omeprazole CHANGE</t>
  </si>
  <si>
    <t xml:space="preserve">2026-07-15 09:00</t>
  </si>
  <si>
    <t xml:space="preserve">FG-2026-04-R4.2</t>
  </si>
  <si>
    <t xml:space="preserve">Controlled reference</t>
  </si>
  <si>
    <t xml:space="preserve">approved revision remains effective; draft R4.3 not active</t>
  </si>
  <si>
    <t xml:space="preserve">reject rabeprazole/class substitutions</t>
  </si>
  <si>
    <t xml:space="preserve">Action count</t>
  </si>
  <si>
    <t xml:space="preserve">Formula count</t>
  </si>
  <si>
    <t xml:space="preserve">Risk x action</t>
  </si>
  <si>
    <t xml:space="preserve">Count</t>
  </si>
  <si>
    <t xml:space="preserve">Medication_IDs</t>
  </si>
  <si>
    <t xml:space="preserve">Operational_Next_Step</t>
  </si>
  <si>
    <t xml:space="preserve">MED-001, MED-009, MED-012, MED-016, MED-017, MED-022, MED-026, MED-027, MED-029, MED-031, MED-032, MED-035, MED-037</t>
  </si>
  <si>
    <t xml:space="preserve">Prepare/continue fill only after crosswalk evidence aligns.</t>
  </si>
  <si>
    <t xml:space="preserve">MED-004, MED-006, MED-007, MED-011, MED-023, MED-025</t>
  </si>
  <si>
    <t xml:space="preserve">Verify changed order and remove superseded profile rows.</t>
  </si>
  <si>
    <t xml:space="preserve">MED-002, MED-003, MED-005, MED-010, MED-014, MED-015, MED-018, MED-020, MED-021, MED-024, MED-028, MED-030, MED-033, MED-034</t>
  </si>
  <si>
    <t xml:space="preserve">Close/counsel stopped rows and resolve stale fills.</t>
  </si>
  <si>
    <t xml:space="preserve">MED-013, MED-038</t>
  </si>
  <si>
    <t xml:space="preserve">Send unresolved question to owner before dispensing.</t>
  </si>
  <si>
    <t xml:space="preserve">Check</t>
  </si>
  <si>
    <t xml:space="preserve">Computed</t>
  </si>
  <si>
    <t xml:space="preserve">Expected</t>
  </si>
  <si>
    <t xml:space="preserve">Status</t>
  </si>
  <si>
    <t xml:space="preserve">Population count</t>
  </si>
  <si>
    <t xml:space="preserve">KEEP count</t>
  </si>
  <si>
    <t xml:space="preserve">CHANGE count</t>
  </si>
  <si>
    <t xml:space="preserve">STOP count</t>
  </si>
  <si>
    <t xml:space="preserve">CLARIFY count</t>
  </si>
  <si>
    <t xml:space="preserve">Lookup_Type</t>
  </si>
  <si>
    <t xml:space="preserve">Meaning</t>
  </si>
  <si>
    <t xml:space="preserve">Allowed disposition vocabulary</t>
  </si>
  <si>
    <t xml:space="preserve">Guide-defined operational risk tier</t>
  </si>
  <si>
    <t xml:space="preserve">Authority</t>
  </si>
  <si>
    <t xml:space="preserve">Final signed summary, 2026-07-13 16:40</t>
  </si>
  <si>
    <t xml:space="preserve">Latest prescriber clarification</t>
  </si>
  <si>
    <t xml:space="preserve">Approved formulary guide effective 2026-07-01</t>
  </si>
  <si>
    <t xml:space="preserve">Exclusion</t>
  </si>
  <si>
    <t xml:space="preserve">CT-2026-0713-19</t>
  </si>
  <si>
    <t xml:space="preserve">Same-batch pharmacy row outside index case</t>
  </si>
  <si>
    <t xml:space="preserve">Revision</t>
  </si>
  <si>
    <t xml:space="preserve">Timestamp</t>
  </si>
  <si>
    <t xml:space="preserve">Authoring_Role</t>
  </si>
  <si>
    <t xml:space="preserve">Change</t>
  </si>
  <si>
    <t xml:space="preserve">1.0</t>
  </si>
  <si>
    <t xml:space="preserve">2026-07-15 12:00</t>
  </si>
  <si>
    <t xml:space="preserve">Outpatient pharmacist</t>
  </si>
  <si>
    <t xml:space="preserve">Initial final reconciliation package for case CT-2026-0713-18.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</si>
</sst>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24D"/>
      <name val="Calibri"/>
      <family val="2"/>
    </font>
    <font>
      <b val="true"/>
      <sz val="11"/>
      <color rgb="FFFFFFFF"/>
      <name val="Calibri"/>
      <family val="2"/>
    </font>
    <font>
      <b val="true"/>
      <sz val="12"/>
      <color rgb="FF17324D"/>
      <name val="Calibri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17324D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6F4F1"/>
        <bgColor rgb="FFE8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EE5"/>
      </left>
      <right style="thin">
        <color rgb="FFD9DEE5"/>
      </right>
      <top style="thin">
        <color rgb="FFD9DEE5"/>
      </top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6F4F1"/>
          <bgColor rgb="FF000000"/>
        </patternFill>
      </fill>
    </dxf>
    <dxf>
      <fill>
        <patternFill patternType="solid">
          <fgColor rgb="FFE8EEF7"/>
          <bgColor rgb="FF000000"/>
        </patternFill>
      </fill>
    </dxf>
    <dxf>
      <fill>
        <patternFill patternType="solid">
          <fgColor rgb="FFFCE8E6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7324D"/>
          <bgColor rgb="FF000000"/>
        </patternFill>
      </fill>
    </dxf>
    <dxf>
      <font>
        <color rgb="FF17324D"/>
      </font>
      <fill>
        <patternFill>
          <bgColor rgb="FFE6F4F1"/>
        </patternFill>
      </fill>
    </dxf>
    <dxf>
      <font>
        <color rgb="FF17324D"/>
      </font>
      <fill>
        <patternFill>
          <bgColor rgb="FFFFF3CD"/>
        </patternFill>
      </fill>
    </dxf>
    <dxf>
      <font>
        <color rgb="FF17324D"/>
      </font>
      <fill>
        <patternFill>
          <bgColor rgb="FFFCE8E6"/>
        </patternFill>
      </fill>
    </dxf>
    <dxf>
      <font>
        <color rgb="FF17324D"/>
      </font>
      <fill>
        <patternFill>
          <bgColor rgb="FFE8EE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3CD"/>
      <rgbColor rgb="FFE6F4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D9DEE5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24D"/>
      <rgbColor rgb="FF2A9D8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Register actions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"Action count"</c:f>
              <c:strCache>
                <c:ptCount val="1"/>
                <c:pt idx="0">
                  <c:v>Action count</c:v>
                </c:pt>
              </c:strCache>
            </c:strRef>
          </c:tx>
          <c:spPr>
            <a:solidFill>
              <a:srgbClr val="2a9d8f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Risk_Matrix!$A$2:$A$5</c:f>
              <c:strCache>
                <c:ptCount val="4"/>
                <c:pt idx="0">
                  <c:v>KEEP</c:v>
                </c:pt>
                <c:pt idx="1">
                  <c:v>CHANGE</c:v>
                </c:pt>
                <c:pt idx="2">
                  <c:v>STOP</c:v>
                </c:pt>
                <c:pt idx="3">
                  <c:v>CLARIFY</c:v>
                </c:pt>
              </c:strCache>
            </c:strRef>
          </c:cat>
          <c:val>
            <c:numRef>
              <c:f>Risk_Matrix!$B$2:$B$5</c:f>
              <c:numCache>
                <c:formatCode>General</c:formatCode>
                <c:ptCount val="4"/>
                <c:pt idx="0">
                  <c:v>13</c:v>
                </c:pt>
                <c:pt idx="1">
                  <c:v>6</c:v>
                </c:pt>
                <c:pt idx="2">
                  <c:v>14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76588282"/>
        <c:axId val="63085245"/>
      </c:barChart>
      <c:catAx>
        <c:axId val="765882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85245"/>
        <c:crosses val="autoZero"/>
        <c:auto val="1"/>
        <c:lblAlgn val="ctr"/>
        <c:lblOffset val="100"/>
        <c:noMultiLvlLbl val="0"/>
      </c:catAx>
      <c:valAx>
        <c:axId val="6308524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5882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0</xdr:rowOff>
    </xdr:from>
    <xdr:to>
      <xdr:col>5</xdr:col>
      <xdr:colOff>685440</xdr:colOff>
      <xdr:row>21</xdr:row>
      <xdr:rowOff>75960</xdr:rowOff>
    </xdr:to>
    <xdr:graphicFrame>
      <xdr:nvGraphicFramePr>
        <xdr:cNvPr id="0" name="Chart 1"/>
        <xdr:cNvGraphicFramePr/>
      </xdr:nvGraphicFramePr>
      <xdr:xfrm>
        <a:off x="0" y="1447920"/>
        <a:ext cx="655272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blActionRegister" displayName="tblActionRegister" ref="A1:P36" headerRowCount="1" totalsRowCount="0" totalsRowShown="0">
  <autoFilter ref="A1:P36"/>
  <tableColumns count="16">
    <tableColumn id="1" name="Medication_ID"/>
    <tableColumn id="2" name="Resolved_Medication"/>
    <tableColumn id="3" name="Action"/>
    <tableColumn id="4" name="Risk_Tier"/>
    <tableColumn id="5" name="Source_Presence"/>
    <tableColumn id="6" name="Admission_Label"/>
    <tableColumn id="7" name="Portal_Label"/>
    <tableColumn id="8" name="Pharmacy_Label"/>
    <tableColumn id="9" name="Discharge_Line_ID"/>
    <tableColumn id="10" name="Governing_Evidence"/>
    <tableColumn id="11" name="Issue_Class"/>
    <tableColumn id="12" name="Rationale"/>
    <tableColumn id="13" name="Owner"/>
    <tableColumn id="14" name="Due_Date"/>
    <tableColumn id="15" name="Escalation_Status"/>
    <tableColumn id="16" name="Follow_Up_Question"/>
  </tableColumns>
</table>
</file>

<file path=xl/tables/table2.xml><?xml version="1.0" encoding="utf-8"?>
<table xmlns="http://schemas.openxmlformats.org/spreadsheetml/2006/main" id="2" name="tblChangeLog" displayName="tblChangeLog" ref="A1:D2" headerRowCount="1" totalsRowCount="0" totalsRowShown="0">
  <autoFilter ref="A1:D2"/>
  <tableColumns count="4">
    <tableColumn id="1" name="Revision"/>
    <tableColumn id="2" name="Timestamp"/>
    <tableColumn id="3" name="Authoring_Role"/>
    <tableColumn id="4" name="Change"/>
  </tableColumns>
</table>
</file>

<file path=xl/tables/table3.xml><?xml version="1.0" encoding="utf-8"?>
<table xmlns="http://schemas.openxmlformats.org/spreadsheetml/2006/main" id="3" name="tblInstructions" displayName="tblInstructions" ref="A3:B12" headerRowCount="1" totalsRowCount="0" totalsRowShown="0">
  <autoFilter ref="A3:B12"/>
  <tableColumns count="2">
    <tableColumn id="1" name="Field"/>
    <tableColumn id="2" name="Value"/>
  </tableColumns>
</table>
</file>

<file path=xl/tables/table4.xml><?xml version="1.0" encoding="utf-8"?>
<table xmlns="http://schemas.openxmlformats.org/spreadsheetml/2006/main" id="4" name="tblLookups" displayName="tblLookups" ref="A1:C12" headerRowCount="1" totalsRowCount="0" totalsRowShown="0">
  <autoFilter ref="A1:C12"/>
  <tableColumns count="3">
    <tableColumn id="1" name="Lookup_Type"/>
    <tableColumn id="2" name="Value"/>
    <tableColumn id="3" name="Meaning"/>
  </tableColumns>
</table>
</file>

<file path=xl/tables/table5.xml><?xml version="1.0" encoding="utf-8"?>
<table xmlns="http://schemas.openxmlformats.org/spreadsheetml/2006/main" id="5" name="tblSourceCrosswalk" displayName="tblSourceCrosswalk" ref="A1:I36" headerRowCount="1" totalsRowCount="0" totalsRowShown="0">
  <autoFilter ref="A1:I36"/>
  <tableColumns count="9">
    <tableColumn id="1" name="Medication_ID"/>
    <tableColumn id="2" name="Resolved_Medication"/>
    <tableColumn id="3" name="Admission_Variant"/>
    <tableColumn id="4" name="Portal_Variants"/>
    <tableColumn id="5" name="Pharmacy_Variant"/>
    <tableColumn id="6" name="Discharge_Variant"/>
    <tableColumn id="7" name="Normalization_Basis"/>
    <tableColumn id="8" name="Do_Not_Merge_With"/>
    <tableColumn id="9" name="Output_Action"/>
  </tableColumns>
</table>
</file>

<file path=xl/tables/table6.xml><?xml version="1.0" encoding="utf-8"?>
<table xmlns="http://schemas.openxmlformats.org/spreadsheetml/2006/main" id="6" name="tblStatusView" displayName="tblStatusView" ref="A1:D5" headerRowCount="1" totalsRowCount="0" totalsRowShown="0">
  <autoFilter ref="A1:D5"/>
  <tableColumns count="4">
    <tableColumn id="1" name="Action"/>
    <tableColumn id="2" name="Count"/>
    <tableColumn id="3" name="Medication_IDs"/>
    <tableColumn id="4" name="Operational_Next_Step"/>
  </tableColumns>
</table>
</file>

<file path=xl/tables/table7.xml><?xml version="1.0" encoding="utf-8"?>
<table xmlns="http://schemas.openxmlformats.org/spreadsheetml/2006/main" id="7" name="tblTimeline" displayName="tblTimeline" ref="A1:F11" headerRowCount="1" totalsRowCount="0" totalsRowShown="0">
  <autoFilter ref="A1:F11"/>
  <tableColumns count="6">
    <tableColumn id="1" name="Event_Time"/>
    <tableColumn id="2" name="Evidence_ID"/>
    <tableColumn id="3" name="Record_Type"/>
    <tableColumn id="4" name="Event_Summary"/>
    <tableColumn id="5" name="Authority_Rank"/>
    <tableColumn id="6" name="Effect_On_Regist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92"/>
  </cols>
  <sheetData>
    <row r="1" customFormat="false" ht="24" hidden="false" customHeight="tru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3" t="s">
        <v>2</v>
      </c>
    </row>
    <row r="4" customFormat="false" ht="15" hidden="false" customHeight="false" outlineLevel="0" collapsed="false">
      <c r="A4" s="4" t="s">
        <v>3</v>
      </c>
      <c r="B4" s="4" t="s">
        <v>4</v>
      </c>
    </row>
    <row r="5" customFormat="false" ht="28.35" hidden="false" customHeight="false" outlineLevel="0" collapsed="false">
      <c r="A5" s="4" t="s">
        <v>5</v>
      </c>
      <c r="B5" s="4" t="s">
        <v>6</v>
      </c>
    </row>
    <row r="6" customFormat="false" ht="15" hidden="false" customHeight="false" outlineLevel="0" collapsed="false">
      <c r="A6" s="4" t="s">
        <v>7</v>
      </c>
      <c r="B6" s="4" t="s">
        <v>8</v>
      </c>
    </row>
    <row r="7" customFormat="false" ht="28.35" hidden="false" customHeight="false" outlineLevel="0" collapsed="false">
      <c r="A7" s="4" t="s">
        <v>9</v>
      </c>
      <c r="B7" s="4" t="s">
        <v>10</v>
      </c>
    </row>
    <row r="8" customFormat="false" ht="15" hidden="false" customHeight="false" outlineLevel="0" collapsed="false">
      <c r="A8" s="4" t="s">
        <v>11</v>
      </c>
      <c r="B8" s="4" t="s">
        <v>12</v>
      </c>
    </row>
    <row r="9" customFormat="false" ht="15" hidden="false" customHeight="false" outlineLevel="0" collapsed="false">
      <c r="A9" s="2" t="s">
        <v>13</v>
      </c>
      <c r="B9" s="2" t="s">
        <v>14</v>
      </c>
    </row>
    <row r="10" customFormat="false" ht="28.35" hidden="false" customHeight="false" outlineLevel="0" collapsed="false">
      <c r="A10" s="2" t="s">
        <v>15</v>
      </c>
      <c r="B10" s="2" t="s">
        <v>16</v>
      </c>
    </row>
    <row r="11" customFormat="false" ht="28.35" hidden="false" customHeight="false" outlineLevel="0" collapsed="false">
      <c r="A11" s="2" t="s">
        <v>17</v>
      </c>
      <c r="B11" s="2" t="s">
        <v>18</v>
      </c>
    </row>
    <row r="12" customFormat="false" ht="28.35" hidden="false" customHeight="false" outlineLevel="0" collapsed="false">
      <c r="A12" s="2" t="s">
        <v>19</v>
      </c>
      <c r="B12" s="2" t="s">
        <v>20</v>
      </c>
    </row>
  </sheetData>
  <autoFilter ref="A3:B12"/>
  <printOptions headings="false" gridLines="false" gridLinesSet="true" horizontalCentered="true" verticalCentered="false"/>
  <pageMargins left="0.25" right="0.25" top="0.45" bottom="0.45" header="0.2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&amp;C&amp;"Arial,Regular"&amp;9 &amp;A</oddHeader>
    <oddFooter>&amp;L&amp;"Arial,Regular"&amp;8 Revision 1.0 | Final action register&amp;C&amp;"Arial,Regular"&amp;8 CT-2026-0713-18&amp;R&amp;"Arial,Regular"&amp;8 Page &amp;P of &amp;N</oddFooter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6" min="5" style="0" width="22"/>
    <col collapsed="false" customWidth="true" hidden="false" outlineLevel="0" max="7" min="7" style="0" width="24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42"/>
    <col collapsed="false" customWidth="true" hidden="false" outlineLevel="0" max="13" min="13" style="0" width="16"/>
    <col collapsed="false" customWidth="true" hidden="false" outlineLevel="0" max="14" min="14" style="0" width="11"/>
    <col collapsed="false" customWidth="true" hidden="false" outlineLevel="0" max="15" min="15" style="0" width="20"/>
    <col collapsed="false" customWidth="true" hidden="false" outlineLevel="0" max="16" min="16" style="0" width="38"/>
  </cols>
  <sheetData>
    <row r="1" customFormat="false" ht="24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</row>
    <row r="2" customFormat="false" ht="54" hidden="false" customHeight="true" outlineLevel="0" collapsed="false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/>
      <c r="H2" s="4" t="s">
        <v>38</v>
      </c>
      <c r="I2" s="4" t="s">
        <v>43</v>
      </c>
      <c r="J2" s="4" t="s">
        <v>44</v>
      </c>
      <c r="K2" s="4" t="s">
        <v>45</v>
      </c>
      <c r="L2" s="4" t="s">
        <v>46</v>
      </c>
      <c r="M2" s="4" t="s">
        <v>47</v>
      </c>
      <c r="N2" s="5" t="n">
        <v>46218</v>
      </c>
      <c r="O2" s="4" t="s">
        <v>48</v>
      </c>
      <c r="P2" s="4"/>
    </row>
    <row r="3" customFormat="false" ht="54" hidden="false" customHeight="true" outlineLevel="0" collapsed="false">
      <c r="A3" s="4" t="s">
        <v>49</v>
      </c>
      <c r="B3" s="4" t="s">
        <v>50</v>
      </c>
      <c r="C3" s="4" t="s">
        <v>51</v>
      </c>
      <c r="D3" s="4" t="s">
        <v>40</v>
      </c>
      <c r="E3" s="4" t="s">
        <v>52</v>
      </c>
      <c r="F3" s="4" t="s">
        <v>50</v>
      </c>
      <c r="G3" s="4" t="s">
        <v>53</v>
      </c>
      <c r="H3" s="4" t="s">
        <v>54</v>
      </c>
      <c r="I3" s="4" t="s">
        <v>55</v>
      </c>
      <c r="J3" s="4" t="s">
        <v>56</v>
      </c>
      <c r="K3" s="4" t="s">
        <v>45</v>
      </c>
      <c r="L3" s="4" t="s">
        <v>57</v>
      </c>
      <c r="M3" s="4" t="s">
        <v>47</v>
      </c>
      <c r="N3" s="5" t="n">
        <v>46218</v>
      </c>
      <c r="O3" s="4" t="s">
        <v>48</v>
      </c>
      <c r="P3" s="4" t="s">
        <v>58</v>
      </c>
    </row>
    <row r="4" customFormat="false" ht="54" hidden="false" customHeight="true" outlineLevel="0" collapsed="false">
      <c r="A4" s="4" t="s">
        <v>59</v>
      </c>
      <c r="B4" s="4" t="s">
        <v>60</v>
      </c>
      <c r="C4" s="4" t="s">
        <v>51</v>
      </c>
      <c r="D4" s="4" t="s">
        <v>61</v>
      </c>
      <c r="E4" s="4" t="s">
        <v>62</v>
      </c>
      <c r="F4" s="4" t="s">
        <v>60</v>
      </c>
      <c r="G4" s="4" t="s">
        <v>63</v>
      </c>
      <c r="H4" s="4" t="s">
        <v>60</v>
      </c>
      <c r="I4" s="4" t="s">
        <v>64</v>
      </c>
      <c r="J4" s="4" t="s">
        <v>65</v>
      </c>
      <c r="K4" s="4" t="s">
        <v>66</v>
      </c>
      <c r="L4" s="4" t="s">
        <v>67</v>
      </c>
      <c r="M4" s="4" t="s">
        <v>47</v>
      </c>
      <c r="N4" s="5" t="n">
        <v>46218</v>
      </c>
      <c r="O4" s="4" t="s">
        <v>68</v>
      </c>
      <c r="P4" s="4"/>
    </row>
    <row r="5" customFormat="false" ht="54" hidden="false" customHeight="true" outlineLevel="0" collapsed="false">
      <c r="A5" s="4" t="s">
        <v>69</v>
      </c>
      <c r="B5" s="4" t="s">
        <v>70</v>
      </c>
      <c r="C5" s="4" t="s">
        <v>71</v>
      </c>
      <c r="D5" s="4" t="s">
        <v>61</v>
      </c>
      <c r="E5" s="4" t="s">
        <v>72</v>
      </c>
      <c r="F5" s="4"/>
      <c r="G5" s="4"/>
      <c r="H5" s="4"/>
      <c r="I5" s="4" t="s">
        <v>73</v>
      </c>
      <c r="J5" s="4" t="s">
        <v>74</v>
      </c>
      <c r="K5" s="4" t="s">
        <v>75</v>
      </c>
      <c r="L5" s="4" t="s">
        <v>76</v>
      </c>
      <c r="M5" s="4" t="s">
        <v>47</v>
      </c>
      <c r="N5" s="5" t="n">
        <v>46218</v>
      </c>
      <c r="O5" s="4" t="s">
        <v>77</v>
      </c>
      <c r="P5" s="4"/>
    </row>
    <row r="6" customFormat="false" ht="54" hidden="false" customHeight="true" outlineLevel="0" collapsed="false">
      <c r="A6" s="4" t="s">
        <v>78</v>
      </c>
      <c r="B6" s="4" t="s">
        <v>79</v>
      </c>
      <c r="C6" s="4" t="s">
        <v>51</v>
      </c>
      <c r="D6" s="4" t="s">
        <v>40</v>
      </c>
      <c r="E6" s="4" t="s">
        <v>80</v>
      </c>
      <c r="F6" s="4" t="s">
        <v>79</v>
      </c>
      <c r="G6" s="4"/>
      <c r="H6" s="4" t="s">
        <v>79</v>
      </c>
      <c r="I6" s="4" t="s">
        <v>81</v>
      </c>
      <c r="J6" s="4" t="s">
        <v>82</v>
      </c>
      <c r="K6" s="4" t="s">
        <v>83</v>
      </c>
      <c r="L6" s="4" t="s">
        <v>84</v>
      </c>
      <c r="M6" s="4" t="s">
        <v>47</v>
      </c>
      <c r="N6" s="5" t="n">
        <v>46218</v>
      </c>
      <c r="O6" s="4" t="s">
        <v>48</v>
      </c>
      <c r="P6" s="4" t="s">
        <v>85</v>
      </c>
    </row>
    <row r="7" customFormat="false" ht="54" hidden="false" customHeight="true" outlineLevel="0" collapsed="false">
      <c r="A7" s="4" t="s">
        <v>86</v>
      </c>
      <c r="B7" s="4" t="s">
        <v>87</v>
      </c>
      <c r="C7" s="4" t="s">
        <v>71</v>
      </c>
      <c r="D7" s="4" t="s">
        <v>61</v>
      </c>
      <c r="E7" s="4" t="s">
        <v>88</v>
      </c>
      <c r="F7" s="4"/>
      <c r="G7" s="4"/>
      <c r="H7" s="4"/>
      <c r="I7" s="4" t="s">
        <v>89</v>
      </c>
      <c r="J7" s="4" t="s">
        <v>90</v>
      </c>
      <c r="K7" s="4" t="s">
        <v>91</v>
      </c>
      <c r="L7" s="4" t="s">
        <v>92</v>
      </c>
      <c r="M7" s="4" t="s">
        <v>47</v>
      </c>
      <c r="N7" s="5" t="n">
        <v>46218</v>
      </c>
      <c r="O7" s="4" t="s">
        <v>77</v>
      </c>
      <c r="P7" s="4"/>
    </row>
    <row r="8" customFormat="false" ht="54" hidden="false" customHeight="true" outlineLevel="0" collapsed="false">
      <c r="A8" s="4" t="s">
        <v>93</v>
      </c>
      <c r="B8" s="4" t="s">
        <v>94</v>
      </c>
      <c r="C8" s="4" t="s">
        <v>71</v>
      </c>
      <c r="D8" s="4" t="s">
        <v>40</v>
      </c>
      <c r="E8" s="4" t="s">
        <v>62</v>
      </c>
      <c r="F8" s="4" t="s">
        <v>95</v>
      </c>
      <c r="G8" s="4" t="s">
        <v>96</v>
      </c>
      <c r="H8" s="4" t="s">
        <v>97</v>
      </c>
      <c r="I8" s="4" t="s">
        <v>98</v>
      </c>
      <c r="J8" s="4" t="s">
        <v>99</v>
      </c>
      <c r="K8" s="4" t="s">
        <v>100</v>
      </c>
      <c r="L8" s="4" t="s">
        <v>101</v>
      </c>
      <c r="M8" s="4" t="s">
        <v>47</v>
      </c>
      <c r="N8" s="5" t="n">
        <v>46218</v>
      </c>
      <c r="O8" s="4" t="s">
        <v>48</v>
      </c>
      <c r="P8" s="4"/>
    </row>
    <row r="9" customFormat="false" ht="54" hidden="false" customHeight="true" outlineLevel="0" collapsed="false">
      <c r="A9" s="4" t="s">
        <v>102</v>
      </c>
      <c r="B9" s="4" t="s">
        <v>103</v>
      </c>
      <c r="C9" s="4" t="s">
        <v>39</v>
      </c>
      <c r="D9" s="4" t="s">
        <v>40</v>
      </c>
      <c r="E9" s="4" t="s">
        <v>62</v>
      </c>
      <c r="F9" s="4" t="s">
        <v>104</v>
      </c>
      <c r="G9" s="4" t="s">
        <v>105</v>
      </c>
      <c r="H9" s="4" t="s">
        <v>103</v>
      </c>
      <c r="I9" s="4" t="s">
        <v>106</v>
      </c>
      <c r="J9" s="4" t="s">
        <v>107</v>
      </c>
      <c r="K9" s="4" t="s">
        <v>108</v>
      </c>
      <c r="L9" s="4" t="s">
        <v>109</v>
      </c>
      <c r="M9" s="4" t="s">
        <v>47</v>
      </c>
      <c r="N9" s="5" t="n">
        <v>46218</v>
      </c>
      <c r="O9" s="4" t="s">
        <v>48</v>
      </c>
      <c r="P9" s="4"/>
    </row>
    <row r="10" customFormat="false" ht="54" hidden="false" customHeight="true" outlineLevel="0" collapsed="false">
      <c r="A10" s="4" t="s">
        <v>110</v>
      </c>
      <c r="B10" s="4" t="s">
        <v>111</v>
      </c>
      <c r="C10" s="4" t="s">
        <v>51</v>
      </c>
      <c r="D10" s="4" t="s">
        <v>112</v>
      </c>
      <c r="E10" s="4" t="s">
        <v>62</v>
      </c>
      <c r="F10" s="4" t="s">
        <v>111</v>
      </c>
      <c r="G10" s="4" t="s">
        <v>113</v>
      </c>
      <c r="H10" s="4" t="s">
        <v>111</v>
      </c>
      <c r="I10" s="4" t="s">
        <v>114</v>
      </c>
      <c r="J10" s="4" t="s">
        <v>114</v>
      </c>
      <c r="K10" s="4" t="s">
        <v>108</v>
      </c>
      <c r="L10" s="4" t="s">
        <v>115</v>
      </c>
      <c r="M10" s="4" t="s">
        <v>47</v>
      </c>
      <c r="N10" s="5" t="n">
        <v>46219</v>
      </c>
      <c r="O10" s="4" t="s">
        <v>68</v>
      </c>
      <c r="P10" s="4"/>
    </row>
    <row r="11" customFormat="false" ht="54" hidden="false" customHeight="true" outlineLevel="0" collapsed="false">
      <c r="A11" s="4" t="s">
        <v>116</v>
      </c>
      <c r="B11" s="4" t="s">
        <v>117</v>
      </c>
      <c r="C11" s="4" t="s">
        <v>71</v>
      </c>
      <c r="D11" s="4" t="s">
        <v>61</v>
      </c>
      <c r="E11" s="4" t="s">
        <v>62</v>
      </c>
      <c r="F11" s="4" t="s">
        <v>118</v>
      </c>
      <c r="G11" s="4" t="s">
        <v>119</v>
      </c>
      <c r="H11" s="4" t="s">
        <v>118</v>
      </c>
      <c r="I11" s="4" t="s">
        <v>120</v>
      </c>
      <c r="J11" s="4" t="s">
        <v>120</v>
      </c>
      <c r="K11" s="4" t="s">
        <v>121</v>
      </c>
      <c r="L11" s="4" t="s">
        <v>122</v>
      </c>
      <c r="M11" s="4" t="s">
        <v>47</v>
      </c>
      <c r="N11" s="5" t="n">
        <v>46218</v>
      </c>
      <c r="O11" s="4" t="s">
        <v>77</v>
      </c>
      <c r="P11" s="4"/>
    </row>
    <row r="12" customFormat="false" ht="54" hidden="false" customHeight="true" outlineLevel="0" collapsed="false">
      <c r="A12" s="4" t="s">
        <v>123</v>
      </c>
      <c r="B12" s="4" t="s">
        <v>124</v>
      </c>
      <c r="C12" s="4" t="s">
        <v>39</v>
      </c>
      <c r="D12" s="4" t="s">
        <v>61</v>
      </c>
      <c r="E12" s="4" t="s">
        <v>52</v>
      </c>
      <c r="F12" s="4" t="s">
        <v>124</v>
      </c>
      <c r="G12" s="4" t="s">
        <v>125</v>
      </c>
      <c r="H12" s="4" t="s">
        <v>126</v>
      </c>
      <c r="I12" s="4" t="s">
        <v>127</v>
      </c>
      <c r="J12" s="4" t="s">
        <v>128</v>
      </c>
      <c r="K12" s="4" t="s">
        <v>129</v>
      </c>
      <c r="L12" s="4" t="s">
        <v>130</v>
      </c>
      <c r="M12" s="4" t="s">
        <v>47</v>
      </c>
      <c r="N12" s="5" t="n">
        <v>46218</v>
      </c>
      <c r="O12" s="4" t="s">
        <v>131</v>
      </c>
      <c r="P12" s="4" t="s">
        <v>132</v>
      </c>
    </row>
    <row r="13" customFormat="false" ht="54" hidden="false" customHeight="true" outlineLevel="0" collapsed="false">
      <c r="A13" s="4" t="s">
        <v>133</v>
      </c>
      <c r="B13" s="4" t="s">
        <v>134</v>
      </c>
      <c r="C13" s="4" t="s">
        <v>135</v>
      </c>
      <c r="D13" s="4" t="s">
        <v>61</v>
      </c>
      <c r="E13" s="4" t="s">
        <v>136</v>
      </c>
      <c r="F13" s="4" t="s">
        <v>134</v>
      </c>
      <c r="G13" s="4" t="s">
        <v>137</v>
      </c>
      <c r="H13" s="4" t="s">
        <v>134</v>
      </c>
      <c r="I13" s="4"/>
      <c r="J13" s="4" t="s">
        <v>138</v>
      </c>
      <c r="K13" s="4" t="s">
        <v>139</v>
      </c>
      <c r="L13" s="4" t="s">
        <v>140</v>
      </c>
      <c r="M13" s="4" t="s">
        <v>141</v>
      </c>
      <c r="N13" s="5" t="n">
        <v>46218</v>
      </c>
      <c r="O13" s="4" t="s">
        <v>142</v>
      </c>
      <c r="P13" s="4" t="s">
        <v>143</v>
      </c>
    </row>
    <row r="14" customFormat="false" ht="54" hidden="false" customHeight="true" outlineLevel="0" collapsed="false">
      <c r="A14" s="4" t="s">
        <v>144</v>
      </c>
      <c r="B14" s="4" t="s">
        <v>145</v>
      </c>
      <c r="C14" s="4" t="s">
        <v>51</v>
      </c>
      <c r="D14" s="4" t="s">
        <v>61</v>
      </c>
      <c r="E14" s="4" t="s">
        <v>146</v>
      </c>
      <c r="F14" s="4" t="s">
        <v>147</v>
      </c>
      <c r="G14" s="4" t="s">
        <v>148</v>
      </c>
      <c r="H14" s="4"/>
      <c r="I14" s="4" t="s">
        <v>149</v>
      </c>
      <c r="J14" s="4" t="s">
        <v>149</v>
      </c>
      <c r="K14" s="4" t="s">
        <v>108</v>
      </c>
      <c r="L14" s="4" t="s">
        <v>150</v>
      </c>
      <c r="M14" s="4" t="s">
        <v>47</v>
      </c>
      <c r="N14" s="5" t="n">
        <v>46218</v>
      </c>
      <c r="O14" s="4" t="s">
        <v>68</v>
      </c>
      <c r="P14" s="4"/>
    </row>
    <row r="15" customFormat="false" ht="54" hidden="false" customHeight="true" outlineLevel="0" collapsed="false">
      <c r="A15" s="4" t="s">
        <v>151</v>
      </c>
      <c r="B15" s="4" t="s">
        <v>152</v>
      </c>
      <c r="C15" s="4" t="s">
        <v>51</v>
      </c>
      <c r="D15" s="4" t="s">
        <v>61</v>
      </c>
      <c r="E15" s="4" t="s">
        <v>153</v>
      </c>
      <c r="F15" s="4"/>
      <c r="G15" s="4"/>
      <c r="H15" s="4" t="s">
        <v>152</v>
      </c>
      <c r="I15" s="4" t="s">
        <v>154</v>
      </c>
      <c r="J15" s="4" t="s">
        <v>155</v>
      </c>
      <c r="K15" s="4" t="s">
        <v>156</v>
      </c>
      <c r="L15" s="4" t="s">
        <v>157</v>
      </c>
      <c r="M15" s="4" t="s">
        <v>47</v>
      </c>
      <c r="N15" s="5" t="n">
        <v>46218</v>
      </c>
      <c r="O15" s="4" t="s">
        <v>68</v>
      </c>
      <c r="P15" s="4" t="s">
        <v>158</v>
      </c>
    </row>
    <row r="16" customFormat="false" ht="54" hidden="false" customHeight="true" outlineLevel="0" collapsed="false">
      <c r="A16" s="4" t="s">
        <v>159</v>
      </c>
      <c r="B16" s="4" t="s">
        <v>160</v>
      </c>
      <c r="C16" s="4" t="s">
        <v>39</v>
      </c>
      <c r="D16" s="4" t="s">
        <v>112</v>
      </c>
      <c r="E16" s="4" t="s">
        <v>62</v>
      </c>
      <c r="F16" s="4" t="s">
        <v>161</v>
      </c>
      <c r="G16" s="4" t="s">
        <v>162</v>
      </c>
      <c r="H16" s="4" t="s">
        <v>163</v>
      </c>
      <c r="I16" s="4" t="s">
        <v>164</v>
      </c>
      <c r="J16" s="4" t="s">
        <v>165</v>
      </c>
      <c r="K16" s="4" t="s">
        <v>166</v>
      </c>
      <c r="L16" s="4" t="s">
        <v>167</v>
      </c>
      <c r="M16" s="4" t="s">
        <v>47</v>
      </c>
      <c r="N16" s="5" t="n">
        <v>46219</v>
      </c>
      <c r="O16" s="4" t="s">
        <v>131</v>
      </c>
      <c r="P16" s="4"/>
    </row>
    <row r="17" customFormat="false" ht="54" hidden="false" customHeight="true" outlineLevel="0" collapsed="false">
      <c r="A17" s="4" t="s">
        <v>168</v>
      </c>
      <c r="B17" s="4" t="s">
        <v>169</v>
      </c>
      <c r="C17" s="4" t="s">
        <v>39</v>
      </c>
      <c r="D17" s="4" t="s">
        <v>112</v>
      </c>
      <c r="E17" s="4" t="s">
        <v>62</v>
      </c>
      <c r="F17" s="4" t="s">
        <v>170</v>
      </c>
      <c r="G17" s="4" t="s">
        <v>171</v>
      </c>
      <c r="H17" s="4" t="s">
        <v>169</v>
      </c>
      <c r="I17" s="4" t="s">
        <v>172</v>
      </c>
      <c r="J17" s="4" t="s">
        <v>172</v>
      </c>
      <c r="K17" s="4" t="s">
        <v>108</v>
      </c>
      <c r="L17" s="4" t="s">
        <v>173</v>
      </c>
      <c r="M17" s="4" t="s">
        <v>47</v>
      </c>
      <c r="N17" s="5" t="n">
        <v>46219</v>
      </c>
      <c r="O17" s="4" t="s">
        <v>131</v>
      </c>
      <c r="P17" s="4"/>
    </row>
    <row r="18" customFormat="false" ht="54" hidden="false" customHeight="true" outlineLevel="0" collapsed="false">
      <c r="A18" s="4" t="s">
        <v>174</v>
      </c>
      <c r="B18" s="4" t="s">
        <v>175</v>
      </c>
      <c r="C18" s="4" t="s">
        <v>51</v>
      </c>
      <c r="D18" s="4" t="s">
        <v>61</v>
      </c>
      <c r="E18" s="4" t="s">
        <v>62</v>
      </c>
      <c r="F18" s="4" t="s">
        <v>176</v>
      </c>
      <c r="G18" s="4" t="s">
        <v>177</v>
      </c>
      <c r="H18" s="4" t="s">
        <v>176</v>
      </c>
      <c r="I18" s="4" t="s">
        <v>178</v>
      </c>
      <c r="J18" s="4" t="s">
        <v>178</v>
      </c>
      <c r="K18" s="4" t="s">
        <v>156</v>
      </c>
      <c r="L18" s="4" t="s">
        <v>179</v>
      </c>
      <c r="M18" s="4" t="s">
        <v>47</v>
      </c>
      <c r="N18" s="5" t="n">
        <v>46219</v>
      </c>
      <c r="O18" s="4" t="s">
        <v>68</v>
      </c>
      <c r="P18" s="4"/>
    </row>
    <row r="19" customFormat="false" ht="54" hidden="false" customHeight="true" outlineLevel="0" collapsed="false">
      <c r="A19" s="4" t="s">
        <v>180</v>
      </c>
      <c r="B19" s="4" t="s">
        <v>181</v>
      </c>
      <c r="C19" s="4" t="s">
        <v>51</v>
      </c>
      <c r="D19" s="4" t="s">
        <v>40</v>
      </c>
      <c r="E19" s="4" t="s">
        <v>80</v>
      </c>
      <c r="F19" s="4" t="s">
        <v>181</v>
      </c>
      <c r="G19" s="4"/>
      <c r="H19" s="4" t="s">
        <v>181</v>
      </c>
      <c r="I19" s="4" t="s">
        <v>182</v>
      </c>
      <c r="J19" s="4" t="s">
        <v>183</v>
      </c>
      <c r="K19" s="4" t="s">
        <v>184</v>
      </c>
      <c r="L19" s="4" t="s">
        <v>185</v>
      </c>
      <c r="M19" s="4" t="s">
        <v>47</v>
      </c>
      <c r="N19" s="5" t="n">
        <v>46218</v>
      </c>
      <c r="O19" s="4" t="s">
        <v>48</v>
      </c>
      <c r="P19" s="4" t="s">
        <v>186</v>
      </c>
    </row>
    <row r="20" customFormat="false" ht="54" hidden="false" customHeight="true" outlineLevel="0" collapsed="false">
      <c r="A20" s="4" t="s">
        <v>187</v>
      </c>
      <c r="B20" s="4" t="s">
        <v>188</v>
      </c>
      <c r="C20" s="4" t="s">
        <v>51</v>
      </c>
      <c r="D20" s="4" t="s">
        <v>40</v>
      </c>
      <c r="E20" s="4" t="s">
        <v>189</v>
      </c>
      <c r="F20" s="4" t="s">
        <v>188</v>
      </c>
      <c r="G20" s="4" t="s">
        <v>190</v>
      </c>
      <c r="H20" s="4"/>
      <c r="I20" s="4" t="s">
        <v>191</v>
      </c>
      <c r="J20" s="4" t="s">
        <v>192</v>
      </c>
      <c r="K20" s="4" t="s">
        <v>184</v>
      </c>
      <c r="L20" s="4" t="s">
        <v>193</v>
      </c>
      <c r="M20" s="4" t="s">
        <v>47</v>
      </c>
      <c r="N20" s="5" t="n">
        <v>46218</v>
      </c>
      <c r="O20" s="4" t="s">
        <v>48</v>
      </c>
      <c r="P20" s="4" t="s">
        <v>194</v>
      </c>
    </row>
    <row r="21" customFormat="false" ht="54" hidden="false" customHeight="true" outlineLevel="0" collapsed="false">
      <c r="A21" s="4" t="s">
        <v>195</v>
      </c>
      <c r="B21" s="4" t="s">
        <v>196</v>
      </c>
      <c r="C21" s="4" t="s">
        <v>39</v>
      </c>
      <c r="D21" s="4" t="s">
        <v>112</v>
      </c>
      <c r="E21" s="4" t="s">
        <v>146</v>
      </c>
      <c r="F21" s="4" t="s">
        <v>196</v>
      </c>
      <c r="G21" s="4" t="s">
        <v>197</v>
      </c>
      <c r="H21" s="4"/>
      <c r="I21" s="4" t="s">
        <v>198</v>
      </c>
      <c r="J21" s="4" t="s">
        <v>198</v>
      </c>
      <c r="K21" s="4" t="s">
        <v>108</v>
      </c>
      <c r="L21" s="4" t="s">
        <v>199</v>
      </c>
      <c r="M21" s="4" t="s">
        <v>47</v>
      </c>
      <c r="N21" s="5" t="n">
        <v>46219</v>
      </c>
      <c r="O21" s="4" t="s">
        <v>131</v>
      </c>
      <c r="P21" s="4"/>
    </row>
    <row r="22" customFormat="false" ht="54" hidden="false" customHeight="true" outlineLevel="0" collapsed="false">
      <c r="A22" s="4" t="s">
        <v>200</v>
      </c>
      <c r="B22" s="4" t="s">
        <v>201</v>
      </c>
      <c r="C22" s="4" t="s">
        <v>71</v>
      </c>
      <c r="D22" s="4" t="s">
        <v>112</v>
      </c>
      <c r="E22" s="4" t="s">
        <v>52</v>
      </c>
      <c r="F22" s="4" t="s">
        <v>201</v>
      </c>
      <c r="G22" s="4" t="s">
        <v>202</v>
      </c>
      <c r="H22" s="4" t="s">
        <v>201</v>
      </c>
      <c r="I22" s="4" t="s">
        <v>203</v>
      </c>
      <c r="J22" s="4" t="s">
        <v>204</v>
      </c>
      <c r="K22" s="4" t="s">
        <v>205</v>
      </c>
      <c r="L22" s="4" t="s">
        <v>206</v>
      </c>
      <c r="M22" s="4" t="s">
        <v>47</v>
      </c>
      <c r="N22" s="5" t="n">
        <v>46219</v>
      </c>
      <c r="O22" s="4" t="s">
        <v>77</v>
      </c>
      <c r="P22" s="4" t="s">
        <v>207</v>
      </c>
    </row>
    <row r="23" customFormat="false" ht="54" hidden="false" customHeight="true" outlineLevel="0" collapsed="false">
      <c r="A23" s="4" t="s">
        <v>208</v>
      </c>
      <c r="B23" s="4" t="s">
        <v>209</v>
      </c>
      <c r="C23" s="4" t="s">
        <v>51</v>
      </c>
      <c r="D23" s="4" t="s">
        <v>112</v>
      </c>
      <c r="E23" s="4" t="s">
        <v>62</v>
      </c>
      <c r="F23" s="4" t="s">
        <v>209</v>
      </c>
      <c r="G23" s="4" t="s">
        <v>210</v>
      </c>
      <c r="H23" s="4" t="s">
        <v>209</v>
      </c>
      <c r="I23" s="4" t="s">
        <v>211</v>
      </c>
      <c r="J23" s="4" t="s">
        <v>212</v>
      </c>
      <c r="K23" s="4" t="s">
        <v>213</v>
      </c>
      <c r="L23" s="4" t="s">
        <v>214</v>
      </c>
      <c r="M23" s="4" t="s">
        <v>47</v>
      </c>
      <c r="N23" s="5" t="n">
        <v>46219</v>
      </c>
      <c r="O23" s="4" t="s">
        <v>68</v>
      </c>
      <c r="P23" s="4"/>
    </row>
    <row r="24" customFormat="false" ht="54" hidden="false" customHeight="true" outlineLevel="0" collapsed="false">
      <c r="A24" s="4" t="s">
        <v>215</v>
      </c>
      <c r="B24" s="4" t="s">
        <v>216</v>
      </c>
      <c r="C24" s="4" t="s">
        <v>71</v>
      </c>
      <c r="D24" s="4" t="s">
        <v>112</v>
      </c>
      <c r="E24" s="4" t="s">
        <v>72</v>
      </c>
      <c r="F24" s="4"/>
      <c r="G24" s="4"/>
      <c r="H24" s="4"/>
      <c r="I24" s="4" t="s">
        <v>217</v>
      </c>
      <c r="J24" s="4" t="s">
        <v>218</v>
      </c>
      <c r="K24" s="4" t="s">
        <v>219</v>
      </c>
      <c r="L24" s="4" t="s">
        <v>220</v>
      </c>
      <c r="M24" s="4" t="s">
        <v>47</v>
      </c>
      <c r="N24" s="5" t="n">
        <v>46219</v>
      </c>
      <c r="O24" s="4" t="s">
        <v>77</v>
      </c>
      <c r="P24" s="4"/>
    </row>
    <row r="25" customFormat="false" ht="54" hidden="false" customHeight="true" outlineLevel="0" collapsed="false">
      <c r="A25" s="4" t="s">
        <v>221</v>
      </c>
      <c r="B25" s="4" t="s">
        <v>222</v>
      </c>
      <c r="C25" s="4" t="s">
        <v>39</v>
      </c>
      <c r="D25" s="4" t="s">
        <v>112</v>
      </c>
      <c r="E25" s="4" t="s">
        <v>62</v>
      </c>
      <c r="F25" s="4" t="s">
        <v>222</v>
      </c>
      <c r="G25" s="4" t="s">
        <v>223</v>
      </c>
      <c r="H25" s="4" t="s">
        <v>222</v>
      </c>
      <c r="I25" s="4" t="s">
        <v>224</v>
      </c>
      <c r="J25" s="4" t="s">
        <v>224</v>
      </c>
      <c r="K25" s="4" t="s">
        <v>108</v>
      </c>
      <c r="L25" s="4" t="s">
        <v>225</v>
      </c>
      <c r="M25" s="4" t="s">
        <v>47</v>
      </c>
      <c r="N25" s="5" t="n">
        <v>46219</v>
      </c>
      <c r="O25" s="4" t="s">
        <v>131</v>
      </c>
      <c r="P25" s="4"/>
    </row>
    <row r="26" customFormat="false" ht="54" hidden="false" customHeight="true" outlineLevel="0" collapsed="false">
      <c r="A26" s="4" t="s">
        <v>226</v>
      </c>
      <c r="B26" s="4" t="s">
        <v>227</v>
      </c>
      <c r="C26" s="4" t="s">
        <v>39</v>
      </c>
      <c r="D26" s="4" t="s">
        <v>112</v>
      </c>
      <c r="E26" s="4" t="s">
        <v>62</v>
      </c>
      <c r="F26" s="4" t="s">
        <v>227</v>
      </c>
      <c r="G26" s="4" t="s">
        <v>228</v>
      </c>
      <c r="H26" s="4" t="s">
        <v>227</v>
      </c>
      <c r="I26" s="4" t="s">
        <v>229</v>
      </c>
      <c r="J26" s="4" t="s">
        <v>229</v>
      </c>
      <c r="K26" s="4" t="s">
        <v>108</v>
      </c>
      <c r="L26" s="4" t="s">
        <v>230</v>
      </c>
      <c r="M26" s="4" t="s">
        <v>47</v>
      </c>
      <c r="N26" s="5" t="n">
        <v>46219</v>
      </c>
      <c r="O26" s="4" t="s">
        <v>131</v>
      </c>
      <c r="P26" s="4"/>
    </row>
    <row r="27" customFormat="false" ht="54" hidden="false" customHeight="true" outlineLevel="0" collapsed="false">
      <c r="A27" s="4" t="s">
        <v>231</v>
      </c>
      <c r="B27" s="4" t="s">
        <v>232</v>
      </c>
      <c r="C27" s="4" t="s">
        <v>51</v>
      </c>
      <c r="D27" s="4" t="s">
        <v>112</v>
      </c>
      <c r="E27" s="4" t="s">
        <v>62</v>
      </c>
      <c r="F27" s="4" t="s">
        <v>232</v>
      </c>
      <c r="G27" s="4" t="s">
        <v>233</v>
      </c>
      <c r="H27" s="4" t="s">
        <v>232</v>
      </c>
      <c r="I27" s="4" t="s">
        <v>234</v>
      </c>
      <c r="J27" s="4" t="s">
        <v>234</v>
      </c>
      <c r="K27" s="4" t="s">
        <v>108</v>
      </c>
      <c r="L27" s="4" t="s">
        <v>235</v>
      </c>
      <c r="M27" s="4" t="s">
        <v>47</v>
      </c>
      <c r="N27" s="5" t="n">
        <v>46219</v>
      </c>
      <c r="O27" s="4" t="s">
        <v>68</v>
      </c>
      <c r="P27" s="4"/>
    </row>
    <row r="28" customFormat="false" ht="54" hidden="false" customHeight="true" outlineLevel="0" collapsed="false">
      <c r="A28" s="4" t="s">
        <v>236</v>
      </c>
      <c r="B28" s="4" t="s">
        <v>237</v>
      </c>
      <c r="C28" s="4" t="s">
        <v>39</v>
      </c>
      <c r="D28" s="4" t="s">
        <v>112</v>
      </c>
      <c r="E28" s="4" t="s">
        <v>146</v>
      </c>
      <c r="F28" s="4" t="s">
        <v>237</v>
      </c>
      <c r="G28" s="4" t="s">
        <v>238</v>
      </c>
      <c r="H28" s="4"/>
      <c r="I28" s="4" t="s">
        <v>239</v>
      </c>
      <c r="J28" s="4" t="s">
        <v>239</v>
      </c>
      <c r="K28" s="4" t="s">
        <v>108</v>
      </c>
      <c r="L28" s="4" t="s">
        <v>240</v>
      </c>
      <c r="M28" s="4" t="s">
        <v>47</v>
      </c>
      <c r="N28" s="5" t="n">
        <v>46219</v>
      </c>
      <c r="O28" s="4" t="s">
        <v>131</v>
      </c>
      <c r="P28" s="4"/>
    </row>
    <row r="29" customFormat="false" ht="54" hidden="false" customHeight="true" outlineLevel="0" collapsed="false">
      <c r="A29" s="4" t="s">
        <v>241</v>
      </c>
      <c r="B29" s="4" t="s">
        <v>242</v>
      </c>
      <c r="C29" s="4" t="s">
        <v>51</v>
      </c>
      <c r="D29" s="4" t="s">
        <v>112</v>
      </c>
      <c r="E29" s="4" t="s">
        <v>243</v>
      </c>
      <c r="F29" s="4"/>
      <c r="G29" s="4" t="s">
        <v>244</v>
      </c>
      <c r="H29" s="4"/>
      <c r="I29" s="4" t="s">
        <v>245</v>
      </c>
      <c r="J29" s="4" t="s">
        <v>246</v>
      </c>
      <c r="K29" s="4" t="s">
        <v>156</v>
      </c>
      <c r="L29" s="4" t="s">
        <v>247</v>
      </c>
      <c r="M29" s="4" t="s">
        <v>47</v>
      </c>
      <c r="N29" s="5" t="n">
        <v>46219</v>
      </c>
      <c r="O29" s="4" t="s">
        <v>68</v>
      </c>
      <c r="P29" s="4"/>
    </row>
    <row r="30" customFormat="false" ht="54" hidden="false" customHeight="true" outlineLevel="0" collapsed="false">
      <c r="A30" s="4" t="s">
        <v>248</v>
      </c>
      <c r="B30" s="4" t="s">
        <v>249</v>
      </c>
      <c r="C30" s="4" t="s">
        <v>39</v>
      </c>
      <c r="D30" s="4" t="s">
        <v>112</v>
      </c>
      <c r="E30" s="4" t="s">
        <v>146</v>
      </c>
      <c r="F30" s="4" t="s">
        <v>249</v>
      </c>
      <c r="G30" s="4" t="s">
        <v>250</v>
      </c>
      <c r="H30" s="4"/>
      <c r="I30" s="4" t="s">
        <v>251</v>
      </c>
      <c r="J30" s="4" t="s">
        <v>251</v>
      </c>
      <c r="K30" s="4" t="s">
        <v>108</v>
      </c>
      <c r="L30" s="4" t="s">
        <v>252</v>
      </c>
      <c r="M30" s="4" t="s">
        <v>47</v>
      </c>
      <c r="N30" s="5" t="n">
        <v>46219</v>
      </c>
      <c r="O30" s="4" t="s">
        <v>131</v>
      </c>
      <c r="P30" s="4"/>
    </row>
    <row r="31" customFormat="false" ht="54" hidden="false" customHeight="true" outlineLevel="0" collapsed="false">
      <c r="A31" s="4" t="s">
        <v>253</v>
      </c>
      <c r="B31" s="4" t="s">
        <v>254</v>
      </c>
      <c r="C31" s="4" t="s">
        <v>39</v>
      </c>
      <c r="D31" s="4" t="s">
        <v>112</v>
      </c>
      <c r="E31" s="4" t="s">
        <v>72</v>
      </c>
      <c r="F31" s="4"/>
      <c r="G31" s="4"/>
      <c r="H31" s="4"/>
      <c r="I31" s="4" t="s">
        <v>255</v>
      </c>
      <c r="J31" s="4" t="s">
        <v>255</v>
      </c>
      <c r="K31" s="4" t="s">
        <v>91</v>
      </c>
      <c r="L31" s="4" t="s">
        <v>256</v>
      </c>
      <c r="M31" s="4" t="s">
        <v>47</v>
      </c>
      <c r="N31" s="5" t="n">
        <v>46219</v>
      </c>
      <c r="O31" s="4" t="s">
        <v>131</v>
      </c>
      <c r="P31" s="4"/>
    </row>
    <row r="32" customFormat="false" ht="54" hidden="false" customHeight="true" outlineLevel="0" collapsed="false">
      <c r="A32" s="4" t="s">
        <v>257</v>
      </c>
      <c r="B32" s="4" t="s">
        <v>258</v>
      </c>
      <c r="C32" s="4" t="s">
        <v>51</v>
      </c>
      <c r="D32" s="4" t="s">
        <v>112</v>
      </c>
      <c r="E32" s="4" t="s">
        <v>62</v>
      </c>
      <c r="F32" s="4" t="s">
        <v>258</v>
      </c>
      <c r="G32" s="4" t="s">
        <v>259</v>
      </c>
      <c r="H32" s="4" t="s">
        <v>258</v>
      </c>
      <c r="I32" s="4" t="s">
        <v>260</v>
      </c>
      <c r="J32" s="4" t="s">
        <v>260</v>
      </c>
      <c r="K32" s="4" t="s">
        <v>108</v>
      </c>
      <c r="L32" s="4" t="s">
        <v>261</v>
      </c>
      <c r="M32" s="4" t="s">
        <v>47</v>
      </c>
      <c r="N32" s="5" t="n">
        <v>46219</v>
      </c>
      <c r="O32" s="4" t="s">
        <v>68</v>
      </c>
      <c r="P32" s="4"/>
    </row>
    <row r="33" customFormat="false" ht="54" hidden="false" customHeight="true" outlineLevel="0" collapsed="false">
      <c r="A33" s="4" t="s">
        <v>262</v>
      </c>
      <c r="B33" s="4" t="s">
        <v>263</v>
      </c>
      <c r="C33" s="4" t="s">
        <v>51</v>
      </c>
      <c r="D33" s="4" t="s">
        <v>40</v>
      </c>
      <c r="E33" s="4" t="s">
        <v>62</v>
      </c>
      <c r="F33" s="4" t="s">
        <v>263</v>
      </c>
      <c r="G33" s="4" t="s">
        <v>264</v>
      </c>
      <c r="H33" s="4" t="s">
        <v>263</v>
      </c>
      <c r="I33" s="4" t="s">
        <v>265</v>
      </c>
      <c r="J33" s="4" t="s">
        <v>265</v>
      </c>
      <c r="K33" s="4" t="s">
        <v>156</v>
      </c>
      <c r="L33" s="4" t="s">
        <v>266</v>
      </c>
      <c r="M33" s="4" t="s">
        <v>47</v>
      </c>
      <c r="N33" s="5" t="n">
        <v>46218</v>
      </c>
      <c r="O33" s="4" t="s">
        <v>48</v>
      </c>
      <c r="P33" s="4"/>
    </row>
    <row r="34" customFormat="false" ht="54" hidden="false" customHeight="true" outlineLevel="0" collapsed="false">
      <c r="A34" s="4" t="s">
        <v>267</v>
      </c>
      <c r="B34" s="4" t="s">
        <v>268</v>
      </c>
      <c r="C34" s="4" t="s">
        <v>39</v>
      </c>
      <c r="D34" s="4" t="s">
        <v>112</v>
      </c>
      <c r="E34" s="4" t="s">
        <v>62</v>
      </c>
      <c r="F34" s="4" t="s">
        <v>268</v>
      </c>
      <c r="G34" s="4" t="s">
        <v>269</v>
      </c>
      <c r="H34" s="4" t="s">
        <v>268</v>
      </c>
      <c r="I34" s="4" t="s">
        <v>270</v>
      </c>
      <c r="J34" s="4" t="s">
        <v>270</v>
      </c>
      <c r="K34" s="4" t="s">
        <v>108</v>
      </c>
      <c r="L34" s="4" t="s">
        <v>271</v>
      </c>
      <c r="M34" s="4" t="s">
        <v>47</v>
      </c>
      <c r="N34" s="5" t="n">
        <v>46219</v>
      </c>
      <c r="O34" s="4" t="s">
        <v>131</v>
      </c>
      <c r="P34" s="4"/>
    </row>
    <row r="35" customFormat="false" ht="54" hidden="false" customHeight="true" outlineLevel="0" collapsed="false">
      <c r="A35" s="4" t="s">
        <v>272</v>
      </c>
      <c r="B35" s="4" t="s">
        <v>273</v>
      </c>
      <c r="C35" s="4" t="s">
        <v>39</v>
      </c>
      <c r="D35" s="4" t="s">
        <v>61</v>
      </c>
      <c r="E35" s="4" t="s">
        <v>62</v>
      </c>
      <c r="F35" s="4" t="s">
        <v>274</v>
      </c>
      <c r="G35" s="4" t="s">
        <v>275</v>
      </c>
      <c r="H35" s="4" t="s">
        <v>273</v>
      </c>
      <c r="I35" s="4" t="s">
        <v>276</v>
      </c>
      <c r="J35" s="4" t="s">
        <v>276</v>
      </c>
      <c r="K35" s="4" t="s">
        <v>108</v>
      </c>
      <c r="L35" s="4" t="s">
        <v>277</v>
      </c>
      <c r="M35" s="4" t="s">
        <v>47</v>
      </c>
      <c r="N35" s="5" t="n">
        <v>46219</v>
      </c>
      <c r="O35" s="4" t="s">
        <v>131</v>
      </c>
      <c r="P35" s="4"/>
    </row>
    <row r="36" customFormat="false" ht="54" hidden="false" customHeight="true" outlineLevel="0" collapsed="false">
      <c r="A36" s="4" t="s">
        <v>278</v>
      </c>
      <c r="B36" s="4" t="s">
        <v>279</v>
      </c>
      <c r="C36" s="4" t="s">
        <v>135</v>
      </c>
      <c r="D36" s="4" t="s">
        <v>112</v>
      </c>
      <c r="E36" s="4" t="s">
        <v>136</v>
      </c>
      <c r="F36" s="4" t="s">
        <v>279</v>
      </c>
      <c r="G36" s="4" t="s">
        <v>280</v>
      </c>
      <c r="H36" s="4" t="s">
        <v>279</v>
      </c>
      <c r="I36" s="4"/>
      <c r="J36" s="4" t="s">
        <v>281</v>
      </c>
      <c r="K36" s="4" t="s">
        <v>139</v>
      </c>
      <c r="L36" s="4" t="s">
        <v>282</v>
      </c>
      <c r="M36" s="4" t="s">
        <v>283</v>
      </c>
      <c r="N36" s="5" t="n">
        <v>46219</v>
      </c>
      <c r="O36" s="4" t="s">
        <v>142</v>
      </c>
      <c r="P36" s="4" t="s">
        <v>284</v>
      </c>
    </row>
  </sheetData>
  <autoFilter ref="A1:P36"/>
  <conditionalFormatting sqref="C2:C36">
    <cfRule type="containsText" priority="2" operator="containsText" aboveAverage="0" equalAverage="0" bottom="0" percent="0" rank="0" text="KEEP" dxfId="7">
      <formula>NOT(ISERROR(SEARCH("KEEP",C2)))</formula>
    </cfRule>
    <cfRule type="containsText" priority="3" operator="containsText" aboveAverage="0" equalAverage="0" bottom="0" percent="0" rank="0" text="CHANGE" dxfId="8">
      <formula>NOT(ISERROR(SEARCH("CHANGE",C2)))</formula>
    </cfRule>
    <cfRule type="containsText" priority="4" operator="containsText" aboveAverage="0" equalAverage="0" bottom="0" percent="0" rank="0" text="STOP" dxfId="9">
      <formula>NOT(ISERROR(SEARCH("STOP",C2)))</formula>
    </cfRule>
    <cfRule type="containsText" priority="5" operator="containsText" aboveAverage="0" equalAverage="0" bottom="0" percent="0" rank="0" text="CLARIFY" dxfId="10">
      <formula>NOT(ISERROR(SEARCH("CLARIFY",C2)))</formula>
    </cfRule>
  </conditionalFormatting>
  <dataValidations count="2">
    <dataValidation allowBlank="true" errorStyle="stop" operator="between" showDropDown="false" showErrorMessage="true" showInputMessage="true" sqref="C2:C36" type="list">
      <formula1>"KEEP,CHANGE,STOP,CLARIFY"</formula1>
      <formula2>0</formula2>
    </dataValidation>
    <dataValidation allowBlank="true" errorStyle="stop" operator="between" showDropDown="false" showErrorMessage="true" showInputMessage="true" sqref="D2:D36" type="list">
      <formula1>"HIGH,MED,LOW"</formula1>
      <formula2>0</formula2>
    </dataValidation>
  </dataValidations>
  <printOptions headings="false" gridLines="false" gridLinesSet="true" horizontalCentered="true" verticalCentered="false"/>
  <pageMargins left="0.25" right="0.25" top="0.45" bottom="0.45" header="0.2" footer="0.2"/>
  <pageSetup paperSize="3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&amp;C&amp;"Arial,Regular"&amp;9 &amp;A</oddHeader>
    <oddFooter>&amp;L&amp;"Arial,Regular"&amp;8 Revision 1.0 | Final action register&amp;C&amp;"Arial,Regular"&amp;8 CT-2026-0713-18&amp;R&amp;"Arial,Regular"&amp;8 Page &amp;P of &amp;N</oddFooter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24"/>
    <col collapsed="false" customWidth="true" hidden="false" outlineLevel="0" max="4" min="4" style="0" width="28"/>
    <col collapsed="false" customWidth="true" hidden="false" outlineLevel="0" max="6" min="5" style="0" width="24"/>
    <col collapsed="false" customWidth="true" hidden="false" outlineLevel="0" max="7" min="7" style="0" width="42"/>
    <col collapsed="false" customWidth="true" hidden="false" outlineLevel="0" max="8" min="8" style="0" width="24"/>
    <col collapsed="false" customWidth="true" hidden="false" outlineLevel="0" max="9" min="9" style="0" width="10"/>
  </cols>
  <sheetData>
    <row r="1" customFormat="false" ht="24" hidden="false" customHeight="true" outlineLevel="0" collapsed="false">
      <c r="A1" s="3" t="s">
        <v>21</v>
      </c>
      <c r="B1" s="3" t="s">
        <v>22</v>
      </c>
      <c r="C1" s="3" t="s">
        <v>285</v>
      </c>
      <c r="D1" s="3" t="s">
        <v>286</v>
      </c>
      <c r="E1" s="3" t="s">
        <v>287</v>
      </c>
      <c r="F1" s="3" t="s">
        <v>288</v>
      </c>
      <c r="G1" s="3" t="s">
        <v>289</v>
      </c>
      <c r="H1" s="3" t="s">
        <v>290</v>
      </c>
      <c r="I1" s="3" t="s">
        <v>291</v>
      </c>
    </row>
    <row r="2" customFormat="false" ht="45" hidden="false" customHeight="true" outlineLevel="0" collapsed="false">
      <c r="A2" s="4" t="s">
        <v>37</v>
      </c>
      <c r="B2" s="4" t="s">
        <v>38</v>
      </c>
      <c r="C2" s="4" t="s">
        <v>42</v>
      </c>
      <c r="D2" s="4"/>
      <c r="E2" s="4" t="s">
        <v>38</v>
      </c>
      <c r="F2" s="4" t="s">
        <v>38</v>
      </c>
      <c r="G2" s="4" t="s">
        <v>292</v>
      </c>
      <c r="H2" s="4"/>
      <c r="I2" s="4" t="s">
        <v>39</v>
      </c>
    </row>
    <row r="3" customFormat="false" ht="45" hidden="false" customHeight="true" outlineLevel="0" collapsed="false">
      <c r="A3" s="4" t="s">
        <v>49</v>
      </c>
      <c r="B3" s="4" t="s">
        <v>50</v>
      </c>
      <c r="C3" s="4" t="s">
        <v>50</v>
      </c>
      <c r="D3" s="4" t="s">
        <v>53</v>
      </c>
      <c r="E3" s="4" t="s">
        <v>54</v>
      </c>
      <c r="F3" s="4" t="s">
        <v>50</v>
      </c>
      <c r="G3" s="4" t="s">
        <v>292</v>
      </c>
      <c r="H3" s="4"/>
      <c r="I3" s="4" t="s">
        <v>51</v>
      </c>
    </row>
    <row r="4" customFormat="false" ht="45" hidden="false" customHeight="true" outlineLevel="0" collapsed="false">
      <c r="A4" s="4" t="s">
        <v>59</v>
      </c>
      <c r="B4" s="4" t="s">
        <v>60</v>
      </c>
      <c r="C4" s="4" t="s">
        <v>60</v>
      </c>
      <c r="D4" s="4" t="s">
        <v>63</v>
      </c>
      <c r="E4" s="4" t="s">
        <v>60</v>
      </c>
      <c r="F4" s="4" t="s">
        <v>60</v>
      </c>
      <c r="G4" s="4" t="s">
        <v>293</v>
      </c>
      <c r="H4" s="4" t="s">
        <v>70</v>
      </c>
      <c r="I4" s="4" t="s">
        <v>51</v>
      </c>
    </row>
    <row r="5" customFormat="false" ht="45" hidden="false" customHeight="true" outlineLevel="0" collapsed="false">
      <c r="A5" s="4" t="s">
        <v>69</v>
      </c>
      <c r="B5" s="4" t="s">
        <v>70</v>
      </c>
      <c r="C5" s="4"/>
      <c r="D5" s="4"/>
      <c r="E5" s="4"/>
      <c r="F5" s="4" t="s">
        <v>70</v>
      </c>
      <c r="G5" s="4" t="s">
        <v>294</v>
      </c>
      <c r="H5" s="4" t="s">
        <v>60</v>
      </c>
      <c r="I5" s="4" t="s">
        <v>71</v>
      </c>
    </row>
    <row r="6" customFormat="false" ht="45" hidden="false" customHeight="true" outlineLevel="0" collapsed="false">
      <c r="A6" s="4" t="s">
        <v>78</v>
      </c>
      <c r="B6" s="4" t="s">
        <v>79</v>
      </c>
      <c r="C6" s="4" t="s">
        <v>79</v>
      </c>
      <c r="D6" s="4"/>
      <c r="E6" s="4" t="s">
        <v>79</v>
      </c>
      <c r="F6" s="4" t="s">
        <v>79</v>
      </c>
      <c r="G6" s="4" t="s">
        <v>292</v>
      </c>
      <c r="H6" s="4"/>
      <c r="I6" s="4" t="s">
        <v>51</v>
      </c>
    </row>
    <row r="7" customFormat="false" ht="45" hidden="false" customHeight="true" outlineLevel="0" collapsed="false">
      <c r="A7" s="4" t="s">
        <v>86</v>
      </c>
      <c r="B7" s="4" t="s">
        <v>87</v>
      </c>
      <c r="C7" s="4"/>
      <c r="D7" s="4"/>
      <c r="E7" s="4"/>
      <c r="F7" s="4" t="s">
        <v>87</v>
      </c>
      <c r="G7" s="4" t="s">
        <v>292</v>
      </c>
      <c r="H7" s="4"/>
      <c r="I7" s="4" t="s">
        <v>71</v>
      </c>
    </row>
    <row r="8" customFormat="false" ht="45" hidden="false" customHeight="true" outlineLevel="0" collapsed="false">
      <c r="A8" s="4" t="s">
        <v>93</v>
      </c>
      <c r="B8" s="4" t="s">
        <v>94</v>
      </c>
      <c r="C8" s="4" t="s">
        <v>95</v>
      </c>
      <c r="D8" s="4" t="s">
        <v>96</v>
      </c>
      <c r="E8" s="4" t="s">
        <v>97</v>
      </c>
      <c r="F8" s="4" t="s">
        <v>94</v>
      </c>
      <c r="G8" s="4" t="s">
        <v>295</v>
      </c>
      <c r="H8" s="4"/>
      <c r="I8" s="4" t="s">
        <v>71</v>
      </c>
    </row>
    <row r="9" customFormat="false" ht="45" hidden="false" customHeight="true" outlineLevel="0" collapsed="false">
      <c r="A9" s="4" t="s">
        <v>102</v>
      </c>
      <c r="B9" s="4" t="s">
        <v>103</v>
      </c>
      <c r="C9" s="4" t="s">
        <v>104</v>
      </c>
      <c r="D9" s="4" t="s">
        <v>105</v>
      </c>
      <c r="E9" s="4" t="s">
        <v>103</v>
      </c>
      <c r="F9" s="4" t="s">
        <v>103</v>
      </c>
      <c r="G9" s="4" t="s">
        <v>292</v>
      </c>
      <c r="H9" s="4"/>
      <c r="I9" s="4" t="s">
        <v>39</v>
      </c>
    </row>
    <row r="10" customFormat="false" ht="45" hidden="false" customHeight="true" outlineLevel="0" collapsed="false">
      <c r="A10" s="4" t="s">
        <v>110</v>
      </c>
      <c r="B10" s="4" t="s">
        <v>111</v>
      </c>
      <c r="C10" s="4" t="s">
        <v>111</v>
      </c>
      <c r="D10" s="4" t="s">
        <v>113</v>
      </c>
      <c r="E10" s="4" t="s">
        <v>111</v>
      </c>
      <c r="F10" s="4" t="s">
        <v>111</v>
      </c>
      <c r="G10" s="4" t="s">
        <v>292</v>
      </c>
      <c r="H10" s="4"/>
      <c r="I10" s="4" t="s">
        <v>51</v>
      </c>
    </row>
    <row r="11" customFormat="false" ht="45" hidden="false" customHeight="true" outlineLevel="0" collapsed="false">
      <c r="A11" s="4" t="s">
        <v>116</v>
      </c>
      <c r="B11" s="4" t="s">
        <v>117</v>
      </c>
      <c r="C11" s="4" t="s">
        <v>118</v>
      </c>
      <c r="D11" s="4" t="s">
        <v>119</v>
      </c>
      <c r="E11" s="4" t="s">
        <v>118</v>
      </c>
      <c r="F11" s="4" t="s">
        <v>117</v>
      </c>
      <c r="G11" s="4" t="s">
        <v>292</v>
      </c>
      <c r="H11" s="4"/>
      <c r="I11" s="4" t="s">
        <v>71</v>
      </c>
    </row>
    <row r="12" customFormat="false" ht="45" hidden="false" customHeight="true" outlineLevel="0" collapsed="false">
      <c r="A12" s="4" t="s">
        <v>123</v>
      </c>
      <c r="B12" s="4" t="s">
        <v>124</v>
      </c>
      <c r="C12" s="4" t="s">
        <v>124</v>
      </c>
      <c r="D12" s="4" t="s">
        <v>125</v>
      </c>
      <c r="E12" s="4" t="s">
        <v>126</v>
      </c>
      <c r="F12" s="4" t="s">
        <v>124</v>
      </c>
      <c r="G12" s="4" t="s">
        <v>296</v>
      </c>
      <c r="H12" s="4"/>
      <c r="I12" s="4" t="s">
        <v>39</v>
      </c>
    </row>
    <row r="13" customFormat="false" ht="45" hidden="false" customHeight="true" outlineLevel="0" collapsed="false">
      <c r="A13" s="4" t="s">
        <v>133</v>
      </c>
      <c r="B13" s="4" t="s">
        <v>134</v>
      </c>
      <c r="C13" s="4" t="s">
        <v>134</v>
      </c>
      <c r="D13" s="4" t="s">
        <v>137</v>
      </c>
      <c r="E13" s="4" t="s">
        <v>134</v>
      </c>
      <c r="F13" s="4"/>
      <c r="G13" s="4" t="s">
        <v>292</v>
      </c>
      <c r="H13" s="4"/>
      <c r="I13" s="4" t="s">
        <v>135</v>
      </c>
    </row>
    <row r="14" customFormat="false" ht="45" hidden="false" customHeight="true" outlineLevel="0" collapsed="false">
      <c r="A14" s="4" t="s">
        <v>144</v>
      </c>
      <c r="B14" s="4" t="s">
        <v>145</v>
      </c>
      <c r="C14" s="4" t="s">
        <v>147</v>
      </c>
      <c r="D14" s="4" t="s">
        <v>148</v>
      </c>
      <c r="E14" s="4"/>
      <c r="F14" s="4" t="s">
        <v>145</v>
      </c>
      <c r="G14" s="4" t="s">
        <v>292</v>
      </c>
      <c r="H14" s="4"/>
      <c r="I14" s="4" t="s">
        <v>51</v>
      </c>
    </row>
    <row r="15" customFormat="false" ht="45" hidden="false" customHeight="true" outlineLevel="0" collapsed="false">
      <c r="A15" s="4" t="s">
        <v>151</v>
      </c>
      <c r="B15" s="4" t="s">
        <v>152</v>
      </c>
      <c r="C15" s="4"/>
      <c r="D15" s="4"/>
      <c r="E15" s="4" t="s">
        <v>152</v>
      </c>
      <c r="F15" s="4" t="s">
        <v>152</v>
      </c>
      <c r="G15" s="4" t="s">
        <v>292</v>
      </c>
      <c r="H15" s="4"/>
      <c r="I15" s="4" t="s">
        <v>51</v>
      </c>
    </row>
    <row r="16" customFormat="false" ht="45" hidden="false" customHeight="true" outlineLevel="0" collapsed="false">
      <c r="A16" s="4" t="s">
        <v>159</v>
      </c>
      <c r="B16" s="4" t="s">
        <v>160</v>
      </c>
      <c r="C16" s="4" t="s">
        <v>161</v>
      </c>
      <c r="D16" s="4" t="s">
        <v>162</v>
      </c>
      <c r="E16" s="4" t="s">
        <v>163</v>
      </c>
      <c r="F16" s="4" t="s">
        <v>160</v>
      </c>
      <c r="G16" s="4" t="s">
        <v>297</v>
      </c>
      <c r="H16" s="4"/>
      <c r="I16" s="4" t="s">
        <v>39</v>
      </c>
    </row>
    <row r="17" customFormat="false" ht="45" hidden="false" customHeight="true" outlineLevel="0" collapsed="false">
      <c r="A17" s="4" t="s">
        <v>168</v>
      </c>
      <c r="B17" s="4" t="s">
        <v>169</v>
      </c>
      <c r="C17" s="4" t="s">
        <v>170</v>
      </c>
      <c r="D17" s="4" t="s">
        <v>171</v>
      </c>
      <c r="E17" s="4" t="s">
        <v>169</v>
      </c>
      <c r="F17" s="4" t="s">
        <v>169</v>
      </c>
      <c r="G17" s="4" t="s">
        <v>292</v>
      </c>
      <c r="H17" s="4"/>
      <c r="I17" s="4" t="s">
        <v>39</v>
      </c>
    </row>
    <row r="18" customFormat="false" ht="45" hidden="false" customHeight="true" outlineLevel="0" collapsed="false">
      <c r="A18" s="4" t="s">
        <v>174</v>
      </c>
      <c r="B18" s="4" t="s">
        <v>175</v>
      </c>
      <c r="C18" s="4" t="s">
        <v>176</v>
      </c>
      <c r="D18" s="4" t="s">
        <v>177</v>
      </c>
      <c r="E18" s="4" t="s">
        <v>176</v>
      </c>
      <c r="F18" s="4" t="s">
        <v>175</v>
      </c>
      <c r="G18" s="4" t="s">
        <v>292</v>
      </c>
      <c r="H18" s="4"/>
      <c r="I18" s="4" t="s">
        <v>51</v>
      </c>
    </row>
    <row r="19" customFormat="false" ht="45" hidden="false" customHeight="true" outlineLevel="0" collapsed="false">
      <c r="A19" s="4" t="s">
        <v>180</v>
      </c>
      <c r="B19" s="4" t="s">
        <v>181</v>
      </c>
      <c r="C19" s="4" t="s">
        <v>181</v>
      </c>
      <c r="D19" s="4"/>
      <c r="E19" s="4" t="s">
        <v>181</v>
      </c>
      <c r="F19" s="4" t="s">
        <v>181</v>
      </c>
      <c r="G19" s="4" t="s">
        <v>292</v>
      </c>
      <c r="H19" s="4"/>
      <c r="I19" s="4" t="s">
        <v>51</v>
      </c>
    </row>
    <row r="20" customFormat="false" ht="45" hidden="false" customHeight="true" outlineLevel="0" collapsed="false">
      <c r="A20" s="4" t="s">
        <v>187</v>
      </c>
      <c r="B20" s="4" t="s">
        <v>188</v>
      </c>
      <c r="C20" s="4" t="s">
        <v>188</v>
      </c>
      <c r="D20" s="4" t="s">
        <v>190</v>
      </c>
      <c r="E20" s="4"/>
      <c r="F20" s="4" t="s">
        <v>188</v>
      </c>
      <c r="G20" s="4" t="s">
        <v>292</v>
      </c>
      <c r="H20" s="4"/>
      <c r="I20" s="4" t="s">
        <v>51</v>
      </c>
    </row>
    <row r="21" customFormat="false" ht="45" hidden="false" customHeight="true" outlineLevel="0" collapsed="false">
      <c r="A21" s="4" t="s">
        <v>195</v>
      </c>
      <c r="B21" s="4" t="s">
        <v>196</v>
      </c>
      <c r="C21" s="4" t="s">
        <v>196</v>
      </c>
      <c r="D21" s="4" t="s">
        <v>197</v>
      </c>
      <c r="E21" s="4"/>
      <c r="F21" s="4" t="s">
        <v>196</v>
      </c>
      <c r="G21" s="4" t="s">
        <v>292</v>
      </c>
      <c r="H21" s="4"/>
      <c r="I21" s="4" t="s">
        <v>39</v>
      </c>
    </row>
    <row r="22" customFormat="false" ht="45" hidden="false" customHeight="true" outlineLevel="0" collapsed="false">
      <c r="A22" s="4" t="s">
        <v>200</v>
      </c>
      <c r="B22" s="4" t="s">
        <v>201</v>
      </c>
      <c r="C22" s="4" t="s">
        <v>201</v>
      </c>
      <c r="D22" s="4" t="s">
        <v>202</v>
      </c>
      <c r="E22" s="4" t="s">
        <v>201</v>
      </c>
      <c r="F22" s="4" t="s">
        <v>298</v>
      </c>
      <c r="G22" s="4" t="s">
        <v>299</v>
      </c>
      <c r="H22" s="4"/>
      <c r="I22" s="4" t="s">
        <v>71</v>
      </c>
    </row>
    <row r="23" customFormat="false" ht="45" hidden="false" customHeight="true" outlineLevel="0" collapsed="false">
      <c r="A23" s="4" t="s">
        <v>208</v>
      </c>
      <c r="B23" s="4" t="s">
        <v>209</v>
      </c>
      <c r="C23" s="4" t="s">
        <v>209</v>
      </c>
      <c r="D23" s="4" t="s">
        <v>210</v>
      </c>
      <c r="E23" s="4" t="s">
        <v>209</v>
      </c>
      <c r="F23" s="4" t="s">
        <v>209</v>
      </c>
      <c r="G23" s="4" t="s">
        <v>300</v>
      </c>
      <c r="H23" s="4" t="s">
        <v>216</v>
      </c>
      <c r="I23" s="4" t="s">
        <v>51</v>
      </c>
    </row>
    <row r="24" customFormat="false" ht="45" hidden="false" customHeight="true" outlineLevel="0" collapsed="false">
      <c r="A24" s="4" t="s">
        <v>215</v>
      </c>
      <c r="B24" s="4" t="s">
        <v>216</v>
      </c>
      <c r="C24" s="4"/>
      <c r="D24" s="4"/>
      <c r="E24" s="4"/>
      <c r="F24" s="4" t="s">
        <v>216</v>
      </c>
      <c r="G24" s="4" t="s">
        <v>301</v>
      </c>
      <c r="H24" s="4" t="s">
        <v>209</v>
      </c>
      <c r="I24" s="4" t="s">
        <v>71</v>
      </c>
    </row>
    <row r="25" customFormat="false" ht="45" hidden="false" customHeight="true" outlineLevel="0" collapsed="false">
      <c r="A25" s="4" t="s">
        <v>221</v>
      </c>
      <c r="B25" s="4" t="s">
        <v>222</v>
      </c>
      <c r="C25" s="4" t="s">
        <v>222</v>
      </c>
      <c r="D25" s="4" t="s">
        <v>223</v>
      </c>
      <c r="E25" s="4" t="s">
        <v>222</v>
      </c>
      <c r="F25" s="4" t="s">
        <v>222</v>
      </c>
      <c r="G25" s="4" t="s">
        <v>292</v>
      </c>
      <c r="H25" s="4"/>
      <c r="I25" s="4" t="s">
        <v>39</v>
      </c>
    </row>
    <row r="26" customFormat="false" ht="45" hidden="false" customHeight="true" outlineLevel="0" collapsed="false">
      <c r="A26" s="4" t="s">
        <v>226</v>
      </c>
      <c r="B26" s="4" t="s">
        <v>227</v>
      </c>
      <c r="C26" s="4" t="s">
        <v>227</v>
      </c>
      <c r="D26" s="4" t="s">
        <v>228</v>
      </c>
      <c r="E26" s="4" t="s">
        <v>227</v>
      </c>
      <c r="F26" s="4" t="s">
        <v>227</v>
      </c>
      <c r="G26" s="4" t="s">
        <v>292</v>
      </c>
      <c r="H26" s="4"/>
      <c r="I26" s="4" t="s">
        <v>39</v>
      </c>
    </row>
    <row r="27" customFormat="false" ht="45" hidden="false" customHeight="true" outlineLevel="0" collapsed="false">
      <c r="A27" s="4" t="s">
        <v>231</v>
      </c>
      <c r="B27" s="4" t="s">
        <v>232</v>
      </c>
      <c r="C27" s="4" t="s">
        <v>232</v>
      </c>
      <c r="D27" s="4" t="s">
        <v>233</v>
      </c>
      <c r="E27" s="4" t="s">
        <v>232</v>
      </c>
      <c r="F27" s="4" t="s">
        <v>232</v>
      </c>
      <c r="G27" s="4" t="s">
        <v>292</v>
      </c>
      <c r="H27" s="4"/>
      <c r="I27" s="4" t="s">
        <v>51</v>
      </c>
    </row>
    <row r="28" customFormat="false" ht="45" hidden="false" customHeight="true" outlineLevel="0" collapsed="false">
      <c r="A28" s="4" t="s">
        <v>236</v>
      </c>
      <c r="B28" s="4" t="s">
        <v>237</v>
      </c>
      <c r="C28" s="4" t="s">
        <v>237</v>
      </c>
      <c r="D28" s="4" t="s">
        <v>238</v>
      </c>
      <c r="E28" s="4"/>
      <c r="F28" s="4" t="s">
        <v>237</v>
      </c>
      <c r="G28" s="4" t="s">
        <v>292</v>
      </c>
      <c r="H28" s="4"/>
      <c r="I28" s="4" t="s">
        <v>39</v>
      </c>
    </row>
    <row r="29" customFormat="false" ht="45" hidden="false" customHeight="true" outlineLevel="0" collapsed="false">
      <c r="A29" s="4" t="s">
        <v>241</v>
      </c>
      <c r="B29" s="4" t="s">
        <v>242</v>
      </c>
      <c r="C29" s="4"/>
      <c r="D29" s="4" t="s">
        <v>244</v>
      </c>
      <c r="E29" s="4"/>
      <c r="F29" s="4" t="s">
        <v>242</v>
      </c>
      <c r="G29" s="4" t="s">
        <v>292</v>
      </c>
      <c r="H29" s="4"/>
      <c r="I29" s="4" t="s">
        <v>51</v>
      </c>
    </row>
    <row r="30" customFormat="false" ht="45" hidden="false" customHeight="true" outlineLevel="0" collapsed="false">
      <c r="A30" s="4" t="s">
        <v>248</v>
      </c>
      <c r="B30" s="4" t="s">
        <v>249</v>
      </c>
      <c r="C30" s="4" t="s">
        <v>249</v>
      </c>
      <c r="D30" s="4" t="s">
        <v>250</v>
      </c>
      <c r="E30" s="4"/>
      <c r="F30" s="4" t="s">
        <v>249</v>
      </c>
      <c r="G30" s="4" t="s">
        <v>292</v>
      </c>
      <c r="H30" s="4"/>
      <c r="I30" s="4" t="s">
        <v>39</v>
      </c>
    </row>
    <row r="31" customFormat="false" ht="45" hidden="false" customHeight="true" outlineLevel="0" collapsed="false">
      <c r="A31" s="4" t="s">
        <v>253</v>
      </c>
      <c r="B31" s="4" t="s">
        <v>254</v>
      </c>
      <c r="C31" s="4"/>
      <c r="D31" s="4"/>
      <c r="E31" s="4"/>
      <c r="F31" s="4" t="s">
        <v>254</v>
      </c>
      <c r="G31" s="4" t="s">
        <v>292</v>
      </c>
      <c r="H31" s="4"/>
      <c r="I31" s="4" t="s">
        <v>39</v>
      </c>
    </row>
    <row r="32" customFormat="false" ht="45" hidden="false" customHeight="true" outlineLevel="0" collapsed="false">
      <c r="A32" s="4" t="s">
        <v>257</v>
      </c>
      <c r="B32" s="4" t="s">
        <v>258</v>
      </c>
      <c r="C32" s="4" t="s">
        <v>258</v>
      </c>
      <c r="D32" s="4" t="s">
        <v>259</v>
      </c>
      <c r="E32" s="4" t="s">
        <v>258</v>
      </c>
      <c r="F32" s="4" t="s">
        <v>258</v>
      </c>
      <c r="G32" s="4" t="s">
        <v>292</v>
      </c>
      <c r="H32" s="4"/>
      <c r="I32" s="4" t="s">
        <v>51</v>
      </c>
    </row>
    <row r="33" customFormat="false" ht="45" hidden="false" customHeight="true" outlineLevel="0" collapsed="false">
      <c r="A33" s="4" t="s">
        <v>262</v>
      </c>
      <c r="B33" s="4" t="s">
        <v>263</v>
      </c>
      <c r="C33" s="4" t="s">
        <v>263</v>
      </c>
      <c r="D33" s="4" t="s">
        <v>264</v>
      </c>
      <c r="E33" s="4" t="s">
        <v>263</v>
      </c>
      <c r="F33" s="4" t="s">
        <v>263</v>
      </c>
      <c r="G33" s="4" t="s">
        <v>292</v>
      </c>
      <c r="H33" s="4"/>
      <c r="I33" s="4" t="s">
        <v>51</v>
      </c>
    </row>
    <row r="34" customFormat="false" ht="45" hidden="false" customHeight="true" outlineLevel="0" collapsed="false">
      <c r="A34" s="4" t="s">
        <v>267</v>
      </c>
      <c r="B34" s="4" t="s">
        <v>268</v>
      </c>
      <c r="C34" s="4" t="s">
        <v>268</v>
      </c>
      <c r="D34" s="4" t="s">
        <v>269</v>
      </c>
      <c r="E34" s="4" t="s">
        <v>268</v>
      </c>
      <c r="F34" s="4" t="s">
        <v>268</v>
      </c>
      <c r="G34" s="4" t="s">
        <v>292</v>
      </c>
      <c r="H34" s="4"/>
      <c r="I34" s="4" t="s">
        <v>39</v>
      </c>
    </row>
    <row r="35" customFormat="false" ht="45" hidden="false" customHeight="true" outlineLevel="0" collapsed="false">
      <c r="A35" s="4" t="s">
        <v>272</v>
      </c>
      <c r="B35" s="4" t="s">
        <v>273</v>
      </c>
      <c r="C35" s="4" t="s">
        <v>274</v>
      </c>
      <c r="D35" s="4" t="s">
        <v>275</v>
      </c>
      <c r="E35" s="4" t="s">
        <v>273</v>
      </c>
      <c r="F35" s="4" t="s">
        <v>273</v>
      </c>
      <c r="G35" s="4" t="s">
        <v>292</v>
      </c>
      <c r="H35" s="4"/>
      <c r="I35" s="4" t="s">
        <v>39</v>
      </c>
    </row>
    <row r="36" customFormat="false" ht="45" hidden="false" customHeight="true" outlineLevel="0" collapsed="false">
      <c r="A36" s="4" t="s">
        <v>278</v>
      </c>
      <c r="B36" s="4" t="s">
        <v>279</v>
      </c>
      <c r="C36" s="4" t="s">
        <v>279</v>
      </c>
      <c r="D36" s="4" t="s">
        <v>280</v>
      </c>
      <c r="E36" s="4" t="s">
        <v>279</v>
      </c>
      <c r="F36" s="4"/>
      <c r="G36" s="4" t="s">
        <v>292</v>
      </c>
      <c r="H36" s="4"/>
      <c r="I36" s="4" t="s">
        <v>135</v>
      </c>
    </row>
  </sheetData>
  <autoFilter ref="A1:I36"/>
  <printOptions headings="false" gridLines="false" gridLinesSet="true" horizontalCentered="true" verticalCentered="false"/>
  <pageMargins left="0.25" right="0.25" top="0.45" bottom="0.45" header="0.2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&amp;C&amp;"Arial,Regular"&amp;9 &amp;A</oddHeader>
    <oddFooter>&amp;L&amp;"Arial,Regular"&amp;8 Revision 1.0 | Final action register&amp;C&amp;"Arial,Regular"&amp;8 CT-2026-0713-18&amp;R&amp;"Arial,Regular"&amp;8 Page &amp;P of &amp;N</oddFooter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9"/>
    <col collapsed="false" customWidth="true" hidden="false" outlineLevel="0" max="4" min="4" style="0" width="54"/>
    <col collapsed="false" customWidth="true" hidden="false" outlineLevel="0" max="5" min="5" style="0" width="12"/>
    <col collapsed="false" customWidth="true" hidden="false" outlineLevel="0" max="6" min="6" style="0" width="36"/>
  </cols>
  <sheetData>
    <row r="1" customFormat="false" ht="24" hidden="false" customHeight="true" outlineLevel="0" collapsed="false">
      <c r="A1" s="3" t="s">
        <v>302</v>
      </c>
      <c r="B1" s="3" t="s">
        <v>303</v>
      </c>
      <c r="C1" s="3" t="s">
        <v>304</v>
      </c>
      <c r="D1" s="3" t="s">
        <v>305</v>
      </c>
      <c r="E1" s="3" t="s">
        <v>306</v>
      </c>
      <c r="F1" s="3" t="s">
        <v>307</v>
      </c>
    </row>
    <row r="2" customFormat="false" ht="36" hidden="false" customHeight="true" outlineLevel="0" collapsed="false">
      <c r="A2" s="4" t="s">
        <v>308</v>
      </c>
      <c r="B2" s="4" t="s">
        <v>309</v>
      </c>
      <c r="C2" s="4" t="s">
        <v>310</v>
      </c>
      <c r="D2" s="4" t="s">
        <v>311</v>
      </c>
      <c r="E2" s="4" t="s">
        <v>312</v>
      </c>
      <c r="F2" s="4" t="s">
        <v>313</v>
      </c>
    </row>
    <row r="3" customFormat="false" ht="36" hidden="false" customHeight="true" outlineLevel="0" collapsed="false">
      <c r="A3" s="4" t="s">
        <v>314</v>
      </c>
      <c r="B3" s="4" t="s">
        <v>315</v>
      </c>
      <c r="C3" s="4" t="s">
        <v>316</v>
      </c>
      <c r="D3" s="4" t="s">
        <v>317</v>
      </c>
      <c r="E3" s="4" t="s">
        <v>318</v>
      </c>
      <c r="F3" s="4" t="s">
        <v>319</v>
      </c>
    </row>
    <row r="4" customFormat="false" ht="36" hidden="false" customHeight="true" outlineLevel="0" collapsed="false">
      <c r="A4" s="4" t="s">
        <v>320</v>
      </c>
      <c r="B4" s="4" t="s">
        <v>321</v>
      </c>
      <c r="C4" s="4" t="s">
        <v>322</v>
      </c>
      <c r="D4" s="4" t="s">
        <v>323</v>
      </c>
      <c r="E4" s="4" t="s">
        <v>312</v>
      </c>
      <c r="F4" s="4" t="s">
        <v>324</v>
      </c>
    </row>
    <row r="5" customFormat="false" ht="36" hidden="false" customHeight="true" outlineLevel="0" collapsed="false">
      <c r="A5" s="4" t="s">
        <v>325</v>
      </c>
      <c r="B5" s="4" t="s">
        <v>326</v>
      </c>
      <c r="C5" s="4" t="s">
        <v>327</v>
      </c>
      <c r="D5" s="4" t="s">
        <v>328</v>
      </c>
      <c r="E5" s="4" t="s">
        <v>329</v>
      </c>
      <c r="F5" s="4" t="s">
        <v>330</v>
      </c>
    </row>
    <row r="6" customFormat="false" ht="36" hidden="false" customHeight="true" outlineLevel="0" collapsed="false">
      <c r="A6" s="4" t="s">
        <v>331</v>
      </c>
      <c r="B6" s="4" t="s">
        <v>332</v>
      </c>
      <c r="C6" s="4" t="s">
        <v>72</v>
      </c>
      <c r="D6" s="4" t="s">
        <v>333</v>
      </c>
      <c r="E6" s="4" t="s">
        <v>334</v>
      </c>
      <c r="F6" s="4" t="s">
        <v>335</v>
      </c>
    </row>
    <row r="7" customFormat="false" ht="36" hidden="false" customHeight="true" outlineLevel="0" collapsed="false">
      <c r="A7" s="4" t="s">
        <v>336</v>
      </c>
      <c r="B7" s="4" t="s">
        <v>337</v>
      </c>
      <c r="C7" s="4" t="s">
        <v>327</v>
      </c>
      <c r="D7" s="4" t="s">
        <v>338</v>
      </c>
      <c r="E7" s="4" t="s">
        <v>329</v>
      </c>
      <c r="F7" s="4" t="s">
        <v>339</v>
      </c>
    </row>
    <row r="8" customFormat="false" ht="36" hidden="false" customHeight="true" outlineLevel="0" collapsed="false">
      <c r="A8" s="4" t="s">
        <v>340</v>
      </c>
      <c r="B8" s="4" t="s">
        <v>341</v>
      </c>
      <c r="C8" s="4" t="s">
        <v>327</v>
      </c>
      <c r="D8" s="4" t="s">
        <v>342</v>
      </c>
      <c r="E8" s="4" t="s">
        <v>329</v>
      </c>
      <c r="F8" s="4" t="s">
        <v>339</v>
      </c>
    </row>
    <row r="9" customFormat="false" ht="36" hidden="false" customHeight="true" outlineLevel="0" collapsed="false">
      <c r="A9" s="4" t="s">
        <v>343</v>
      </c>
      <c r="B9" s="4" t="s">
        <v>344</v>
      </c>
      <c r="C9" s="4" t="s">
        <v>345</v>
      </c>
      <c r="D9" s="4" t="s">
        <v>346</v>
      </c>
      <c r="E9" s="4" t="s">
        <v>347</v>
      </c>
      <c r="F9" s="4" t="s">
        <v>348</v>
      </c>
    </row>
    <row r="10" customFormat="false" ht="36" hidden="false" customHeight="true" outlineLevel="0" collapsed="false">
      <c r="A10" s="4" t="s">
        <v>349</v>
      </c>
      <c r="B10" s="4" t="s">
        <v>350</v>
      </c>
      <c r="C10" s="4" t="s">
        <v>327</v>
      </c>
      <c r="D10" s="4" t="s">
        <v>351</v>
      </c>
      <c r="E10" s="4" t="s">
        <v>352</v>
      </c>
      <c r="F10" s="4" t="s">
        <v>353</v>
      </c>
    </row>
    <row r="11" customFormat="false" ht="36" hidden="false" customHeight="true" outlineLevel="0" collapsed="false">
      <c r="A11" s="4" t="s">
        <v>354</v>
      </c>
      <c r="B11" s="4" t="s">
        <v>355</v>
      </c>
      <c r="C11" s="4" t="s">
        <v>356</v>
      </c>
      <c r="D11" s="4" t="s">
        <v>357</v>
      </c>
      <c r="E11" s="4" t="s">
        <v>352</v>
      </c>
      <c r="F11" s="4" t="s">
        <v>358</v>
      </c>
    </row>
  </sheetData>
  <autoFilter ref="A1:F11"/>
  <printOptions headings="false" gridLines="false" gridLinesSet="true" horizontalCentered="true" verticalCentered="false"/>
  <pageMargins left="0.25" right="0.25" top="0.45" bottom="0.45" header="0.2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&amp;C&amp;"Arial,Regular"&amp;9 &amp;A</oddHeader>
    <oddFooter>&amp;L&amp;"Arial,Regular"&amp;8 Revision 1.0 | Final action register&amp;C&amp;"Arial,Regular"&amp;8 CT-2026-0713-18&amp;R&amp;"Arial,Regular"&amp;8 Page &amp;P of &amp;N</oddFooter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3" min="3" style="0" width="10"/>
    <col collapsed="false" customWidth="true" hidden="false" outlineLevel="0" max="8" min="4" style="0" width="13"/>
  </cols>
  <sheetData>
    <row r="1" customFormat="false" ht="24" hidden="false" customHeight="true" outlineLevel="0" collapsed="false">
      <c r="A1" s="6" t="s">
        <v>359</v>
      </c>
      <c r="B1" s="6" t="s">
        <v>360</v>
      </c>
      <c r="C1" s="2"/>
      <c r="D1" s="1" t="s">
        <v>361</v>
      </c>
      <c r="E1" s="2"/>
      <c r="F1" s="2"/>
      <c r="G1" s="2"/>
      <c r="H1" s="2"/>
    </row>
    <row r="2" customFormat="false" ht="15" hidden="false" customHeight="false" outlineLevel="0" collapsed="false">
      <c r="A2" s="4" t="s">
        <v>39</v>
      </c>
      <c r="B2" s="7" t="n">
        <f aca="false">COUNTIF(Action_Register!$C$2:$C$36,A2)</f>
        <v>13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4" t="s">
        <v>71</v>
      </c>
      <c r="B3" s="7" t="n">
        <f aca="false">COUNTIF(Action_Register!$C$2:$C$36,A3)</f>
        <v>6</v>
      </c>
      <c r="C3" s="2"/>
      <c r="D3" s="6" t="s">
        <v>24</v>
      </c>
      <c r="E3" s="6" t="s">
        <v>39</v>
      </c>
      <c r="F3" s="6" t="s">
        <v>71</v>
      </c>
      <c r="G3" s="6" t="s">
        <v>51</v>
      </c>
      <c r="H3" s="6" t="s">
        <v>135</v>
      </c>
    </row>
    <row r="4" customFormat="false" ht="15" hidden="false" customHeight="false" outlineLevel="0" collapsed="false">
      <c r="A4" s="4" t="s">
        <v>51</v>
      </c>
      <c r="B4" s="7" t="n">
        <f aca="false">COUNTIF(Action_Register!$C$2:$C$36,A4)</f>
        <v>14</v>
      </c>
      <c r="C4" s="2"/>
      <c r="D4" s="4" t="s">
        <v>40</v>
      </c>
      <c r="E4" s="4" t="n">
        <f aca="false">COUNTIFS(Action_Register!$D$2:$D$36,$D4,Action_Register!$C$2:$C$36,E3)</f>
        <v>2</v>
      </c>
      <c r="F4" s="4" t="n">
        <f aca="false">COUNTIFS(Action_Register!$D$2:$D$36,$D4,Action_Register!$C$2:$C$36,F3)</f>
        <v>1</v>
      </c>
      <c r="G4" s="4" t="n">
        <f aca="false">COUNTIFS(Action_Register!$D$2:$D$36,$D4,Action_Register!$C$2:$C$36,G3)</f>
        <v>5</v>
      </c>
      <c r="H4" s="4" t="n">
        <f aca="false">COUNTIFS(Action_Register!$D$2:$D$36,$D4,Action_Register!$C$2:$C$36,H3)</f>
        <v>0</v>
      </c>
    </row>
    <row r="5" customFormat="false" ht="15" hidden="false" customHeight="false" outlineLevel="0" collapsed="false">
      <c r="A5" s="4" t="s">
        <v>135</v>
      </c>
      <c r="B5" s="7" t="n">
        <f aca="false">COUNTIF(Action_Register!$C$2:$C$36,A5)</f>
        <v>2</v>
      </c>
      <c r="C5" s="2"/>
      <c r="D5" s="4" t="s">
        <v>61</v>
      </c>
      <c r="E5" s="4" t="n">
        <f aca="false">COUNTIFS(Action_Register!$D$2:$D$36,$D5,Action_Register!$C$2:$C$36,E3)</f>
        <v>2</v>
      </c>
      <c r="F5" s="4" t="n">
        <f aca="false">COUNTIFS(Action_Register!$D$2:$D$36,$D5,Action_Register!$C$2:$C$36,F3)</f>
        <v>3</v>
      </c>
      <c r="G5" s="4" t="n">
        <f aca="false">COUNTIFS(Action_Register!$D$2:$D$36,$D5,Action_Register!$C$2:$C$36,G3)</f>
        <v>4</v>
      </c>
      <c r="H5" s="4" t="n">
        <f aca="false">COUNTIFS(Action_Register!$D$2:$D$36,$D5,Action_Register!$C$2:$C$36,H3)</f>
        <v>1</v>
      </c>
    </row>
    <row r="6" customFormat="false" ht="15" hidden="false" customHeight="false" outlineLevel="0" collapsed="false">
      <c r="A6" s="2"/>
      <c r="B6" s="2"/>
      <c r="C6" s="2"/>
      <c r="D6" s="4" t="s">
        <v>112</v>
      </c>
      <c r="E6" s="4" t="n">
        <f aca="false">COUNTIFS(Action_Register!$D$2:$D$36,$D6,Action_Register!$C$2:$C$36,E3)</f>
        <v>9</v>
      </c>
      <c r="F6" s="4" t="n">
        <f aca="false">COUNTIFS(Action_Register!$D$2:$D$36,$D6,Action_Register!$C$2:$C$36,F3)</f>
        <v>2</v>
      </c>
      <c r="G6" s="4" t="n">
        <f aca="false">COUNTIFS(Action_Register!$D$2:$D$36,$D6,Action_Register!$C$2:$C$36,G3)</f>
        <v>5</v>
      </c>
      <c r="H6" s="4" t="n">
        <f aca="false">COUNTIFS(Action_Register!$D$2:$D$36,$D6,Action_Register!$C$2:$C$36,H3)</f>
        <v>1</v>
      </c>
    </row>
  </sheetData>
  <printOptions headings="false" gridLines="false" gridLinesSet="true" horizontalCentered="true" verticalCentered="false"/>
  <pageMargins left="0.25" right="0.25" top="0.45" bottom="0.45" header="0.2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&amp;C&amp;"Arial,Regular"&amp;9 &amp;A</oddHeader>
    <oddFooter>&amp;L&amp;"Arial,Regular"&amp;8 Revision 1.0 | Final action register&amp;C&amp;"Arial,Regular"&amp;8 CT-2026-0713-18&amp;R&amp;"Arial,Regular"&amp;8 Page &amp;P of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62"/>
    <col collapsed="false" customWidth="true" hidden="false" outlineLevel="0" max="4" min="4" style="0" width="46"/>
  </cols>
  <sheetData>
    <row r="1" customFormat="false" ht="24" hidden="false" customHeight="true" outlineLevel="0" collapsed="false">
      <c r="A1" s="3" t="s">
        <v>23</v>
      </c>
      <c r="B1" s="3" t="s">
        <v>362</v>
      </c>
      <c r="C1" s="3" t="s">
        <v>363</v>
      </c>
      <c r="D1" s="3" t="s">
        <v>364</v>
      </c>
    </row>
    <row r="2" customFormat="false" ht="36" hidden="false" customHeight="true" outlineLevel="0" collapsed="false">
      <c r="A2" s="4" t="s">
        <v>39</v>
      </c>
      <c r="B2" s="4" t="n">
        <v>13</v>
      </c>
      <c r="C2" s="4" t="s">
        <v>365</v>
      </c>
      <c r="D2" s="4" t="s">
        <v>366</v>
      </c>
    </row>
    <row r="3" customFormat="false" ht="36" hidden="false" customHeight="true" outlineLevel="0" collapsed="false">
      <c r="A3" s="4" t="s">
        <v>71</v>
      </c>
      <c r="B3" s="4" t="n">
        <v>6</v>
      </c>
      <c r="C3" s="4" t="s">
        <v>367</v>
      </c>
      <c r="D3" s="4" t="s">
        <v>368</v>
      </c>
    </row>
    <row r="4" customFormat="false" ht="36" hidden="false" customHeight="true" outlineLevel="0" collapsed="false">
      <c r="A4" s="4" t="s">
        <v>51</v>
      </c>
      <c r="B4" s="4" t="n">
        <v>14</v>
      </c>
      <c r="C4" s="4" t="s">
        <v>369</v>
      </c>
      <c r="D4" s="4" t="s">
        <v>370</v>
      </c>
    </row>
    <row r="5" customFormat="false" ht="36" hidden="false" customHeight="true" outlineLevel="0" collapsed="false">
      <c r="A5" s="4" t="s">
        <v>135</v>
      </c>
      <c r="B5" s="4" t="n">
        <v>2</v>
      </c>
      <c r="C5" s="4" t="s">
        <v>371</v>
      </c>
      <c r="D5" s="4" t="s">
        <v>372</v>
      </c>
    </row>
  </sheetData>
  <autoFilter ref="A1:D5"/>
  <printOptions headings="false" gridLines="false" gridLinesSet="true" horizontalCentered="true" verticalCentered="false"/>
  <pageMargins left="0.25" right="0.25" top="0.45" bottom="0.45" header="0.2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&amp;C&amp;"Arial,Regular"&amp;9 &amp;A</oddHeader>
    <oddFooter>&amp;L&amp;"Arial,Regular"&amp;8 Revision 1.0 | Final action register&amp;C&amp;"Arial,Regular"&amp;8 CT-2026-0713-18&amp;R&amp;"Arial,Regular"&amp;8 Page &amp;P of &amp;N</oddFooter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2"/>
  </cols>
  <sheetData>
    <row r="1" customFormat="false" ht="24" hidden="false" customHeight="true" outlineLevel="0" collapsed="false">
      <c r="A1" s="6" t="s">
        <v>373</v>
      </c>
      <c r="B1" s="6" t="s">
        <v>374</v>
      </c>
      <c r="C1" s="6" t="s">
        <v>375</v>
      </c>
      <c r="D1" s="6" t="s">
        <v>376</v>
      </c>
    </row>
    <row r="2" customFormat="false" ht="15" hidden="false" customHeight="false" outlineLevel="0" collapsed="false">
      <c r="A2" s="4" t="s">
        <v>377</v>
      </c>
      <c r="B2" s="4" t="n">
        <f aca="false">COUNTA(Action_Register!$A$2:$A$36)</f>
        <v>35</v>
      </c>
      <c r="C2" s="4" t="n">
        <v>35</v>
      </c>
      <c r="D2" s="8" t="str">
        <f aca="false">IF(B2=C2,"OK","CHECK")</f>
        <v>OK</v>
      </c>
    </row>
    <row r="3" customFormat="false" ht="15" hidden="false" customHeight="false" outlineLevel="0" collapsed="false">
      <c r="A3" s="4" t="s">
        <v>378</v>
      </c>
      <c r="B3" s="4" t="n">
        <f aca="false">COUNTIF(Action_Register!$C$2:$C$36,"KEEP")</f>
        <v>13</v>
      </c>
      <c r="C3" s="4" t="n">
        <v>13</v>
      </c>
      <c r="D3" s="8" t="str">
        <f aca="false">IF(B3=C3,"OK","CHECK")</f>
        <v>OK</v>
      </c>
    </row>
    <row r="4" customFormat="false" ht="15" hidden="false" customHeight="false" outlineLevel="0" collapsed="false">
      <c r="A4" s="4" t="s">
        <v>379</v>
      </c>
      <c r="B4" s="4" t="n">
        <f aca="false">COUNTIF(Action_Register!$C$2:$C$36,"CHANGE")</f>
        <v>6</v>
      </c>
      <c r="C4" s="4" t="n">
        <v>6</v>
      </c>
      <c r="D4" s="8" t="str">
        <f aca="false">IF(B4=C4,"OK","CHECK")</f>
        <v>OK</v>
      </c>
    </row>
    <row r="5" customFormat="false" ht="15" hidden="false" customHeight="false" outlineLevel="0" collapsed="false">
      <c r="A5" s="4" t="s">
        <v>380</v>
      </c>
      <c r="B5" s="4" t="n">
        <f aca="false">COUNTIF(Action_Register!$C$2:$C$36,"STOP")</f>
        <v>14</v>
      </c>
      <c r="C5" s="4" t="n">
        <v>14</v>
      </c>
      <c r="D5" s="8" t="str">
        <f aca="false">IF(B5=C5,"OK","CHECK")</f>
        <v>OK</v>
      </c>
    </row>
    <row r="6" customFormat="false" ht="15" hidden="false" customHeight="false" outlineLevel="0" collapsed="false">
      <c r="A6" s="4" t="s">
        <v>381</v>
      </c>
      <c r="B6" s="4" t="n">
        <f aca="false">COUNTIF(Action_Register!$C$2:$C$36,"CLARIFY")</f>
        <v>2</v>
      </c>
      <c r="C6" s="4" t="n">
        <v>2</v>
      </c>
      <c r="D6" s="8" t="str">
        <f aca="false">IF(B6=C6,"OK","CHECK")</f>
        <v>OK</v>
      </c>
    </row>
  </sheetData>
  <printOptions headings="false" gridLines="false" gridLinesSet="true" horizontalCentered="true" verticalCentered="false"/>
  <pageMargins left="0.25" right="0.25" top="0.45" bottom="0.45" header="0.2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&amp;C&amp;"Arial,Regular"&amp;9 &amp;A</oddHeader>
    <oddFooter>&amp;L&amp;"Arial,Regular"&amp;8 Revision 1.0 | Final action register&amp;C&amp;"Arial,Regular"&amp;8 CT-2026-0713-18&amp;R&amp;"Arial,Regular"&amp;8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66"/>
  </cols>
  <sheetData>
    <row r="1" customFormat="false" ht="24" hidden="false" customHeight="true" outlineLevel="0" collapsed="false">
      <c r="A1" s="3" t="s">
        <v>382</v>
      </c>
      <c r="B1" s="3" t="s">
        <v>2</v>
      </c>
      <c r="C1" s="3" t="s">
        <v>383</v>
      </c>
    </row>
    <row r="2" customFormat="false" ht="36" hidden="false" customHeight="true" outlineLevel="0" collapsed="false">
      <c r="A2" s="4" t="s">
        <v>23</v>
      </c>
      <c r="B2" s="4" t="s">
        <v>39</v>
      </c>
      <c r="C2" s="4" t="s">
        <v>384</v>
      </c>
    </row>
    <row r="3" customFormat="false" ht="36" hidden="false" customHeight="true" outlineLevel="0" collapsed="false">
      <c r="A3" s="4" t="s">
        <v>23</v>
      </c>
      <c r="B3" s="4" t="s">
        <v>71</v>
      </c>
      <c r="C3" s="4" t="s">
        <v>384</v>
      </c>
    </row>
    <row r="4" customFormat="false" ht="36" hidden="false" customHeight="true" outlineLevel="0" collapsed="false">
      <c r="A4" s="4" t="s">
        <v>23</v>
      </c>
      <c r="B4" s="4" t="s">
        <v>51</v>
      </c>
      <c r="C4" s="4" t="s">
        <v>384</v>
      </c>
    </row>
    <row r="5" customFormat="false" ht="36" hidden="false" customHeight="true" outlineLevel="0" collapsed="false">
      <c r="A5" s="4" t="s">
        <v>23</v>
      </c>
      <c r="B5" s="4" t="s">
        <v>135</v>
      </c>
      <c r="C5" s="4" t="s">
        <v>384</v>
      </c>
    </row>
    <row r="6" customFormat="false" ht="36" hidden="false" customHeight="true" outlineLevel="0" collapsed="false">
      <c r="A6" s="4" t="s">
        <v>24</v>
      </c>
      <c r="B6" s="4" t="s">
        <v>40</v>
      </c>
      <c r="C6" s="4" t="s">
        <v>385</v>
      </c>
    </row>
    <row r="7" customFormat="false" ht="36" hidden="false" customHeight="true" outlineLevel="0" collapsed="false">
      <c r="A7" s="4" t="s">
        <v>24</v>
      </c>
      <c r="B7" s="4" t="s">
        <v>61</v>
      </c>
      <c r="C7" s="4" t="s">
        <v>385</v>
      </c>
    </row>
    <row r="8" customFormat="false" ht="36" hidden="false" customHeight="true" outlineLevel="0" collapsed="false">
      <c r="A8" s="4" t="s">
        <v>24</v>
      </c>
      <c r="B8" s="4" t="s">
        <v>112</v>
      </c>
      <c r="C8" s="4" t="s">
        <v>385</v>
      </c>
    </row>
    <row r="9" customFormat="false" ht="36" hidden="false" customHeight="true" outlineLevel="0" collapsed="false">
      <c r="A9" s="4" t="s">
        <v>386</v>
      </c>
      <c r="B9" s="4" t="s">
        <v>332</v>
      </c>
      <c r="C9" s="4" t="s">
        <v>387</v>
      </c>
    </row>
    <row r="10" customFormat="false" ht="36" hidden="false" customHeight="true" outlineLevel="0" collapsed="false">
      <c r="A10" s="4" t="s">
        <v>386</v>
      </c>
      <c r="B10" s="4" t="s">
        <v>344</v>
      </c>
      <c r="C10" s="4" t="s">
        <v>388</v>
      </c>
    </row>
    <row r="11" customFormat="false" ht="36" hidden="false" customHeight="true" outlineLevel="0" collapsed="false">
      <c r="A11" s="4" t="s">
        <v>386</v>
      </c>
      <c r="B11" s="4" t="s">
        <v>355</v>
      </c>
      <c r="C11" s="4" t="s">
        <v>389</v>
      </c>
    </row>
    <row r="12" customFormat="false" ht="36" hidden="false" customHeight="true" outlineLevel="0" collapsed="false">
      <c r="A12" s="4" t="s">
        <v>390</v>
      </c>
      <c r="B12" s="4" t="s">
        <v>391</v>
      </c>
      <c r="C12" s="4" t="s">
        <v>392</v>
      </c>
    </row>
  </sheetData>
  <autoFilter ref="A1:C12"/>
  <printOptions headings="false" gridLines="false" gridLinesSet="true" horizontalCentered="true" verticalCentered="false"/>
  <pageMargins left="0.25" right="0.25" top="0.45" bottom="0.45" header="0.2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&amp;C&amp;"Arial,Regular"&amp;9 &amp;A</oddHeader>
    <oddFooter>&amp;L&amp;"Arial,Regular"&amp;8 Revision 1.0 | Final action register&amp;C&amp;"Arial,Regular"&amp;8 CT-2026-0713-18&amp;R&amp;"Arial,Regular"&amp;8 Page &amp;P of &amp;N</oddFooter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9"/>
    <col collapsed="false" customWidth="true" hidden="false" outlineLevel="0" max="3" min="3" style="0" width="22"/>
    <col collapsed="false" customWidth="true" hidden="false" outlineLevel="0" max="4" min="4" style="0" width="68"/>
  </cols>
  <sheetData>
    <row r="1" customFormat="false" ht="24" hidden="false" customHeight="true" outlineLevel="0" collapsed="false">
      <c r="A1" s="3" t="s">
        <v>393</v>
      </c>
      <c r="B1" s="3" t="s">
        <v>394</v>
      </c>
      <c r="C1" s="3" t="s">
        <v>395</v>
      </c>
      <c r="D1" s="3" t="s">
        <v>396</v>
      </c>
    </row>
    <row r="2" customFormat="false" ht="36" hidden="false" customHeight="true" outlineLevel="0" collapsed="false">
      <c r="A2" s="4" t="s">
        <v>397</v>
      </c>
      <c r="B2" s="4" t="s">
        <v>398</v>
      </c>
      <c r="C2" s="4" t="s">
        <v>399</v>
      </c>
      <c r="D2" s="4" t="s">
        <v>400</v>
      </c>
    </row>
  </sheetData>
  <autoFilter ref="A1:D2"/>
  <printOptions headings="false" gridLines="false" gridLinesSet="true" horizontalCentered="true" verticalCentered="false"/>
  <pageMargins left="0.25" right="0.25" top="0.45" bottom="0.45" header="0.2" footer="0.2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&amp;C&amp;"Arial,Regular"&amp;9 &amp;A</oddHeader>
    <oddFooter>&amp;L&amp;"Arial,Regular"&amp;8 Revision 1.0 | Final action register&amp;C&amp;"Arial,Regular"&amp;8 CT-2026-0713-18&amp;R&amp;"Arial,Regular"&amp;8 Page &amp;P of &amp;N</oddFooter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Care transition</cp:category>
  <dcterms:created xsi:type="dcterms:W3CDTF">2026-07-15T13:24:22Z</dcterms:created>
  <dc:creator>Pharmacy Operations</dc:creator>
  <dc:description>Native workbook with source-to-action reconciliation, formula-backed checks, and controlled print layout.</dc:description>
  <cp:keywords>medication reconciliation action register pharmacy care transition</cp:keywords>
  <dc:language>en-US</dc:language>
  <cp:lastModifiedBy/>
  <dcterms:modified xsi:type="dcterms:W3CDTF">2026-07-15T14:07:13Z</dcterms:modified>
  <cp:revision>1</cp:revision>
  <dc:subject>Medication reconciliation for CT-2026-0713-18</dc:subject>
  <dc:title>Medication Reconciliation Action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ing_role_or_department">
    <vt:lpwstr>Outpatient Pharmacy Operations</vt:lpwstr>
  </property>
  <property fmtid="{D5CDD505-2E9C-101B-9397-08002B2CF9AE}" pid="3" name="document_status">
    <vt:lpwstr>Final</vt:lpwstr>
  </property>
  <property fmtid="{D5CDD505-2E9C-101B-9397-08002B2CF9AE}" pid="4" name="keywords">
    <vt:lpwstr>medication reconciliation; action register; care transition</vt:lpwstr>
  </property>
  <property fmtid="{D5CDD505-2E9C-101B-9397-08002B2CF9AE}" pid="5" name="purpose">
    <vt:lpwstr>Medication-by-source reconciliation and action register</vt:lpwstr>
  </property>
  <property fmtid="{D5CDD505-2E9C-101B-9397-08002B2CF9AE}" pid="6" name="reporting_period_or_effective_date">
    <vt:lpwstr>Effective 2026-07-15 for CT-2026-0713-18</vt:lpwstr>
  </property>
  <property fmtid="{D5CDD505-2E9C-101B-9397-08002B2CF9AE}" pid="7" name="revision">
    <vt:lpwstr>1.0</vt:lpwstr>
  </property>
</Properties>
</file>