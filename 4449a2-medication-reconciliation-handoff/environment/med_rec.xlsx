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_Reconciliation" sheetId="1" state="visible" r:id="rId1"/>
    <sheet xmlns:r="http://schemas.openxmlformats.org/officeDocument/2006/relationships" name="Summary_Checks" sheetId="2" state="visible" r:id="rId2"/>
    <sheet xmlns:r="http://schemas.openxmlformats.org/officeDocument/2006/relationships" name="Action_View" sheetId="3" state="visible" r:id="rId3"/>
    <sheet xmlns:r="http://schemas.openxmlformats.org/officeDocument/2006/relationships" name="Discharge_Timeline" sheetId="4" state="visible" r:id="rId4"/>
    <sheet xmlns:r="http://schemas.openxmlformats.org/officeDocument/2006/relationships" name="Allergies" sheetId="5" state="visible" r:id="rId5"/>
    <sheet xmlns:r="http://schemas.openxmlformats.org/officeDocument/2006/relationships" name="Source_Index" sheetId="6" state="visible" r:id="rId6"/>
    <sheet xmlns:r="http://schemas.openxmlformats.org/officeDocument/2006/relationships" name="Read_Me" sheetId="7" state="visible" r:id="rId7"/>
  </sheets>
  <definedNames>
    <definedName name="_xlnm._FilterDatabase" localSheetId="0" hidden="1">'Med_Reconciliation'!$A$3:$AA$38</definedName>
    <definedName name="_xlnm._FilterDatabase" localSheetId="3" hidden="1">'Discharge_Timeline'!$A$1:$D$21</definedName>
    <definedName name="_xlnm._FilterDatabase" localSheetId="4" hidden="1">'Allergies'!$A$1:$L$7</definedName>
    <definedName name="_xlnm._FilterDatabase" localSheetId="5" hidden="1">'Source_Index'!$A$1:$D$9</definedName>
  </definedNames>
  <calcPr calcId="124519" calcMode="auto" fullCalcOnLoad="1" calcOnSave="1" forceFullCalc="1"/>
</workbook>
</file>

<file path=xl/styles.xml><?xml version="1.0" encoding="utf-8"?>
<styleSheet xmlns="http://schemas.openxmlformats.org/spreadsheetml/2006/main">
  <numFmts count="2">
    <numFmt numFmtId="164" formatCode="yyyy-mm-dd h:mm:ss"/>
    <numFmt numFmtId="165" formatCode="yyyy-mm-dd"/>
  </numFmts>
  <fonts count="4">
    <font>
      <name val="Calibri"/>
      <family val="2"/>
      <color theme="1"/>
      <sz val="11"/>
      <scheme val="minor"/>
    </font>
    <font>
      <b val="1"/>
      <color rgb="00FFFFFF"/>
      <sz val="14"/>
    </font>
    <font>
      <b val="1"/>
    </font>
    <font>
      <b val="1"/>
      <color rgb="00FFFFFF"/>
    </font>
  </fonts>
  <fills count="7">
    <fill>
      <patternFill/>
    </fill>
    <fill>
      <patternFill patternType="gray125"/>
    </fill>
    <fill>
      <patternFill patternType="solid">
        <fgColor rgb="001F4E78"/>
      </patternFill>
    </fill>
    <fill>
      <patternFill patternType="solid">
        <fgColor rgb="00E2F0D9"/>
      </patternFill>
    </fill>
    <fill>
      <patternFill patternType="solid">
        <fgColor rgb="00D9EAF7"/>
      </patternFill>
    </fill>
    <fill>
      <patternFill patternType="solid">
        <fgColor rgb="00F4CCCC"/>
      </patternFill>
    </fill>
    <fill>
      <patternFill patternType="solid">
        <fgColor rgb="00FCE4D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wrapText="1"/>
    </xf>
    <xf numFmtId="0" fontId="2" fillId="4" borderId="1" applyAlignment="1" pivotButton="0" quotePrefix="0" xfId="0">
      <alignment horizontal="center" vertical="center" wrapText="1"/>
    </xf>
    <xf numFmtId="0" fontId="0" fillId="0" borderId="1" applyAlignment="1" pivotButton="0" quotePrefix="0" xfId="0">
      <alignment vertical="top" wrapText="1"/>
    </xf>
    <xf numFmtId="0" fontId="0" fillId="5" borderId="1" applyAlignment="1" pivotButton="0" quotePrefix="0" xfId="0">
      <alignment vertical="top" wrapText="1"/>
    </xf>
    <xf numFmtId="165" fontId="0" fillId="0"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165" fontId="0" fillId="6"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wrapText="1"/>
    </xf>
    <xf numFmtId="0" fontId="3"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4">
    <dxf>
      <fill>
        <patternFill patternType="solid">
          <fgColor rgb="00FCE4D6"/>
        </patternFill>
      </fill>
    </dxf>
    <dxf>
      <fill>
        <patternFill patternType="solid">
          <fgColor rgb="00E2F0D9"/>
        </patternFill>
      </fill>
    </dxf>
    <dxf>
      <fill>
        <patternFill patternType="solid">
          <fgColor rgb="00FFF2CC"/>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MedRecTable" displayName="MedRecTable" ref="A3:AA38" headerRowCount="1">
  <autoFilter ref="A3:AA38"/>
  <tableColumns count="27">
    <tableColumn id="1" name="Identity ID"/>
    <tableColumn id="2" name="Retained medication identity"/>
    <tableColumn id="3" name="Crosswalked source labels / identity basis"/>
    <tableColumn id="4" name="Risk"/>
    <tableColumn id="5" name="Escalation status"/>
    <tableColumn id="6" name="Assigned owner"/>
    <tableColumn id="7" name="Due date"/>
    <tableColumn id="8" name="Source-supported disposition"/>
    <tableColumn id="9" name="Evidence status"/>
    <tableColumn id="10" name="Active profile row?"/>
    <tableColumn id="11" name="Same-day profile action"/>
    <tableColumn id="12" name="Profile action basis"/>
    <tableColumn id="13" name="Evidence timeline"/>
    <tableColumn id="14" name="Final outpatient directions"/>
    <tableColumn id="15" name="Gap / next action"/>
    <tableColumn id="16" name="Signed discharge summary"/>
    <tableColumn id="17" name="Post-summary clarification"/>
    <tableColumn id="18" name="Reconciliation queue"/>
    <tableColumn id="19" name="Admission history"/>
    <tableColumn id="20" name="Patient portal"/>
    <tableColumn id="21" name="Pharmacy profile"/>
    <tableColumn id="22" name="Dispense-history summary"/>
    <tableColumn id="23" name="Allergy / safety"/>
    <tableColumn id="24" name="Reviewer notes"/>
    <tableColumn id="25" name="Verified disposition"/>
    <tableColumn id="26" name="Verification owner"/>
    <tableColumn id="27" name="Verified date"/>
  </tableColumns>
  <tableStyleInfo name="TableStyleMedium2" showFirstColumn="0" showLastColumn="0" showRowStripes="1" showColumnStripes="0"/>
</table>
</file>

<file path=xl/tables/table2.xml><?xml version="1.0" encoding="utf-8"?>
<table xmlns="http://schemas.openxmlformats.org/spreadsheetml/2006/main" id="2" name="ActionViewTable" displayName="ActionViewTable" ref="A4:L39" headerRowCount="1">
  <autoFilter ref="A4:L39"/>
  <tableColumns count="12">
    <tableColumn id="1" name="Identity ID"/>
    <tableColumn id="2" name="Medication identity"/>
    <tableColumn id="3" name="Risk"/>
    <tableColumn id="4" name="Escalation status"/>
    <tableColumn id="5" name="Assigned owner"/>
    <tableColumn id="6" name="Due date"/>
    <tableColumn id="7" name="Evidence status"/>
    <tableColumn id="8" name="Active profile?"/>
    <tableColumn id="9" name="Profile action"/>
    <tableColumn id="10" name="Action basis"/>
    <tableColumn id="11" name="Evidence timeline"/>
    <tableColumn id="12" name="Gap / next actio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A38"/>
  <sheetViews>
    <sheetView showGridLines="0" workbookViewId="0">
      <pane xSplit="7" ySplit="3" topLeftCell="H4"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58" customWidth="1" min="3" max="3"/>
    <col width="10" customWidth="1" min="4" max="4"/>
    <col width="28" customWidth="1" min="5" max="5"/>
    <col width="46" customWidth="1" min="6" max="6"/>
    <col width="16" customWidth="1" min="7" max="7"/>
    <col width="20" customWidth="1" min="8" max="8"/>
    <col width="13" customWidth="1" min="9" max="9"/>
    <col width="18" customWidth="1" min="10" max="10"/>
    <col width="24" customWidth="1" min="11" max="11"/>
    <col width="58" customWidth="1" min="12" max="12"/>
    <col width="88" customWidth="1" min="13" max="13"/>
    <col width="38" customWidth="1" min="14" max="14"/>
    <col width="48" customWidth="1" min="15" max="15"/>
    <col width="58" customWidth="1" min="16" max="16"/>
    <col width="48" customWidth="1" min="17" max="17"/>
    <col width="50" customWidth="1" min="18" max="18"/>
    <col width="58" customWidth="1" min="19" max="19"/>
    <col width="52" customWidth="1" min="20" max="20"/>
    <col width="58" customWidth="1" min="21" max="21"/>
    <col width="27" customWidth="1" min="22" max="22"/>
    <col width="42" customWidth="1" min="23" max="23"/>
    <col width="30" customWidth="1" min="24" max="24"/>
    <col width="22" customWidth="1" min="25" max="25"/>
    <col width="22" customWidth="1" min="26" max="26"/>
    <col width="16" customWidth="1" min="27" max="27"/>
  </cols>
  <sheetData>
    <row r="1" ht="24" customHeight="1">
      <c r="A1" s="1" t="inlineStr">
        <is>
          <t>Medication Reconciliation — CT-2026-0713-18 — Mara Ellison</t>
        </is>
      </c>
    </row>
    <row r="2" ht="34" customHeight="1">
      <c r="A2" s="2" t="inlineStr">
        <is>
          <t>One row per retained medication identity. Source labels are crosswalked on that identity row; only active pharmacy-profile rows receive an operational action. Evidence and escalation are row-specific.</t>
        </is>
      </c>
    </row>
    <row r="3">
      <c r="A3" s="3" t="inlineStr">
        <is>
          <t>Identity ID</t>
        </is>
      </c>
      <c r="B3" s="3" t="inlineStr">
        <is>
          <t>Retained medication identity</t>
        </is>
      </c>
      <c r="C3" s="3" t="inlineStr">
        <is>
          <t>Crosswalked source labels / identity basis</t>
        </is>
      </c>
      <c r="D3" s="3" t="inlineStr">
        <is>
          <t>Risk</t>
        </is>
      </c>
      <c r="E3" s="3" t="inlineStr">
        <is>
          <t>Escalation status</t>
        </is>
      </c>
      <c r="F3" s="3" t="inlineStr">
        <is>
          <t>Assigned owner</t>
        </is>
      </c>
      <c r="G3" s="3" t="inlineStr">
        <is>
          <t>Due date</t>
        </is>
      </c>
      <c r="H3" s="3" t="inlineStr">
        <is>
          <t>Source-supported disposition</t>
        </is>
      </c>
      <c r="I3" s="3" t="inlineStr">
        <is>
          <t>Evidence status</t>
        </is>
      </c>
      <c r="J3" s="3" t="inlineStr">
        <is>
          <t>Active profile row?</t>
        </is>
      </c>
      <c r="K3" s="3" t="inlineStr">
        <is>
          <t>Same-day profile action</t>
        </is>
      </c>
      <c r="L3" s="3" t="inlineStr">
        <is>
          <t>Profile action basis</t>
        </is>
      </c>
      <c r="M3" s="3" t="inlineStr">
        <is>
          <t>Evidence timeline</t>
        </is>
      </c>
      <c r="N3" s="3" t="inlineStr">
        <is>
          <t>Final outpatient directions</t>
        </is>
      </c>
      <c r="O3" s="3" t="inlineStr">
        <is>
          <t>Gap / next action</t>
        </is>
      </c>
      <c r="P3" s="3" t="inlineStr">
        <is>
          <t>Signed discharge summary</t>
        </is>
      </c>
      <c r="Q3" s="3" t="inlineStr">
        <is>
          <t>Post-summary clarification</t>
        </is>
      </c>
      <c r="R3" s="3" t="inlineStr">
        <is>
          <t>Reconciliation queue</t>
        </is>
      </c>
      <c r="S3" s="3" t="inlineStr">
        <is>
          <t>Admission history</t>
        </is>
      </c>
      <c r="T3" s="3" t="inlineStr">
        <is>
          <t>Patient portal</t>
        </is>
      </c>
      <c r="U3" s="3" t="inlineStr">
        <is>
          <t>Pharmacy profile</t>
        </is>
      </c>
      <c r="V3" s="3" t="inlineStr">
        <is>
          <t>Dispense-history summary</t>
        </is>
      </c>
      <c r="W3" s="3" t="inlineStr">
        <is>
          <t>Allergy / safety</t>
        </is>
      </c>
      <c r="X3" s="3" t="inlineStr">
        <is>
          <t>Reviewer notes</t>
        </is>
      </c>
      <c r="Y3" s="3" t="inlineStr">
        <is>
          <t>Verified disposition</t>
        </is>
      </c>
      <c r="Z3" s="3" t="inlineStr">
        <is>
          <t>Verification owner</t>
        </is>
      </c>
      <c r="AA3" s="3" t="inlineStr">
        <is>
          <t>Verified date</t>
        </is>
      </c>
    </row>
    <row r="4" ht="92" customHeight="1">
      <c r="A4" s="4" t="inlineStr">
        <is>
          <t>MED-001</t>
        </is>
      </c>
      <c r="B4" s="4" t="inlineStr">
        <is>
          <t>Apixaban 5 mg tablet</t>
        </is>
      </c>
      <c r="C4" s="4" t="inlineStr">
        <is>
          <t>Eliquis 5 mg tablet; apixaban 5 mg tablet</t>
        </is>
      </c>
      <c r="D4" s="5" t="inlineStr">
        <is>
          <t>HIGH</t>
        </is>
      </c>
      <c r="E4" s="4" t="inlineStr">
        <is>
          <t>HIGH-RISK REVIEW</t>
        </is>
      </c>
      <c r="F4" s="4" t="inlineStr">
        <is>
          <t>Owen Laird, PharmD — Outpatient Pharmacy</t>
        </is>
      </c>
      <c r="G4" s="6" t="n">
        <v>46218</v>
      </c>
      <c r="H4" s="4" t="inlineStr">
        <is>
          <t>KEEP</t>
        </is>
      </c>
      <c r="I4" s="7" t="inlineStr">
        <is>
          <t>RESOLVED</t>
        </is>
      </c>
      <c r="J4" s="4" t="inlineStr">
        <is>
          <t>YES</t>
        </is>
      </c>
      <c r="K4" s="4" t="inlineStr">
        <is>
          <t>RELEASE</t>
        </is>
      </c>
      <c r="L4" s="4" t="inlineStr">
        <is>
          <t>Active profile row plus explicit KEEP in the final signed summary.</t>
        </is>
      </c>
      <c r="M4" s="4" t="inlineStr">
        <is>
          <t>2026-07-10 — Latest dispense DISP-001-1: apixaban 5 mg tablet; filled; 60 units / 30 days
2026-07-10 08:12 — Admission ADM-0710-001 (ADM-V1): Eliquis 5 mg tablet; active; Take 1 tablet by mouth twice daily
2026-07-13 16:40 — Final summary DCS-MED-001: Continue apixaban 5 mg tablet; Take 1 tablet by mouth twice daily
2026-07-14 22:20 — Pharmacy snapshot RXH-0714-001: apixaban 5 mg tablet; profile=active; fill=filled</t>
        </is>
      </c>
      <c r="N4" s="4" t="inlineStr">
        <is>
          <t>apixaban 5 mg tablet | Take 1 tablet by mouth twice daily</t>
        </is>
      </c>
      <c r="O4" s="4" t="inlineStr"/>
      <c r="P4" s="4" t="inlineStr">
        <is>
          <t>DCS-MED-001 | Continue | apixaban 5 mg tablet | Take 1 tablet by mouth twice daily | Anticoagulant continued at discharge.</t>
        </is>
      </c>
      <c r="Q4" s="4" t="inlineStr"/>
      <c r="R4" s="4" t="inlineStr"/>
      <c r="S4" s="4" t="inlineStr">
        <is>
          <t>ADM-0710-001 | ADM-V1 | Eliquis 5 mg tablet | 5 mg | Take 1 tablet by mouth twice daily | active | captured 2026-07-10 08:12</t>
        </is>
      </c>
      <c r="T4" s="4" t="inlineStr"/>
      <c r="U4" s="4" t="inlineStr">
        <is>
          <t>RXH-0714-001 | apixaban 5 mg tablet | profile=active | fill=filled | last_fill=2026-07-13 | Take 1 tablet by mouth twice daily | refills available</t>
        </is>
      </c>
      <c r="V4" s="4" t="inlineStr">
        <is>
          <t>1 row(s) | latest=2026-07-10 | status=filled | qty=60 | days=30</t>
        </is>
      </c>
      <c r="W4" s="4" t="inlineStr"/>
      <c r="X4" s="4" t="inlineStr"/>
      <c r="Y4" s="4" t="inlineStr"/>
      <c r="Z4" s="4" t="inlineStr"/>
      <c r="AA4" s="6" t="inlineStr"/>
    </row>
    <row r="5" ht="92" customHeight="1">
      <c r="A5" s="4" t="inlineStr">
        <is>
          <t>MED-002</t>
        </is>
      </c>
      <c r="B5" s="4" t="inlineStr">
        <is>
          <t>Warfarin 5 mg tablet</t>
        </is>
      </c>
      <c r="C5" s="4" t="inlineStr">
        <is>
          <t>warfarin 5 mg tablet; warfarin; warfarin sodium 5 mg tablet</t>
        </is>
      </c>
      <c r="D5" s="5" t="inlineStr">
        <is>
          <t>HIGH</t>
        </is>
      </c>
      <c r="E5" s="4" t="inlineStr">
        <is>
          <t>HIGH-RISK REVIEW</t>
        </is>
      </c>
      <c r="F5" s="4" t="inlineStr">
        <is>
          <t>Owen Laird, PharmD — Outpatient Pharmacy</t>
        </is>
      </c>
      <c r="G5" s="6" t="n">
        <v>46218</v>
      </c>
      <c r="H5" s="4" t="inlineStr">
        <is>
          <t>STOP</t>
        </is>
      </c>
      <c r="I5" s="7" t="inlineStr">
        <is>
          <t>RESOLVED</t>
        </is>
      </c>
      <c r="J5" s="4" t="inlineStr">
        <is>
          <t>NO</t>
        </is>
      </c>
      <c r="K5" s="4" t="inlineStr"/>
      <c r="L5" s="4" t="inlineStr">
        <is>
          <t>No action: pharmacy-profile row is inactive. Retain the source disposition for crosswalk/history; do not infer a treatment or fill decision.</t>
        </is>
      </c>
      <c r="M5" s="4" t="inlineStr">
        <is>
          <t>2026-06-19 — Latest dispense DISP-002-1: warfarin sodium 5 mg tablet; filled; 30 units / 30 days
2026-07-10 08:12 — Admission ADM-0710-002 (ADM-V1): warfarin 5 mg tablet; active before admission; Take 1 tablet by mouth every evening
2026-07-13 09:15 — Portal PTL-0713-001: warfarin; taking; Patient wrote: old blood thinner bottle still on counter.
2026-07-13 11:05 — Queue RCQ-7714: keep pending discharge; open/preliminary
2026-07-13 16:40 — Final summary DCS-STOP-001: Stop warfarin 5 mg tablet; Stop at discharge
2026-07-14 22:20 — Pharmacy snapshot RXH-0714-002: warfarin sodium 5 mg tablet; profile=inactive; fill=filled</t>
        </is>
      </c>
      <c r="N5" s="4" t="inlineStr">
        <is>
          <t>warfarin 5 mg tablet | Stop at discharge</t>
        </is>
      </c>
      <c r="O5" s="4" t="inlineStr">
        <is>
          <t>Stop is final, but an obsolete preliminary queue row remains open.</t>
        </is>
      </c>
      <c r="P5" s="4" t="inlineStr">
        <is>
          <t>DCS-STOP-001 | Stop | warfarin 5 mg tablet | Stop at discharge | Replaced by active apixaban order.</t>
        </is>
      </c>
      <c r="Q5" s="4" t="inlineStr"/>
      <c r="R5" s="4" t="inlineStr">
        <is>
          <t>RCQ-7714 | 2026-07-13 11:05 | keep pending discharge | open/preliminary | Preliminary row expires when the final transition summary posts.</t>
        </is>
      </c>
      <c r="S5" s="4" t="inlineStr">
        <is>
          <t>ADM-0710-002 | ADM-V1 | warfarin 5 mg tablet | 5 mg | Take 1 tablet by mouth every evening | active before admission | captured 2026-07-10 08:12</t>
        </is>
      </c>
      <c r="T5" s="4" t="inlineStr">
        <is>
          <t>PTL-0713-001 | warfarin | 5 mg | once every evening | taking | Patient wrote: old blood thinner bottle still on counter.</t>
        </is>
      </c>
      <c r="U5" s="4" t="inlineStr">
        <is>
          <t>RXH-0714-002 | warfarin sodium 5 mg tablet | profile=inactive | fill=filled | last_fill=2026-06-21 | Take 1 tablet by mouth every evening | profile inactive after transition</t>
        </is>
      </c>
      <c r="V5" s="4" t="inlineStr">
        <is>
          <t>2 row(s) | latest=2026-06-19 | status=filled | qty=30 | days=30</t>
        </is>
      </c>
      <c r="W5" s="4" t="inlineStr"/>
      <c r="X5" s="4" t="inlineStr"/>
      <c r="Y5" s="4" t="inlineStr"/>
      <c r="Z5" s="4" t="inlineStr"/>
      <c r="AA5" s="6" t="inlineStr"/>
    </row>
    <row r="6" ht="92" customHeight="1">
      <c r="A6" s="4" t="inlineStr">
        <is>
          <t>MED-003</t>
        </is>
      </c>
      <c r="B6" s="4" t="inlineStr">
        <is>
          <t>Metoprolol tartrate 50 mg tablet</t>
        </is>
      </c>
      <c r="C6" s="4" t="inlineStr">
        <is>
          <t>metoprolol tartrate 50 mg tablet; metoprolol tartrate; Lopressor</t>
        </is>
      </c>
      <c r="D6" s="4" t="inlineStr">
        <is>
          <t>MED</t>
        </is>
      </c>
      <c r="E6" s="4" t="inlineStr">
        <is>
          <t>MED-RISK REVIEW</t>
        </is>
      </c>
      <c r="F6" s="4" t="inlineStr">
        <is>
          <t>Owen Laird, PharmD — Outpatient Pharmacy</t>
        </is>
      </c>
      <c r="G6" s="6" t="n">
        <v>46219</v>
      </c>
      <c r="H6" s="4" t="inlineStr">
        <is>
          <t>STOP</t>
        </is>
      </c>
      <c r="I6" s="7" t="inlineStr">
        <is>
          <t>RESOLVED</t>
        </is>
      </c>
      <c r="J6" s="4" t="inlineStr">
        <is>
          <t>NO</t>
        </is>
      </c>
      <c r="K6" s="4" t="inlineStr"/>
      <c r="L6" s="4" t="inlineStr">
        <is>
          <t>No action: pharmacy-profile row is inactive. Retain the source disposition for crosswalk/history; do not infer a treatment or fill decision.</t>
        </is>
      </c>
      <c r="M6" s="4" t="inlineStr">
        <is>
          <t>2026-06-14 — Latest dispense DISP-003-1: metoprolol tartrate 50 mg tablet; filled; 60 units / 30 days
2026-07-10 08:12 — Admission ADM-0710-003 (ADM-V1): metoprolol tartrate 50 mg tablet; active; Take 1 tablet by mouth twice daily
2026-07-13 09:15 — Portal PTL-0713-002A: metoprolol tartrate; taking; Entered from bottle label.
2026-07-13 09:15 — Portal PTL-0713-002B: Lopressor; taking; Same tablet; duplicate entry from phone app.
2026-07-13 13:30 — Queue RCQ-7718: change expected; open/preliminary
2026-07-13 16:40 — Final summary DCS-STOP-002: Stop metoprolol tartrate 50 mg tablet; Stop at discharge
2026-07-14 15:10 — Prescriber clarification: Do not carry tartrate forward.
2026-07-14 22:20 — Pharmacy snapshot RXH-0714-003: metoprolol tartrate 50 mg tablet; profile=inactive; fill=filled</t>
        </is>
      </c>
      <c r="N6" s="4" t="inlineStr">
        <is>
          <t>metoprolol tartrate 50 mg tablet | Stop at discharge</t>
        </is>
      </c>
      <c r="O6" s="4" t="inlineStr">
        <is>
          <t>Stop/change is final, but an obsolete preliminary queue row remains open.</t>
        </is>
      </c>
      <c r="P6" s="4" t="inlineStr">
        <is>
          <t>DCS-STOP-002 | Stop | metoprolol tartrate 50 mg tablet | Stop at discharge | Use extended-release formulation below.</t>
        </is>
      </c>
      <c r="Q6" s="4" t="inlineStr">
        <is>
          <t>2026-07-14 15:10 — Do not carry tartrate forward.</t>
        </is>
      </c>
      <c r="R6" s="4" t="inlineStr">
        <is>
          <t>RCQ-7718 | 2026-07-13 13:30 | change expected | open/preliminary | Await final formulation and dose.</t>
        </is>
      </c>
      <c r="S6" s="4" t="inlineStr">
        <is>
          <t>ADM-0710-003 | ADM-V1 | metoprolol tartrate 50 mg tablet | 50 mg | Take 1 tablet by mouth twice daily | active | captured 2026-07-10 08:12</t>
        </is>
      </c>
      <c r="T6" s="4" t="inlineStr">
        <is>
          <t>PTL-0713-002A | metoprolol tartrate | 50 mg | morning and bedtime | taking | Entered from bottle label.
PTL-0713-002B | Lopressor | 50 mg | twice daily | taking | Same tablet; duplicate entry from phone app.</t>
        </is>
      </c>
      <c r="U6" s="4" t="inlineStr">
        <is>
          <t>RXH-0714-003 | metoprolol tartrate 50 mg tablet | profile=inactive | fill=filled | last_fill=2026-06-14 | Take 1 tablet by mouth twice daily | profile inactive after transition</t>
        </is>
      </c>
      <c r="V6" s="4" t="inlineStr">
        <is>
          <t>3 row(s) | latest=2026-06-14 | status=filled | qty=60 | days=30</t>
        </is>
      </c>
      <c r="W6" s="4" t="inlineStr"/>
      <c r="X6" s="4" t="inlineStr"/>
      <c r="Y6" s="4" t="inlineStr"/>
      <c r="Z6" s="4" t="inlineStr"/>
      <c r="AA6" s="6" t="inlineStr"/>
    </row>
    <row r="7" ht="92" customHeight="1">
      <c r="A7" s="4" t="inlineStr">
        <is>
          <t>MED-004</t>
        </is>
      </c>
      <c r="B7" s="4" t="inlineStr">
        <is>
          <t>Metoprolol succinate ER 100 mg tablet</t>
        </is>
      </c>
      <c r="C7" s="4" t="inlineStr">
        <is>
          <t>metoprolol succinate ER 100 mg tablet</t>
        </is>
      </c>
      <c r="D7" s="4" t="inlineStr">
        <is>
          <t>MED</t>
        </is>
      </c>
      <c r="E7" s="4" t="inlineStr">
        <is>
          <t>MED-RISK REVIEW</t>
        </is>
      </c>
      <c r="F7" s="4" t="inlineStr">
        <is>
          <t>Owen Laird, PharmD — Outpatient Pharmacy</t>
        </is>
      </c>
      <c r="G7" s="6" t="n">
        <v>46219</v>
      </c>
      <c r="H7" s="4" t="inlineStr">
        <is>
          <t>CHANGE</t>
        </is>
      </c>
      <c r="I7" s="7" t="inlineStr">
        <is>
          <t>RESOLVED</t>
        </is>
      </c>
      <c r="J7" s="4" t="inlineStr">
        <is>
          <t>NO</t>
        </is>
      </c>
      <c r="K7" s="4" t="inlineStr"/>
      <c r="L7" s="4" t="inlineStr">
        <is>
          <t>No action: no pharmacy-profile row exists for this identity. Retain the source disposition for crosswalk/history; route any signed order through normal intake.</t>
        </is>
      </c>
      <c r="M7" s="4" t="inlineStr">
        <is>
          <t>2026-07-13 16:40 — Final summary DCS-MED-002: Change metoprolol succinate ER 100 mg tablet; Take 1 tablet by mouth once daily
2026-07-14 15:10 — Prescriber clarification: Use succinate ER 100 mg once daily from signed summary.</t>
        </is>
      </c>
      <c r="N7" s="4" t="inlineStr">
        <is>
          <t>metoprolol succinate ER 100 mg tablet | Take 1 tablet by mouth once daily</t>
        </is>
      </c>
      <c r="O7" s="4" t="inlineStr">
        <is>
          <t>New formulation is absent from latest pharmacy profile.</t>
        </is>
      </c>
      <c r="P7" s="4" t="inlineStr">
        <is>
          <t>DCS-MED-002 | Change | metoprolol succinate ER 100 mg tablet | Take 1 tablet by mouth once daily | Changed from metoprolol tartrate 50 mg twice daily.</t>
        </is>
      </c>
      <c r="Q7" s="4" t="inlineStr">
        <is>
          <t>2026-07-14 15:10 — Use succinate ER 100 mg once daily from signed summary.</t>
        </is>
      </c>
      <c r="R7" s="4" t="inlineStr"/>
      <c r="S7" s="4" t="inlineStr"/>
      <c r="T7" s="4" t="inlineStr"/>
      <c r="U7" s="4" t="inlineStr"/>
      <c r="V7" s="4" t="inlineStr"/>
      <c r="W7" s="4" t="inlineStr"/>
      <c r="X7" s="4" t="inlineStr"/>
      <c r="Y7" s="4" t="inlineStr"/>
      <c r="Z7" s="4" t="inlineStr"/>
      <c r="AA7" s="6" t="inlineStr"/>
    </row>
    <row r="8" ht="92" customHeight="1">
      <c r="A8" s="4" t="inlineStr">
        <is>
          <t>MED-005</t>
        </is>
      </c>
      <c r="B8" s="4" t="inlineStr">
        <is>
          <t>Lisinopril 20 mg tablet</t>
        </is>
      </c>
      <c r="C8" s="4" t="inlineStr">
        <is>
          <t>lisinopril 20 mg tablet</t>
        </is>
      </c>
      <c r="D8" s="5" t="inlineStr">
        <is>
          <t>HIGH</t>
        </is>
      </c>
      <c r="E8" s="4" t="inlineStr">
        <is>
          <t>ACTIVE PROFILE — STOP ACTION</t>
        </is>
      </c>
      <c r="F8" s="4" t="inlineStr">
        <is>
          <t>Owen Laird, PharmD — Outpatient Pharmacy</t>
        </is>
      </c>
      <c r="G8" s="6" t="n">
        <v>46218</v>
      </c>
      <c r="H8" s="4" t="inlineStr">
        <is>
          <t>STOP</t>
        </is>
      </c>
      <c r="I8" s="7" t="inlineStr">
        <is>
          <t>RESOLVED</t>
        </is>
      </c>
      <c r="J8" s="4" t="inlineStr">
        <is>
          <t>YES</t>
        </is>
      </c>
      <c r="K8" s="4" t="inlineStr">
        <is>
          <t>STOP</t>
        </is>
      </c>
      <c r="L8" s="4" t="inlineStr">
        <is>
          <t>STOP supported by the final signed stop order and active HIGH angioedema allergy.</t>
        </is>
      </c>
      <c r="M8" s="4" t="inlineStr">
        <is>
          <t>2026-07-11 17:45 — Admission ADM-0710-004 (ADM-V2): lisinopril 20 mg tablet; active at admission; Take 1 tablet by mouth daily
2026-07-12 — Latest dispense DISP-004-1: lisinopril 20 mg tablet; ready_to_fill; 30 units / 30 days
2026-07-12 14:22 — Allergy ALG-ACEI-20260710: lisinopril / cough; LOW inactive
2026-07-12 14:22 — Allergy ALG-ACEI-20260712: lisinopril / angioedema; HIGH active
2026-07-13 16:40 — Final summary DCS-STOP-003: Stop lisinopril 20 mg tablet; Stop at discharge
2026-07-14 22:20 — Pharmacy snapshot RXH-0714-005: lisinopril 20 mg tablet; profile=active; fill=ready_to_fill</t>
        </is>
      </c>
      <c r="N8" s="4" t="inlineStr">
        <is>
          <t>lisinopril 20 mg tablet | Stop at discharge</t>
        </is>
      </c>
      <c r="O8" s="4" t="inlineStr">
        <is>
          <t>HIGH-RISK mismatch: pharmacy profile remains active/ready_to_fill despite severe allergy and stop order.</t>
        </is>
      </c>
      <c r="P8" s="4" t="inlineStr">
        <is>
          <t>DCS-STOP-003 | Stop | lisinopril 20 mg tablet | Stop at discharge | ACE inhibitor allergy verified during stay.</t>
        </is>
      </c>
      <c r="Q8" s="4" t="inlineStr"/>
      <c r="R8" s="4" t="inlineStr"/>
      <c r="S8" s="4" t="inlineStr">
        <is>
          <t>ADM-0710-004 | ADM-V2 | lisinopril 20 mg tablet | 20 mg | Take 1 tablet by mouth daily | active at admission | captured 2026-07-11 17:45</t>
        </is>
      </c>
      <c r="T8" s="4" t="inlineStr"/>
      <c r="U8" s="4" t="inlineStr">
        <is>
          <t>RXH-0714-005 | lisinopril 20 mg tablet | profile=active | fill=ready_to_fill | last_fill=2026-07-14 | Take 1 tablet by mouth daily | refills available</t>
        </is>
      </c>
      <c r="V8" s="4" t="inlineStr">
        <is>
          <t>1 row(s) | latest=2026-07-12 | status=ready_to_fill | qty=30 | days=30</t>
        </is>
      </c>
      <c r="W8" s="4" t="inlineStr">
        <is>
          <t>ACTIVE HIGH allergy: lisinopril—angioedema; verified 2026-07-12 14:22.</t>
        </is>
      </c>
      <c r="X8" s="4" t="inlineStr"/>
      <c r="Y8" s="4" t="inlineStr"/>
      <c r="Z8" s="4" t="inlineStr"/>
      <c r="AA8" s="6" t="inlineStr"/>
    </row>
    <row r="9" ht="92" customHeight="1">
      <c r="A9" s="4" t="inlineStr">
        <is>
          <t>MED-006</t>
        </is>
      </c>
      <c r="B9" s="4" t="inlineStr">
        <is>
          <t>Losartan 50 mg tablet</t>
        </is>
      </c>
      <c r="C9" s="4" t="inlineStr">
        <is>
          <t>losartan 50 mg tablet</t>
        </is>
      </c>
      <c r="D9" s="4" t="inlineStr">
        <is>
          <t>MED</t>
        </is>
      </c>
      <c r="E9" s="4" t="inlineStr">
        <is>
          <t>MED-RISK REVIEW</t>
        </is>
      </c>
      <c r="F9" s="4" t="inlineStr">
        <is>
          <t>Owen Laird, PharmD — Outpatient Pharmacy</t>
        </is>
      </c>
      <c r="G9" s="6" t="n">
        <v>46219</v>
      </c>
      <c r="H9" s="4" t="inlineStr">
        <is>
          <t>CHANGE</t>
        </is>
      </c>
      <c r="I9" s="7" t="inlineStr">
        <is>
          <t>RESOLVED</t>
        </is>
      </c>
      <c r="J9" s="4" t="inlineStr">
        <is>
          <t>NO</t>
        </is>
      </c>
      <c r="K9" s="4" t="inlineStr"/>
      <c r="L9" s="4" t="inlineStr">
        <is>
          <t>No action: no pharmacy-profile row exists for this identity. Retain the source disposition for crosswalk/history; route any signed order through normal intake.</t>
        </is>
      </c>
      <c r="M9" s="4" t="inlineStr">
        <is>
          <t>2026-07-13 16:40 — Final summary DCS-MED-003: Change losartan 50 mg tablet; Take 1 tablet by mouth daily</t>
        </is>
      </c>
      <c r="N9" s="4" t="inlineStr">
        <is>
          <t>losartan 50 mg tablet | Take 1 tablet by mouth daily</t>
        </is>
      </c>
      <c r="O9" s="4" t="inlineStr">
        <is>
          <t>New discharge medication is absent from latest pharmacy profile.</t>
        </is>
      </c>
      <c r="P9" s="4" t="inlineStr">
        <is>
          <t>DCS-MED-003 | Change | losartan 50 mg tablet | Take 1 tablet by mouth daily | New discharge antihypertensive after lisinopril allergy update.</t>
        </is>
      </c>
      <c r="Q9" s="4" t="inlineStr"/>
      <c r="R9" s="4" t="inlineStr"/>
      <c r="S9" s="4" t="inlineStr"/>
      <c r="T9" s="4" t="inlineStr"/>
      <c r="U9" s="4" t="inlineStr"/>
      <c r="V9" s="4" t="inlineStr"/>
      <c r="W9" s="4" t="inlineStr"/>
      <c r="X9" s="4" t="inlineStr"/>
      <c r="Y9" s="4" t="inlineStr"/>
      <c r="Z9" s="4" t="inlineStr"/>
      <c r="AA9" s="6" t="inlineStr"/>
    </row>
    <row r="10" ht="92" customHeight="1">
      <c r="A10" s="4" t="inlineStr">
        <is>
          <t>MED-007</t>
        </is>
      </c>
      <c r="B10" s="4" t="inlineStr">
        <is>
          <t>Insulin glargine U-100 pen</t>
        </is>
      </c>
      <c r="C10" s="4" t="inlineStr">
        <is>
          <t>Lantus SoloStar U-100 insulin pen; Lantus insulin pen; Basaglar KwikPen U-100; insulin glargine-yfgn U-100 pen | FG-SUB-001: approved U-100 glargine product identity</t>
        </is>
      </c>
      <c r="D10" s="5" t="inlineStr">
        <is>
          <t>HIGH</t>
        </is>
      </c>
      <c r="E10" s="4" t="inlineStr">
        <is>
          <t>ACTIVE PROFILE — CHANGE ACTION</t>
        </is>
      </c>
      <c r="F10" s="4" t="inlineStr">
        <is>
          <t>Owen Laird, PharmD — Outpatient Pharmacy</t>
        </is>
      </c>
      <c r="G10" s="6" t="n">
        <v>46218</v>
      </c>
      <c r="H10" s="4" t="inlineStr">
        <is>
          <t>CHANGE</t>
        </is>
      </c>
      <c r="I10" s="7" t="inlineStr">
        <is>
          <t>RESOLVED</t>
        </is>
      </c>
      <c r="J10" s="4" t="inlineStr">
        <is>
          <t>YES</t>
        </is>
      </c>
      <c r="K10" s="4" t="inlineStr">
        <is>
          <t>CHANGE</t>
        </is>
      </c>
      <c r="L10" s="4" t="inlineStr">
        <is>
          <t>Active profile row plus explicit CHANGE in the final signed summary.</t>
        </is>
      </c>
      <c r="M10" s="4" t="inlineStr">
        <is>
          <t>2026-07-05 — Latest dispense DISP-005-1: Basaglar KwikPen U-100; filled; 15 units / 30 days
2026-07-10 08:12 — Admission ADM-0710-005 (ADM-V1): Lantus SoloStar U-100 insulin pen; active; Inject 28 units subcutaneously nightly
2026-07-13 09:15 — Portal PTL-0713-003: Lantus insulin pen; taking; Patient reports usually 28 units.
2026-07-13 16:40 — Final summary DCS-MED-004: Change insulin glargine-yfgn U-100 pen; Inject 30 units subcutaneously nightly
2026-07-14 22:20 — Pharmacy snapshot RXH-0714-107: Basaglar KwikPen U-100; profile=active; fill=filled</t>
        </is>
      </c>
      <c r="N10" s="4" t="inlineStr">
        <is>
          <t>insulin glargine-yfgn U-100 pen | Inject 30 units subcutaneously nightly</t>
        </is>
      </c>
      <c r="O10" s="4" t="inlineStr">
        <is>
          <t>Latest pharmacy row reflects 28 units; signed discharge dose is 30 units.</t>
        </is>
      </c>
      <c r="P10" s="4" t="inlineStr">
        <is>
          <t>DCS-MED-004 | Change | insulin glargine-yfgn U-100 pen | Inject 30 units subcutaneously nightly | Dose changed from 28 units; formulary U-100 glargine products are interchangeable.</t>
        </is>
      </c>
      <c r="Q10" s="4" t="inlineStr"/>
      <c r="R10" s="4" t="inlineStr"/>
      <c r="S10" s="4" t="inlineStr">
        <is>
          <t>ADM-0710-005 | ADM-V1 | Lantus SoloStar U-100 insulin pen | 28 units | Inject 28 units subcutaneously nightly | active | captured 2026-07-10 08:12</t>
        </is>
      </c>
      <c r="T10" s="4" t="inlineStr">
        <is>
          <t>PTL-0713-003 | Lantus insulin pen | 28 units | every night | taking | Patient reports usually 28 units.</t>
        </is>
      </c>
      <c r="U10" s="4" t="inlineStr">
        <is>
          <t>RXH-0714-107 | Basaglar KwikPen U-100 | profile=active | fill=filled | last_fill=2026-07-08 | Inject 28 units subcutaneously nightly | refills available</t>
        </is>
      </c>
      <c r="V10" s="4" t="inlineStr">
        <is>
          <t>3 row(s) | latest=2026-07-05 | status=filled | qty=15 | days=30</t>
        </is>
      </c>
      <c r="W10" s="4" t="inlineStr"/>
      <c r="X10" s="4" t="inlineStr"/>
      <c r="Y10" s="4" t="inlineStr"/>
      <c r="Z10" s="4" t="inlineStr"/>
      <c r="AA10" s="6" t="inlineStr"/>
    </row>
    <row r="11" ht="92" customHeight="1">
      <c r="A11" s="4" t="inlineStr">
        <is>
          <t>MED-008</t>
        </is>
      </c>
      <c r="B11" s="4" t="inlineStr">
        <is>
          <t>Insulin lispro U-100 pen</t>
        </is>
      </c>
      <c r="C11" s="4" t="inlineStr">
        <is>
          <t>Humalog KwikPen U-100; Humalog; insulin lispro U-100 pen</t>
        </is>
      </c>
      <c r="D11" s="5" t="inlineStr">
        <is>
          <t>HIGH</t>
        </is>
      </c>
      <c r="E11" s="4" t="inlineStr">
        <is>
          <t>HIGH-RISK REVIEW</t>
        </is>
      </c>
      <c r="F11" s="4" t="inlineStr">
        <is>
          <t>Owen Laird, PharmD — Outpatient Pharmacy</t>
        </is>
      </c>
      <c r="G11" s="6" t="n">
        <v>46218</v>
      </c>
      <c r="H11" s="4" t="inlineStr">
        <is>
          <t>KEEP</t>
        </is>
      </c>
      <c r="I11" s="7" t="inlineStr">
        <is>
          <t>RESOLVED</t>
        </is>
      </c>
      <c r="J11" s="4" t="inlineStr">
        <is>
          <t>YES</t>
        </is>
      </c>
      <c r="K11" s="4" t="inlineStr">
        <is>
          <t>RELEASE</t>
        </is>
      </c>
      <c r="L11" s="4" t="inlineStr">
        <is>
          <t>Active profile row plus explicit KEEP in the final signed summary.</t>
        </is>
      </c>
      <c r="M11" s="4" t="inlineStr">
        <is>
          <t>2026-07-06 — Latest dispense DISP-006-1: insulin lispro U-100 pen; filled; 15 units / 30 days
2026-07-10 08:12 — Admission ADM-0710-006 (ADM-V1): Humalog KwikPen U-100; active; Inject 6 units before meals
2026-07-13 09:15 — Portal PTL-0713-004: Humalog; taking; Uses when eating.
2026-07-13 16:40 — Final summary DCS-MED-005: Continue insulin lispro U-100 pen; Inject 6 units subcutaneously before meals
2026-07-14 22:20 — Pharmacy snapshot RXH-0714-006: insulin lispro U-100 pen; profile=active; fill=filled</t>
        </is>
      </c>
      <c r="N11" s="4" t="inlineStr">
        <is>
          <t>insulin lispro U-100 pen | Inject 6 units subcutaneously before meals</t>
        </is>
      </c>
      <c r="O11" s="4" t="inlineStr"/>
      <c r="P11" s="4" t="inlineStr">
        <is>
          <t>DCS-MED-005 | Continue | insulin lispro U-100 pen | Inject 6 units subcutaneously before meals | Continue home mealtime insulin.</t>
        </is>
      </c>
      <c r="Q11" s="4" t="inlineStr"/>
      <c r="R11" s="4" t="inlineStr"/>
      <c r="S11" s="4" t="inlineStr">
        <is>
          <t>ADM-0710-006 | ADM-V1 | Humalog KwikPen U-100 | 6 units | Inject 6 units before meals | active | captured 2026-07-10 08:12</t>
        </is>
      </c>
      <c r="T11" s="4" t="inlineStr">
        <is>
          <t>PTL-0713-004 | Humalog | 6 units | with meals | taking | Uses when eating.</t>
        </is>
      </c>
      <c r="U11" s="4" t="inlineStr">
        <is>
          <t>RXH-0714-006 | insulin lispro U-100 pen | profile=active | fill=filled | last_fill=2026-07-08 | Inject 6 units before meals | refills available</t>
        </is>
      </c>
      <c r="V11" s="4" t="inlineStr">
        <is>
          <t>3 row(s) | latest=2026-07-06 | status=filled | qty=15 | days=30</t>
        </is>
      </c>
      <c r="W11" s="4" t="inlineStr"/>
      <c r="X11" s="4" t="inlineStr"/>
      <c r="Y11" s="4" t="inlineStr"/>
      <c r="Z11" s="4" t="inlineStr"/>
      <c r="AA11" s="6" t="inlineStr"/>
    </row>
    <row r="12" ht="92" customHeight="1">
      <c r="A12" s="4" t="inlineStr">
        <is>
          <t>MED-009</t>
        </is>
      </c>
      <c r="B12" s="4" t="inlineStr">
        <is>
          <t>Metformin ER 500 mg tablet</t>
        </is>
      </c>
      <c r="C12" s="4" t="inlineStr">
        <is>
          <t>metformin ER 500 mg tablet; metformin ER</t>
        </is>
      </c>
      <c r="D12" s="4" t="inlineStr">
        <is>
          <t>LOW</t>
        </is>
      </c>
      <c r="E12" s="4" t="inlineStr">
        <is>
          <t>NO OPEN ESCALATION</t>
        </is>
      </c>
      <c r="F12" s="4" t="inlineStr">
        <is>
          <t>Owen Laird, PharmD — Outpatient Pharmacy</t>
        </is>
      </c>
      <c r="G12" s="6" t="n">
        <v>46220</v>
      </c>
      <c r="H12" s="4" t="inlineStr">
        <is>
          <t>STOP</t>
        </is>
      </c>
      <c r="I12" s="7" t="inlineStr">
        <is>
          <t>RESOLVED</t>
        </is>
      </c>
      <c r="J12" s="4" t="inlineStr">
        <is>
          <t>NO</t>
        </is>
      </c>
      <c r="K12" s="4" t="inlineStr"/>
      <c r="L12" s="4" t="inlineStr">
        <is>
          <t>No action: pharmacy-profile row is inactive. Retain the source disposition for crosswalk/history; do not infer a treatment or fill decision.</t>
        </is>
      </c>
      <c r="M12" s="4" t="inlineStr">
        <is>
          <t>2026-06-18 — Latest dispense DISP-007-1: metformin ER 500 mg tablet; filled; 60 units / 30 days
2026-07-10 08:12 — Admission ADM-0710-007 (ADM-V1): metformin ER 500 mg tablet; active at admission; Take 1 tablet by mouth twice daily
2026-07-13 09:15 — Portal PTL-0713-005: metformin ER; taking; Patient unsure if still needed.
2026-07-13 16:40 — Final summary DCS-STOP-004: Stop metformin ER 500 mg tablet; Stop at discharge
2026-07-14 22:20 — Pharmacy snapshot RXH-0714-007: metformin ER 500 mg tablet; profile=inactive; fill=filled</t>
        </is>
      </c>
      <c r="N12" s="4" t="inlineStr">
        <is>
          <t>metformin ER 500 mg tablet | Stop at discharge</t>
        </is>
      </c>
      <c r="O12" s="4" t="inlineStr"/>
      <c r="P12" s="4" t="inlineStr">
        <is>
          <t>DCS-STOP-004 | Stop | metformin ER 500 mg tablet | Stop at discharge | Stopped by discharging service.</t>
        </is>
      </c>
      <c r="Q12" s="4" t="inlineStr"/>
      <c r="R12" s="4" t="inlineStr"/>
      <c r="S12" s="4" t="inlineStr">
        <is>
          <t>ADM-0710-007 | ADM-V1 | metformin ER 500 mg tablet | 500 mg | Take 1 tablet by mouth twice daily | active at admission | captured 2026-07-10 08:12</t>
        </is>
      </c>
      <c r="T12" s="4" t="inlineStr">
        <is>
          <t>PTL-0713-005 | metformin ER | 500 mg | twice a day | taking | Patient unsure if still needed.</t>
        </is>
      </c>
      <c r="U12" s="4" t="inlineStr">
        <is>
          <t>RXH-0714-007 | metformin ER 500 mg tablet | profile=inactive | fill=filled | last_fill=2026-06-20 | Take 1 tablet by mouth twice daily | profile inactive after transition</t>
        </is>
      </c>
      <c r="V12" s="4" t="inlineStr">
        <is>
          <t>2 row(s) | latest=2026-06-18 | status=filled | qty=60 | days=30</t>
        </is>
      </c>
      <c r="W12" s="4" t="inlineStr"/>
      <c r="X12" s="4" t="inlineStr"/>
      <c r="Y12" s="4" t="inlineStr"/>
      <c r="Z12" s="4" t="inlineStr"/>
      <c r="AA12" s="6" t="inlineStr"/>
    </row>
    <row r="13" ht="92" customHeight="1">
      <c r="A13" s="4" t="inlineStr">
        <is>
          <t>MED-010</t>
        </is>
      </c>
      <c r="B13" s="4" t="inlineStr">
        <is>
          <t>Furosemide tablet</t>
        </is>
      </c>
      <c r="C13" s="4" t="inlineStr">
        <is>
          <t>furosemide 20 mg tablet; water pill - furosemide; furosemide 40 mg tablet</t>
        </is>
      </c>
      <c r="D13" s="4" t="inlineStr">
        <is>
          <t>MED</t>
        </is>
      </c>
      <c r="E13" s="4" t="inlineStr">
        <is>
          <t>ACTIVE PROFILE — CHANGE ACTION</t>
        </is>
      </c>
      <c r="F13" s="4" t="inlineStr">
        <is>
          <t>Owen Laird, PharmD — Outpatient Pharmacy</t>
        </is>
      </c>
      <c r="G13" s="6" t="n">
        <v>46218</v>
      </c>
      <c r="H13" s="4" t="inlineStr">
        <is>
          <t>CHANGE</t>
        </is>
      </c>
      <c r="I13" s="7" t="inlineStr">
        <is>
          <t>RESOLVED</t>
        </is>
      </c>
      <c r="J13" s="4" t="inlineStr">
        <is>
          <t>YES</t>
        </is>
      </c>
      <c r="K13" s="4" t="inlineStr">
        <is>
          <t>CHANGE</t>
        </is>
      </c>
      <c r="L13" s="4" t="inlineStr">
        <is>
          <t>Active profile row plus explicit CHANGE in the final signed summary.</t>
        </is>
      </c>
      <c r="M13" s="4" t="inlineStr">
        <is>
          <t>2026-06-26 — Latest dispense DISP-008-1: furosemide 20 mg tablet; filled; 30 units / 30 days
2026-07-11 17:45 — Admission ADM-0710-008 (ADM-V2): furosemide 20 mg tablet; active; Take 1 tablet by mouth daily
2026-07-13 09:15 — Portal PTL-0713-006: water pill - furosemide; taking; Bottle says 20 mg.
2026-07-13 16:40 — Final summary DCS-MED-006: Change furosemide 40 mg tablet; Take 1 tablet by mouth daily
2026-07-14 22:20 — Pharmacy snapshot RXH-0714-008: furosemide 20 mg tablet; profile=active; fill=filled</t>
        </is>
      </c>
      <c r="N13" s="4" t="inlineStr">
        <is>
          <t>furosemide 40 mg tablet | Take 1 tablet by mouth daily</t>
        </is>
      </c>
      <c r="O13" s="4" t="inlineStr">
        <is>
          <t>Latest pharmacy row reflects 20 mg; signed discharge dose is 40 mg.</t>
        </is>
      </c>
      <c r="P13" s="4" t="inlineStr">
        <is>
          <t>DCS-MED-006 | Change | furosemide 40 mg tablet | Take 1 tablet by mouth daily | Dose increased from 20 mg daily.</t>
        </is>
      </c>
      <c r="Q13" s="4" t="inlineStr"/>
      <c r="R13" s="4" t="inlineStr"/>
      <c r="S13" s="4" t="inlineStr">
        <is>
          <t>ADM-0710-008 | ADM-V2 | furosemide 20 mg tablet | 20 mg | Take 1 tablet by mouth daily | active | captured 2026-07-11 17:45</t>
        </is>
      </c>
      <c r="T13" s="4" t="inlineStr">
        <is>
          <t>PTL-0713-006 | water pill - furosemide | 20 mg | every morning | taking | Bottle says 20 mg.</t>
        </is>
      </c>
      <c r="U13" s="4" t="inlineStr">
        <is>
          <t>RXH-0714-008 | furosemide 20 mg tablet | profile=active | fill=filled | last_fill=2026-06-30 | Take 1 tablet by mouth daily | refills available</t>
        </is>
      </c>
      <c r="V13" s="4" t="inlineStr">
        <is>
          <t>1 row(s) | latest=2026-06-26 | status=filled | qty=30 | days=30</t>
        </is>
      </c>
      <c r="W13" s="4" t="inlineStr"/>
      <c r="X13" s="4" t="inlineStr"/>
      <c r="Y13" s="4" t="inlineStr"/>
      <c r="Z13" s="4" t="inlineStr"/>
      <c r="AA13" s="6" t="inlineStr"/>
    </row>
    <row r="14" ht="92" customHeight="1">
      <c r="A14" s="4" t="inlineStr">
        <is>
          <t>MED-011</t>
        </is>
      </c>
      <c r="B14" s="4" t="inlineStr">
        <is>
          <t>Potassium chloride ER 20 mEq tablet</t>
        </is>
      </c>
      <c r="C14" s="4" t="inlineStr">
        <is>
          <t>potassium chloride ER 20 mEq tablet; Klor-Con M20; Klor-Con M20 tablet | FG-SUB-004: approved potassium chloride ER 20 mEq product identity</t>
        </is>
      </c>
      <c r="D14" s="4" t="inlineStr">
        <is>
          <t>MED</t>
        </is>
      </c>
      <c r="E14" s="4" t="inlineStr">
        <is>
          <t>MED-RISK REVIEW</t>
        </is>
      </c>
      <c r="F14" s="4" t="inlineStr">
        <is>
          <t>Owen Laird, PharmD — Outpatient Pharmacy</t>
        </is>
      </c>
      <c r="G14" s="6" t="n">
        <v>46218</v>
      </c>
      <c r="H14" s="4" t="inlineStr">
        <is>
          <t>KEEP</t>
        </is>
      </c>
      <c r="I14" s="7" t="inlineStr">
        <is>
          <t>RESOLVED</t>
        </is>
      </c>
      <c r="J14" s="4" t="inlineStr">
        <is>
          <t>YES</t>
        </is>
      </c>
      <c r="K14" s="4" t="inlineStr">
        <is>
          <t>RELEASE</t>
        </is>
      </c>
      <c r="L14" s="4" t="inlineStr">
        <is>
          <t>RELEASE supported by the 2026-07-14 prescriber clarification after the reported BMP.</t>
        </is>
      </c>
      <c r="M14" s="4" t="inlineStr">
        <is>
          <t>2026-06-29 — Latest dispense DISP-009-1: Klor-Con M20 tablet; filled; 30 units / 30 days
2026-07-10 08:12 — Admission ADM-0710-009 (ADM-V1): potassium chloride ER 20 mEq tablet; active; Take 1 tablet by mouth daily
2026-07-13 09:15 — Portal PTL-0713-007: Klor-Con M20; taking; Holds when told after labs.
2026-07-13 13:38 — Queue RCQ-7721: hold pending lab review; open/preliminary
2026-07-13 16:40 — Final summary DCS-MED-007: Continue potassium chloride ER 20 mEq tablet; Take 1 tablet by mouth daily after lab review
2026-07-14 15:10 — Prescriber clarification: BMP at 14:36 reportedly K 4.2; continue ER 20 mEq once daily.
2026-07-14 15:25 — Queue RCQ-7744: continue; closed/current
2026-07-14 22:20 — Pharmacy snapshot RXH-0714-009: Klor-Con M20 tablet; profile=active; fill=filled</t>
        </is>
      </c>
      <c r="N14" s="4" t="inlineStr">
        <is>
          <t>potassium chloride ER 20 mEq tablet | Take 1 tablet by mouth daily after lab review</t>
        </is>
      </c>
      <c r="O14" s="4" t="inlineStr">
        <is>
          <t>Resolved by email/queue, but final signed summary was not amended and preliminary queue row remains open.</t>
        </is>
      </c>
      <c r="P14" s="4" t="inlineStr">
        <is>
          <t>DCS-MED-007 | Continue | potassium chloride ER 20 mEq tablet | Take 1 tablet by mouth daily after lab review | Conditional discharge instruction; prescriber clarification follows.</t>
        </is>
      </c>
      <c r="Q14" s="4" t="inlineStr">
        <is>
          <t>2026-07-14 15:10 — BMP at 14:36 reportedly K 4.2; continue ER 20 mEq once daily.</t>
        </is>
      </c>
      <c r="R14" s="4" t="inlineStr">
        <is>
          <t>RCQ-7721 | 2026-07-13 13:38 | hold pending lab review | open/preliminary | Lab result not yet available.
RCQ-7744 | 2026-07-14 15:25 | continue | closed/current | Prescriber confirmed continuation after BMP resulted.</t>
        </is>
      </c>
      <c r="S14" s="4" t="inlineStr">
        <is>
          <t>ADM-0710-009 | ADM-V1 | potassium chloride ER 20 mEq tablet | 20 mEq | Take 1 tablet by mouth daily | active | captured 2026-07-10 08:12</t>
        </is>
      </c>
      <c r="T14" s="4" t="inlineStr">
        <is>
          <t>PTL-0713-007 | Klor-Con M20 | 20 mEq | daily | taking | Holds when told after labs.</t>
        </is>
      </c>
      <c r="U14" s="4" t="inlineStr">
        <is>
          <t>RXH-0714-009 | Klor-Con M20 tablet | profile=active | fill=filled | last_fill=2026-07-02 | Take 1 tablet by mouth daily | refills available</t>
        </is>
      </c>
      <c r="V14" s="4" t="inlineStr">
        <is>
          <t>3 row(s) | latest=2026-06-29 | status=filled | qty=30 | days=30</t>
        </is>
      </c>
      <c r="W14" s="4" t="inlineStr"/>
      <c r="X14" s="4" t="inlineStr"/>
      <c r="Y14" s="4" t="inlineStr"/>
      <c r="Z14" s="4" t="inlineStr"/>
      <c r="AA14" s="6" t="inlineStr"/>
    </row>
    <row r="15" ht="92" customHeight="1">
      <c r="A15" s="8" t="inlineStr">
        <is>
          <t>MED-012</t>
        </is>
      </c>
      <c r="B15" s="8" t="inlineStr">
        <is>
          <t>Spironolactone 25 mg tablet</t>
        </is>
      </c>
      <c r="C15" s="8" t="inlineStr">
        <is>
          <t>spironolactone 25 mg tablet; spironolactone</t>
        </is>
      </c>
      <c r="D15" s="8" t="inlineStr">
        <is>
          <t>MED</t>
        </is>
      </c>
      <c r="E15" s="8" t="inlineStr">
        <is>
          <t>OPEN ESCALATION</t>
        </is>
      </c>
      <c r="F15" s="8" t="inlineStr">
        <is>
          <t>Owen Laird, PharmD — route to Cardiology</t>
        </is>
      </c>
      <c r="G15" s="9" t="n">
        <v>46218</v>
      </c>
      <c r="H15" s="8" t="inlineStr">
        <is>
          <t>CLARIFY</t>
        </is>
      </c>
      <c r="I15" s="8" t="inlineStr">
        <is>
          <t>OPEN</t>
        </is>
      </c>
      <c r="J15" s="8" t="inlineStr">
        <is>
          <t>YES</t>
        </is>
      </c>
      <c r="K15" s="8" t="inlineStr">
        <is>
          <t>CLARIFY</t>
        </is>
      </c>
      <c r="L15" s="8" t="inlineStr">
        <is>
          <t>CLARIFY: final summary is silent; prescriber requested a cardiology decision.</t>
        </is>
      </c>
      <c r="M15" s="8" t="inlineStr">
        <is>
          <t>2026-06-29 — Latest dispense DISP-010-1: spironolactone 25 mg tablet; filled; 30 units / 30 days
2026-07-10 08:12 — Admission ADM-0710-010 (ADM-V1): spironolactone 25 mg tablet; active at admission; Take 1 tablet by mouth daily
2026-07-13 09:15 — Portal PTL-0713-008: spironolactone; taking; Patient says cardiology started it.
2026-07-14 08:21 — Queue RCQ-7732: ask prescriber; open/current
2026-07-14 15:10 — Prescriber clarification: Not confirmed; ask cardiology before dispensing.
2026-07-14 22:20 — Pharmacy snapshot RXH-0714-013: spironolactone 25 mg tablet; profile=active; fill=filled</t>
        </is>
      </c>
      <c r="N15" s="8" t="inlineStr"/>
      <c r="O15" s="8" t="inlineStr">
        <is>
          <t>Final summary silent; obtain cardiology decision before dispensing.</t>
        </is>
      </c>
      <c r="P15" s="8" t="inlineStr"/>
      <c r="Q15" s="8" t="inlineStr">
        <is>
          <t>2026-07-14 15:10 — Not confirmed; ask cardiology before dispensing.</t>
        </is>
      </c>
      <c r="R15" s="8" t="inlineStr">
        <is>
          <t>RCQ-7732 | 2026-07-14 08:21 | ask prescriber | open/current | Active profile but not addressed in final transition summary.</t>
        </is>
      </c>
      <c r="S15" s="8" t="inlineStr">
        <is>
          <t>ADM-0710-010 | ADM-V1 | spironolactone 25 mg tablet | 25 mg | Take 1 tablet by mouth daily | active at admission | captured 2026-07-10 08:12</t>
        </is>
      </c>
      <c r="T15" s="8" t="inlineStr">
        <is>
          <t>PTL-0713-008 | spironolactone | 25 mg | every morning | taking | Patient says cardiology started it.</t>
        </is>
      </c>
      <c r="U15" s="8" t="inlineStr">
        <is>
          <t>RXH-0714-013 | spironolactone 25 mg tablet | profile=active | fill=filled | last_fill=2026-07-01 | Take 1 tablet by mouth daily | refills available</t>
        </is>
      </c>
      <c r="V15" s="8" t="inlineStr">
        <is>
          <t>2 row(s) | latest=2026-06-29 | status=filled | qty=30 | days=30</t>
        </is>
      </c>
      <c r="W15" s="8" t="inlineStr"/>
      <c r="X15" s="8" t="inlineStr"/>
      <c r="Y15" s="8" t="inlineStr"/>
      <c r="Z15" s="8" t="inlineStr"/>
      <c r="AA15" s="9" t="inlineStr"/>
    </row>
    <row r="16" ht="92" customHeight="1">
      <c r="A16" s="4" t="inlineStr">
        <is>
          <t>MED-013</t>
        </is>
      </c>
      <c r="B16" s="4" t="inlineStr">
        <is>
          <t>Aspirin 81 mg EC tablet</t>
        </is>
      </c>
      <c r="C16" s="4" t="inlineStr">
        <is>
          <t>aspirin EC 81 mg tablet; baby aspirin; aspirin 81 mg EC tablet</t>
        </is>
      </c>
      <c r="D16" s="4" t="inlineStr">
        <is>
          <t>LOW</t>
        </is>
      </c>
      <c r="E16" s="4" t="inlineStr">
        <is>
          <t>NO OPEN ESCALATION</t>
        </is>
      </c>
      <c r="F16" s="4" t="inlineStr">
        <is>
          <t>Owen Laird, PharmD — Outpatient Pharmacy</t>
        </is>
      </c>
      <c r="G16" s="6" t="n">
        <v>46220</v>
      </c>
      <c r="H16" s="4" t="inlineStr">
        <is>
          <t>STOP</t>
        </is>
      </c>
      <c r="I16" s="7" t="inlineStr">
        <is>
          <t>RESOLVED</t>
        </is>
      </c>
      <c r="J16" s="4" t="inlineStr">
        <is>
          <t>NO</t>
        </is>
      </c>
      <c r="K16" s="4" t="inlineStr"/>
      <c r="L16" s="4" t="inlineStr">
        <is>
          <t>No action: no pharmacy-profile row exists for this identity. Retain the source disposition for crosswalk/history; route any signed order through normal intake.</t>
        </is>
      </c>
      <c r="M16" s="4" t="inlineStr">
        <is>
          <t>2026-07-10 08:12 — Admission ADM-0710-011 (ADM-V1): aspirin EC 81 mg tablet; active; Take 1 tablet by mouth daily
2026-07-13 09:15 — Portal PTL-0713-009: baby aspirin; taking; OTC bottle in weekly pill box.
2026-07-13 16:40 — Final summary DCS-STOP-005: Stop aspirin 81 mg EC tablet; Stop at discharge</t>
        </is>
      </c>
      <c r="N16" s="4" t="inlineStr">
        <is>
          <t>aspirin 81 mg EC tablet | Stop at discharge</t>
        </is>
      </c>
      <c r="O16" s="4" t="inlineStr"/>
      <c r="P16" s="4" t="inlineStr">
        <is>
          <t>DCS-STOP-005 | Stop | aspirin 81 mg EC tablet | Stop at discharge | Stopped by discharging service.</t>
        </is>
      </c>
      <c r="Q16" s="4" t="inlineStr"/>
      <c r="R16" s="4" t="inlineStr"/>
      <c r="S16" s="4" t="inlineStr">
        <is>
          <t>ADM-0710-011 | ADM-V1 | aspirin EC 81 mg tablet | 81 mg | Take 1 tablet by mouth daily | active | captured 2026-07-10 08:12</t>
        </is>
      </c>
      <c r="T16" s="4" t="inlineStr">
        <is>
          <t>PTL-0713-009 | baby aspirin | 81 mg | daily | taking | OTC bottle in weekly pill box.</t>
        </is>
      </c>
      <c r="U16" s="4" t="inlineStr"/>
      <c r="V16" s="4" t="inlineStr"/>
      <c r="W16" s="4" t="inlineStr"/>
      <c r="X16" s="4" t="inlineStr"/>
      <c r="Y16" s="4" t="inlineStr"/>
      <c r="Z16" s="4" t="inlineStr"/>
      <c r="AA16" s="6" t="inlineStr"/>
    </row>
    <row r="17" ht="92" customHeight="1">
      <c r="A17" s="4" t="inlineStr">
        <is>
          <t>MED-014</t>
        </is>
      </c>
      <c r="B17" s="4" t="inlineStr">
        <is>
          <t>Clopidogrel 75 mg tablet</t>
        </is>
      </c>
      <c r="C17" s="4" t="inlineStr">
        <is>
          <t>clopidogrel 75 mg tablet</t>
        </is>
      </c>
      <c r="D17" s="4" t="inlineStr">
        <is>
          <t>LOW</t>
        </is>
      </c>
      <c r="E17" s="4" t="inlineStr">
        <is>
          <t>ACTIVE PROFILE — STOP ACTION</t>
        </is>
      </c>
      <c r="F17" s="4" t="inlineStr">
        <is>
          <t>Owen Laird, PharmD — Outpatient Pharmacy</t>
        </is>
      </c>
      <c r="G17" s="6" t="n">
        <v>46218</v>
      </c>
      <c r="H17" s="4" t="inlineStr">
        <is>
          <t>STOP</t>
        </is>
      </c>
      <c r="I17" s="7" t="inlineStr">
        <is>
          <t>RESOLVED</t>
        </is>
      </c>
      <c r="J17" s="4" t="inlineStr">
        <is>
          <t>YES</t>
        </is>
      </c>
      <c r="K17" s="4" t="inlineStr">
        <is>
          <t>STOP</t>
        </is>
      </c>
      <c r="L17" s="4" t="inlineStr">
        <is>
          <t>Active profile row plus explicit STOP in the final signed summary.</t>
        </is>
      </c>
      <c r="M17" s="4" t="inlineStr">
        <is>
          <t>2026-06-24 — Latest dispense DISP-011-1: clopidogrel 75 mg tablet; filled; 30 units / 30 days
2026-07-13 16:40 — Final summary DCS-STOP-006: Stop clopidogrel 75 mg tablet; Stop at discharge
2026-07-14 22:20 — Pharmacy snapshot RXH-0714-011: clopidogrel 75 mg tablet; profile=active; fill=filled</t>
        </is>
      </c>
      <c r="N17" s="4" t="inlineStr">
        <is>
          <t>clopidogrel 75 mg tablet | Stop at discharge</t>
        </is>
      </c>
      <c r="O17" s="4" t="inlineStr">
        <is>
          <t>Pharmacy profile remains active despite explicit discharge stop.</t>
        </is>
      </c>
      <c r="P17" s="4" t="inlineStr">
        <is>
          <t>DCS-STOP-006 | Stop | clopidogrel 75 mg tablet | Stop at discharge | No active outpatient order after transition.</t>
        </is>
      </c>
      <c r="Q17" s="4" t="inlineStr"/>
      <c r="R17" s="4" t="inlineStr"/>
      <c r="S17" s="4" t="inlineStr"/>
      <c r="T17" s="4" t="inlineStr"/>
      <c r="U17" s="4" t="inlineStr">
        <is>
          <t>RXH-0714-011 | clopidogrel 75 mg tablet | profile=active | fill=filled | last_fill=2026-06-24 | Take 1 tablet by mouth daily | refills available</t>
        </is>
      </c>
      <c r="V17" s="4" t="inlineStr">
        <is>
          <t>1 row(s) | latest=2026-06-24 | status=filled | qty=30 | days=30</t>
        </is>
      </c>
      <c r="W17" s="4" t="inlineStr"/>
      <c r="X17" s="4" t="inlineStr"/>
      <c r="Y17" s="4" t="inlineStr"/>
      <c r="Z17" s="4" t="inlineStr"/>
      <c r="AA17" s="6" t="inlineStr"/>
    </row>
    <row r="18" ht="92" customHeight="1">
      <c r="A18" s="4" t="inlineStr">
        <is>
          <t>MED-015</t>
        </is>
      </c>
      <c r="B18" s="4" t="inlineStr">
        <is>
          <t>Albuterol HFA 90 mcg inhaler</t>
        </is>
      </c>
      <c r="C18" s="4" t="inlineStr">
        <is>
          <t>albuterol HFA 90 mcg inhaler; Ventolin rescue inhaler; ProAir HFA 90 mcg inhaler; albuterol HFA inhaler | FG-SUB-003: approved albuterol HFA product identity</t>
        </is>
      </c>
      <c r="D18" s="4" t="inlineStr">
        <is>
          <t>LOW</t>
        </is>
      </c>
      <c r="E18" s="4" t="inlineStr">
        <is>
          <t>NO OPEN ESCALATION</t>
        </is>
      </c>
      <c r="F18" s="4" t="inlineStr">
        <is>
          <t>Owen Laird, PharmD — Outpatient Pharmacy</t>
        </is>
      </c>
      <c r="G18" s="6" t="n">
        <v>46218</v>
      </c>
      <c r="H18" s="4" t="inlineStr">
        <is>
          <t>KEEP</t>
        </is>
      </c>
      <c r="I18" s="7" t="inlineStr">
        <is>
          <t>RESOLVED</t>
        </is>
      </c>
      <c r="J18" s="4" t="inlineStr">
        <is>
          <t>YES</t>
        </is>
      </c>
      <c r="K18" s="4" t="inlineStr">
        <is>
          <t>RELEASE</t>
        </is>
      </c>
      <c r="L18" s="4" t="inlineStr">
        <is>
          <t>Active profile row plus explicit KEEP in the final signed summary.</t>
        </is>
      </c>
      <c r="M18" s="4" t="inlineStr">
        <is>
          <t>2026-06-06 — Latest dispense DISP-012-1: ProAir HFA 90 mcg inhaler; filled; 1 units / 25 days
2026-07-11 17:45 — Admission ADM-0710-012 (ADM-V2): albuterol HFA 90 mcg inhaler; active; Inhale 2 puffs every 4 hours as needed
2026-07-13 09:15 — Portal PTL-0713-010: Ventolin rescue inhaler; taking as needed; Keeps in purse.
2026-07-13 16:40 — Final summary DCS-MED-008: Continue albuterol HFA inhaler; Inhale 2 puffs every 4 hours as needed
2026-07-14 22:20 — Pharmacy snapshot RXH-0714-012: ProAir HFA 90 mcg inhaler; profile=active; fill=filled</t>
        </is>
      </c>
      <c r="N18" s="4" t="inlineStr">
        <is>
          <t>albuterol HFA inhaler | Inhale 2 puffs every 4 hours as needed</t>
        </is>
      </c>
      <c r="O18" s="4" t="inlineStr"/>
      <c r="P18" s="4" t="inlineStr">
        <is>
          <t>DCS-MED-008 | Continue | albuterol HFA inhaler | Inhale 2 puffs every 4 hours as needed | Any approved albuterol HFA product may dispense.</t>
        </is>
      </c>
      <c r="Q18" s="4" t="inlineStr"/>
      <c r="R18" s="4" t="inlineStr"/>
      <c r="S18" s="4" t="inlineStr">
        <is>
          <t>ADM-0710-012 | ADM-V2 | albuterol HFA 90 mcg inhaler | 90 mcg | Inhale 2 puffs every 4 hours as needed | active | captured 2026-07-11 17:45</t>
        </is>
      </c>
      <c r="T18" s="4" t="inlineStr">
        <is>
          <t>PTL-0713-010 | Ventolin rescue inhaler | 90 mcg | 2 puffs when wheezy | taking as needed | Keeps in purse.</t>
        </is>
      </c>
      <c r="U18" s="4" t="inlineStr">
        <is>
          <t>RXH-0714-012 | ProAir HFA 90 mcg inhaler | profile=active | fill=filled | last_fill=2026-06-10 | Inhale 2 puffs every 4 hours as needed | refills available</t>
        </is>
      </c>
      <c r="V18" s="4" t="inlineStr">
        <is>
          <t>2 row(s) | latest=2026-06-06 | status=filled | qty=1 | days=25</t>
        </is>
      </c>
      <c r="W18" s="4" t="inlineStr"/>
      <c r="X18" s="4" t="inlineStr"/>
      <c r="Y18" s="4" t="inlineStr"/>
      <c r="Z18" s="4" t="inlineStr"/>
      <c r="AA18" s="6" t="inlineStr"/>
    </row>
    <row r="19" ht="92" customHeight="1">
      <c r="A19" s="4" t="inlineStr">
        <is>
          <t>MED-016</t>
        </is>
      </c>
      <c r="B19" s="4" t="inlineStr">
        <is>
          <t>Fluticasone-salmeterol 250/50 Diskus</t>
        </is>
      </c>
      <c r="C19" s="4" t="inlineStr">
        <is>
          <t>Advair Diskus 250/50; Advair; fluticasone-salmeterol 250/50 Diskus</t>
        </is>
      </c>
      <c r="D19" s="4" t="inlineStr">
        <is>
          <t>LOW</t>
        </is>
      </c>
      <c r="E19" s="4" t="inlineStr">
        <is>
          <t>NO OPEN ESCALATION</t>
        </is>
      </c>
      <c r="F19" s="4" t="inlineStr">
        <is>
          <t>Owen Laird, PharmD — Outpatient Pharmacy</t>
        </is>
      </c>
      <c r="G19" s="6" t="n">
        <v>46218</v>
      </c>
      <c r="H19" s="4" t="inlineStr">
        <is>
          <t>KEEP</t>
        </is>
      </c>
      <c r="I19" s="7" t="inlineStr">
        <is>
          <t>RESOLVED</t>
        </is>
      </c>
      <c r="J19" s="4" t="inlineStr">
        <is>
          <t>YES</t>
        </is>
      </c>
      <c r="K19" s="4" t="inlineStr">
        <is>
          <t>RELEASE</t>
        </is>
      </c>
      <c r="L19" s="4" t="inlineStr">
        <is>
          <t>Active profile row plus explicit KEEP in the final signed summary.</t>
        </is>
      </c>
      <c r="M19" s="4" t="inlineStr">
        <is>
          <t>2026-07-01 — Latest dispense DISP-013-1: fluticasone-salmeterol 250/50 Diskus; filled; 1 units / 30 days
2026-07-10 08:12 — Admission ADM-0710-013 (ADM-V1): Advair Diskus 250/50; active; Inhale 1 puff twice daily
2026-07-13 09:15 — Portal PTL-0713-011: Advair; taking; Uses most days.
2026-07-13 16:40 — Final summary DCS-MED-009: Continue fluticasone-salmeterol 250/50 Diskus; Inhale 1 puff twice daily
2026-07-14 22:20 — Pharmacy snapshot RXH-0714-117: fluticasone-salmeterol 250/50 Diskus; profile=active; fill=filled</t>
        </is>
      </c>
      <c r="N19" s="4" t="inlineStr">
        <is>
          <t>fluticasone-salmeterol 250/50 Diskus | Inhale 1 puff twice daily</t>
        </is>
      </c>
      <c r="O19" s="4" t="inlineStr"/>
      <c r="P19" s="4" t="inlineStr">
        <is>
          <t>DCS-MED-009 | Continue | fluticasone-salmeterol 250/50 Diskus | Inhale 1 puff twice daily | Continue maintenance inhaler.</t>
        </is>
      </c>
      <c r="Q19" s="4" t="inlineStr"/>
      <c r="R19" s="4" t="inlineStr"/>
      <c r="S19" s="4" t="inlineStr">
        <is>
          <t>ADM-0710-013 | ADM-V1 | Advair Diskus 250/50 | 250/50 mcg | Inhale 1 puff twice daily | active | captured 2026-07-10 08:12</t>
        </is>
      </c>
      <c r="T19" s="4" t="inlineStr">
        <is>
          <t>PTL-0713-011 | Advair | 250/50 | 1 puff morning and night | taking | Uses most days.</t>
        </is>
      </c>
      <c r="U19" s="4" t="inlineStr">
        <is>
          <t>RXH-0714-117 | fluticasone-salmeterol 250/50 Diskus | profile=active | fill=filled | last_fill=2026-07-05 | Inhale 1 puff twice daily | refills available</t>
        </is>
      </c>
      <c r="V19" s="4" t="inlineStr">
        <is>
          <t>3 row(s) | latest=2026-07-01 | status=filled | qty=1 | days=30</t>
        </is>
      </c>
      <c r="W19" s="4" t="inlineStr"/>
      <c r="X19" s="4" t="inlineStr"/>
      <c r="Y19" s="4" t="inlineStr"/>
      <c r="Z19" s="4" t="inlineStr"/>
      <c r="AA19" s="6" t="inlineStr"/>
    </row>
    <row r="20" ht="92" customHeight="1">
      <c r="A20" s="4" t="inlineStr">
        <is>
          <t>MED-017</t>
        </is>
      </c>
      <c r="B20" s="4" t="inlineStr">
        <is>
          <t>Prednisone 10 mg taper</t>
        </is>
      </c>
      <c r="C20" s="4" t="inlineStr">
        <is>
          <t>prednisone 10 mg tablet; prednisone; prednisone 10 mg tablet taper</t>
        </is>
      </c>
      <c r="D20" s="4" t="inlineStr">
        <is>
          <t>LOW</t>
        </is>
      </c>
      <c r="E20" s="4" t="inlineStr">
        <is>
          <t>NO OPEN ESCALATION</t>
        </is>
      </c>
      <c r="F20" s="4" t="inlineStr">
        <is>
          <t>Owen Laird, PharmD — Outpatient Pharmacy</t>
        </is>
      </c>
      <c r="G20" s="6" t="n">
        <v>46220</v>
      </c>
      <c r="H20" s="4" t="inlineStr">
        <is>
          <t>STOP</t>
        </is>
      </c>
      <c r="I20" s="7" t="inlineStr">
        <is>
          <t>RESOLVED</t>
        </is>
      </c>
      <c r="J20" s="4" t="inlineStr">
        <is>
          <t>NO</t>
        </is>
      </c>
      <c r="K20" s="4" t="inlineStr"/>
      <c r="L20" s="4" t="inlineStr">
        <is>
          <t>No action: pharmacy-profile row is inactive. Retain the source disposition for crosswalk/history; do not infer a treatment or fill decision.</t>
        </is>
      </c>
      <c r="M20" s="4" t="inlineStr">
        <is>
          <t>2026-06-28 — Latest dispense DISP-014-1: prednisone 10 mg tablet; filled; 21 units / 6 days
2026-07-10 08:12 — Admission ADM-0710-014 (ADM-V1): prednisone 10 mg tablet; short course; Taper as directed
2026-07-13 09:15 — Portal PTL-0713-012: prednisone; uncertain; Bottle from last week.
2026-07-13 16:40 — Final summary DCS-STOP-007: Stop prednisone 10 mg tablet taper; Stop at discharge
2026-07-14 22:20 — Pharmacy snapshot RXH-0714-014: prednisone 10 mg tablet; profile=inactive; fill=filled</t>
        </is>
      </c>
      <c r="N20" s="4" t="inlineStr">
        <is>
          <t>prednisone 10 mg tablet taper | Stop at discharge</t>
        </is>
      </c>
      <c r="O20" s="4" t="inlineStr"/>
      <c r="P20" s="4" t="inlineStr">
        <is>
          <t>DCS-STOP-007 | Stop | prednisone 10 mg tablet taper | Stop at discharge | Course complete.</t>
        </is>
      </c>
      <c r="Q20" s="4" t="inlineStr"/>
      <c r="R20" s="4" t="inlineStr"/>
      <c r="S20" s="4" t="inlineStr">
        <is>
          <t>ADM-0710-014 | ADM-V1 | prednisone 10 mg tablet | 10 mg | Taper as directed | short course | captured 2026-07-10 08:12</t>
        </is>
      </c>
      <c r="T20" s="4" t="inlineStr">
        <is>
          <t>PTL-0713-012 | prednisone | 10 mg | not sure | uncertain | Bottle from last week.</t>
        </is>
      </c>
      <c r="U20" s="4" t="inlineStr">
        <is>
          <t>RXH-0714-014 | prednisone 10 mg tablet | profile=inactive | fill=filled | last_fill=2026-07-01 | Taper as directed | profile inactive after transition</t>
        </is>
      </c>
      <c r="V20" s="4" t="inlineStr">
        <is>
          <t>1 row(s) | latest=2026-06-28 | status=filled | qty=21 | days=6</t>
        </is>
      </c>
      <c r="W20" s="4" t="inlineStr"/>
      <c r="X20" s="4" t="inlineStr"/>
      <c r="Y20" s="4" t="inlineStr"/>
      <c r="Z20" s="4" t="inlineStr"/>
      <c r="AA20" s="6" t="inlineStr"/>
    </row>
    <row r="21" ht="92" customHeight="1">
      <c r="A21" s="4" t="inlineStr">
        <is>
          <t>MED-018</t>
        </is>
      </c>
      <c r="B21" s="4" t="inlineStr">
        <is>
          <t>Amoxicillin-clavulanate 875/125 mg tablet</t>
        </is>
      </c>
      <c r="C21" s="4" t="inlineStr">
        <is>
          <t>amoxicillin-clavulanate 875/125 mg tablet</t>
        </is>
      </c>
      <c r="D21" s="5" t="inlineStr">
        <is>
          <t>HIGH</t>
        </is>
      </c>
      <c r="E21" s="4" t="inlineStr">
        <is>
          <t>HIGH-RISK REVIEW</t>
        </is>
      </c>
      <c r="F21" s="4" t="inlineStr">
        <is>
          <t>Owen Laird, PharmD — Outpatient Pharmacy</t>
        </is>
      </c>
      <c r="G21" s="6" t="n">
        <v>46218</v>
      </c>
      <c r="H21" s="4" t="inlineStr">
        <is>
          <t>STOP</t>
        </is>
      </c>
      <c r="I21" s="7" t="inlineStr">
        <is>
          <t>RESOLVED</t>
        </is>
      </c>
      <c r="J21" s="4" t="inlineStr">
        <is>
          <t>NO</t>
        </is>
      </c>
      <c r="K21" s="4" t="inlineStr"/>
      <c r="L21" s="4" t="inlineStr">
        <is>
          <t>No action: pharmacy-profile row is inactive. Retain the source disposition for crosswalk/history; do not infer a treatment or fill decision.</t>
        </is>
      </c>
      <c r="M21" s="4" t="inlineStr">
        <is>
          <t>2026-07-05 — Latest dispense DISP-015-1: amoxicillin-clavulanate 875/125 mg tablet; filled; 14 units / 7 days
2026-07-10 08:12 — Admission ADM-0710-015 (ADM-V1): amoxicillin-clavulanate 875/125 mg tablet; short course before admission; Take 1 tablet by mouth twice daily
2026-07-10 12:44 — Allergy ALG-PCN-20240703: penicillin class / hives; HIGH active
2026-07-13 16:40 — Final summary DCS-STOP-008: Stop amoxicillin-clavulanate 875/125 mg tablet; Stop at discharge
2026-07-14 22:20 — Pharmacy snapshot RXH-0714-015: amoxicillin-clavulanate 875/125 mg tablet; profile=inactive; fill=filled</t>
        </is>
      </c>
      <c r="N21" s="4" t="inlineStr">
        <is>
          <t>amoxicillin-clavulanate 875/125 mg tablet | Stop at discharge</t>
        </is>
      </c>
      <c r="O21" s="4" t="inlineStr"/>
      <c r="P21" s="4" t="inlineStr">
        <is>
          <t>DCS-STOP-008 | Stop | amoxicillin-clavulanate 875/125 mg tablet | Stop at discharge | Do not continue after allergy verification.</t>
        </is>
      </c>
      <c r="Q21" s="4" t="inlineStr"/>
      <c r="R21" s="4" t="inlineStr"/>
      <c r="S21" s="4" t="inlineStr">
        <is>
          <t>ADM-0710-015 | ADM-V1 | amoxicillin-clavulanate 875/125 mg tablet | 875/125 mg | Take 1 tablet by mouth twice daily | short course before admission | captured 2026-07-10 08:12</t>
        </is>
      </c>
      <c r="T21" s="4" t="inlineStr"/>
      <c r="U21" s="4" t="inlineStr">
        <is>
          <t>RXH-0714-015 | amoxicillin-clavulanate 875/125 mg tablet | profile=inactive | fill=filled | last_fill=2026-07-06 | Take 1 tablet by mouth twice daily | profile inactive after transition</t>
        </is>
      </c>
      <c r="V21" s="4" t="inlineStr">
        <is>
          <t>3 row(s) | latest=2026-07-05 | status=filled | qty=14 | days=7</t>
        </is>
      </c>
      <c r="W21" s="4" t="inlineStr">
        <is>
          <t>ACTIVE HIGH penicillin-class allergy: hives; verified 2026-07-10 12:44.</t>
        </is>
      </c>
      <c r="X21" s="4" t="inlineStr"/>
      <c r="Y21" s="4" t="inlineStr"/>
      <c r="Z21" s="4" t="inlineStr"/>
      <c r="AA21" s="6" t="inlineStr"/>
    </row>
    <row r="22" ht="92" customHeight="1">
      <c r="A22" s="4" t="inlineStr">
        <is>
          <t>MED-019</t>
        </is>
      </c>
      <c r="B22" s="4" t="inlineStr">
        <is>
          <t>Naproxen 500 mg tablet</t>
        </is>
      </c>
      <c r="C22" s="4" t="inlineStr">
        <is>
          <t>naproxen 500 mg tablet; naproxen</t>
        </is>
      </c>
      <c r="D22" s="5" t="inlineStr">
        <is>
          <t>HIGH</t>
        </is>
      </c>
      <c r="E22" s="4" t="inlineStr">
        <is>
          <t>HIGH-RISK REVIEW</t>
        </is>
      </c>
      <c r="F22" s="4" t="inlineStr">
        <is>
          <t>Owen Laird, PharmD — Outpatient Pharmacy</t>
        </is>
      </c>
      <c r="G22" s="6" t="n">
        <v>46218</v>
      </c>
      <c r="H22" s="4" t="inlineStr">
        <is>
          <t>STOP</t>
        </is>
      </c>
      <c r="I22" s="7" t="inlineStr">
        <is>
          <t>RESOLVED</t>
        </is>
      </c>
      <c r="J22" s="4" t="inlineStr">
        <is>
          <t>NO</t>
        </is>
      </c>
      <c r="K22" s="4" t="inlineStr"/>
      <c r="L22" s="4" t="inlineStr">
        <is>
          <t>No action: no pharmacy-profile row exists for this identity. Retain the source disposition for crosswalk/history; route any signed order through normal intake.</t>
        </is>
      </c>
      <c r="M22" s="4" t="inlineStr">
        <is>
          <t>2026-07-10 12:47 — Allergy ALG-NSAID-20260218: naproxen / hives; HIGH active
2026-07-11 17:45 — Admission ADM-0710-016 (ADM-V2): naproxen 500 mg tablet; active PRN; Take 1 tablet by mouth twice daily as needed
2026-07-13 09:15 — Portal PTL-0713-013: naproxen; has supply; Patient says it made hives once.
2026-07-13 16:40 — Final summary DCS-STOP-009: Stop naproxen 500 mg tablet; Stop at discharge</t>
        </is>
      </c>
      <c r="N22" s="4" t="inlineStr">
        <is>
          <t>naproxen 500 mg tablet | Stop at discharge</t>
        </is>
      </c>
      <c r="O22" s="4" t="inlineStr"/>
      <c r="P22" s="4" t="inlineStr">
        <is>
          <t>DCS-STOP-009 | Stop | naproxen 500 mg tablet | Stop at discharge | NSAID allergy listed.</t>
        </is>
      </c>
      <c r="Q22" s="4" t="inlineStr"/>
      <c r="R22" s="4" t="inlineStr"/>
      <c r="S22" s="4" t="inlineStr">
        <is>
          <t>ADM-0710-016 | ADM-V2 | naproxen 500 mg tablet | 500 mg | Take 1 tablet by mouth twice daily as needed | active PRN | captured 2026-07-11 17:45</t>
        </is>
      </c>
      <c r="T22" s="4" t="inlineStr">
        <is>
          <t>PTL-0713-013 | naproxen | 500 mg | when joints hurt | has supply | Patient says it made hives once.</t>
        </is>
      </c>
      <c r="U22" s="4" t="inlineStr"/>
      <c r="V22" s="4" t="inlineStr"/>
      <c r="W22" s="4" t="inlineStr">
        <is>
          <t>ACTIVE HIGH naproxen allergy: hives; verified 2026-07-10 12:47.</t>
        </is>
      </c>
      <c r="X22" s="4" t="inlineStr"/>
      <c r="Y22" s="4" t="inlineStr"/>
      <c r="Z22" s="4" t="inlineStr"/>
      <c r="AA22" s="6" t="inlineStr"/>
    </row>
    <row r="23" ht="92" customHeight="1">
      <c r="A23" s="4" t="inlineStr">
        <is>
          <t>MED-020</t>
        </is>
      </c>
      <c r="B23" s="4" t="inlineStr">
        <is>
          <t>Acetaminophen 500 mg tablet</t>
        </is>
      </c>
      <c r="C23" s="4" t="inlineStr">
        <is>
          <t>acetaminophen 500 mg tablet; Tylenol</t>
        </is>
      </c>
      <c r="D23" s="4" t="inlineStr">
        <is>
          <t>LOW</t>
        </is>
      </c>
      <c r="E23" s="4" t="inlineStr">
        <is>
          <t>NO OPEN ESCALATION</t>
        </is>
      </c>
      <c r="F23" s="4" t="inlineStr">
        <is>
          <t>Owen Laird, PharmD — Outpatient Pharmacy</t>
        </is>
      </c>
      <c r="G23" s="6" t="n">
        <v>46220</v>
      </c>
      <c r="H23" s="4" t="inlineStr">
        <is>
          <t>KEEP</t>
        </is>
      </c>
      <c r="I23" s="7" t="inlineStr">
        <is>
          <t>RESOLVED</t>
        </is>
      </c>
      <c r="J23" s="4" t="inlineStr">
        <is>
          <t>NO</t>
        </is>
      </c>
      <c r="K23" s="4" t="inlineStr"/>
      <c r="L23" s="4" t="inlineStr">
        <is>
          <t>No action: no pharmacy-profile row exists for this identity. Retain the source disposition for crosswalk/history; route any signed order through normal intake.</t>
        </is>
      </c>
      <c r="M23" s="4" t="inlineStr">
        <is>
          <t>2026-07-10 08:12 — Admission ADM-0710-017 (ADM-V1): acetaminophen 500 mg tablet; active PRN; Take 2 tablets every 8 hours as needed
2026-07-13 09:15 — Portal PTL-0713-014: Tylenol; taking as needed; OTC.
2026-07-13 16:40 — Final summary DCS-MED-010: Continue acetaminophen 500 mg tablet; Take 2 tablets by mouth every 8 hours as needed for pain</t>
        </is>
      </c>
      <c r="N23" s="4" t="inlineStr">
        <is>
          <t>acetaminophen 500 mg tablet | Take 2 tablets by mouth every 8 hours as needed for pain</t>
        </is>
      </c>
      <c r="O23" s="4" t="inlineStr"/>
      <c r="P23" s="4" t="inlineStr">
        <is>
          <t>DCS-MED-010 | Continue | acetaminophen 500 mg tablet | Take 2 tablets by mouth every 8 hours as needed for pain | Maximum daily dose per label.</t>
        </is>
      </c>
      <c r="Q23" s="4" t="inlineStr"/>
      <c r="R23" s="4" t="inlineStr"/>
      <c r="S23" s="4" t="inlineStr">
        <is>
          <t>ADM-0710-017 | ADM-V1 | acetaminophen 500 mg tablet | 500 mg | Take 2 tablets every 8 hours as needed | active PRN | captured 2026-07-10 08:12</t>
        </is>
      </c>
      <c r="T23" s="4" t="inlineStr">
        <is>
          <t>PTL-0713-014 | Tylenol | 500 mg | 2 tablets when needed | taking as needed | OTC.</t>
        </is>
      </c>
      <c r="U23" s="4" t="inlineStr"/>
      <c r="V23" s="4" t="inlineStr"/>
      <c r="W23" s="4" t="inlineStr"/>
      <c r="X23" s="4" t="inlineStr"/>
      <c r="Y23" s="4" t="inlineStr"/>
      <c r="Z23" s="4" t="inlineStr"/>
      <c r="AA23" s="6" t="inlineStr"/>
    </row>
    <row r="24" ht="92" customHeight="1">
      <c r="A24" s="4" t="inlineStr">
        <is>
          <t>MED-021</t>
        </is>
      </c>
      <c r="B24" s="4" t="inlineStr">
        <is>
          <t>PPI: pantoprazole 40 mg / omeprazole 20 mg</t>
        </is>
      </c>
      <c r="C24" s="4" t="inlineStr">
        <is>
          <t>omeprazole 20 mg capsule; omeprazole; pantoprazole 40 mg tablet | FG-SUB-002: approved pantoprazole-to-omeprazole outpatient crosswalk</t>
        </is>
      </c>
      <c r="D24" s="4" t="inlineStr">
        <is>
          <t>LOW</t>
        </is>
      </c>
      <c r="E24" s="4" t="inlineStr">
        <is>
          <t>NO OPEN ESCALATION</t>
        </is>
      </c>
      <c r="F24" s="4" t="inlineStr">
        <is>
          <t>Owen Laird, PharmD — Outpatient Pharmacy</t>
        </is>
      </c>
      <c r="G24" s="6" t="n">
        <v>46218</v>
      </c>
      <c r="H24" s="4" t="inlineStr">
        <is>
          <t>CHANGE</t>
        </is>
      </c>
      <c r="I24" s="7" t="inlineStr">
        <is>
          <t>RESOLVED</t>
        </is>
      </c>
      <c r="J24" s="4" t="inlineStr">
        <is>
          <t>YES</t>
        </is>
      </c>
      <c r="K24" s="4" t="inlineStr">
        <is>
          <t>RELEASE</t>
        </is>
      </c>
      <c r="L24" s="4" t="inlineStr">
        <is>
          <t>RELEASE the existing omeprazole 20 mg profile identity: FG-SUB-002 resolves pantoprazole to omeprazole, and the 2026-07-14 prescriber clarification approves it.</t>
        </is>
      </c>
      <c r="M24" s="4" t="inlineStr">
        <is>
          <t>2026-06-15 — Latest dispense DISP-016-1: omeprazole 20 mg capsule; filled; 30 units / 30 days
2026-07-10 08:12 — Admission ADM-0710-018 (ADM-V1): omeprazole 20 mg capsule; active; Take 1 capsule by mouth daily
2026-07-13 09:15 — Portal PTL-0713-015: omeprazole; taking; Buys OTC sometimes.
2026-07-13 16:40 — Final summary DCS-MED-011: Change pantoprazole 40 mg tablet; Take 1 tablet by mouth daily
2026-07-14 15:10 — Prescriber clarification: Outpatient formulary substitution approved; no do-not-substitute note.
2026-07-14 17:05 — Queue RCQ-7751: formulary substitution; closed/current
2026-07-14 22:20 — Pharmacy snapshot RXH-0714-016: omeprazole 20 mg capsule; profile=active; fill=filled</t>
        </is>
      </c>
      <c r="N24" s="4" t="inlineStr">
        <is>
          <t>pantoprazole 40 mg tablet | Take 1 tablet by mouth daily</t>
        </is>
      </c>
      <c r="O24" s="4" t="inlineStr">
        <is>
          <t>Resolved operationally through formulary substitution; no amended signed summary.</t>
        </is>
      </c>
      <c r="P24" s="4" t="inlineStr">
        <is>
          <t>DCS-MED-011 | Change | pantoprazole 40 mg tablet | Take 1 tablet by mouth daily | Outpatient formulary substitution allowed unless prohibited.</t>
        </is>
      </c>
      <c r="Q24" s="4" t="inlineStr">
        <is>
          <t>2026-07-14 15:10 — Outpatient formulary substitution approved; no do-not-substitute note.</t>
        </is>
      </c>
      <c r="R24" s="4" t="inlineStr">
        <is>
          <t>RCQ-7751 | 2026-07-14 17:05 | formulary substitution | closed/current | Use approved outpatient PPI substitution unless discharge prohibits substitution.</t>
        </is>
      </c>
      <c r="S24" s="4" t="inlineStr">
        <is>
          <t>ADM-0710-018 | ADM-V1 | omeprazole 20 mg capsule | 20 mg | Take 1 capsule by mouth daily | active | captured 2026-07-10 08:12</t>
        </is>
      </c>
      <c r="T24" s="4" t="inlineStr">
        <is>
          <t>PTL-0713-015 | omeprazole | 20 mg | daily before breakfast | taking | Buys OTC sometimes.</t>
        </is>
      </c>
      <c r="U24" s="4" t="inlineStr">
        <is>
          <t>RXH-0714-016 | omeprazole 20 mg capsule | profile=active | fill=filled | last_fill=2026-06-19 | Take 1 capsule by mouth daily | refills available</t>
        </is>
      </c>
      <c r="V24" s="4" t="inlineStr">
        <is>
          <t>2 row(s) | latest=2026-06-15 | status=filled | qty=30 | days=30</t>
        </is>
      </c>
      <c r="W24" s="4" t="inlineStr"/>
      <c r="X24" s="4" t="inlineStr"/>
      <c r="Y24" s="4" t="inlineStr"/>
      <c r="Z24" s="4" t="inlineStr"/>
      <c r="AA24" s="6" t="inlineStr"/>
    </row>
    <row r="25" ht="92" customHeight="1">
      <c r="A25" s="4" t="inlineStr">
        <is>
          <t>MED-022</t>
        </is>
      </c>
      <c r="B25" s="4" t="inlineStr">
        <is>
          <t>Atorvastatin 40 mg tablet</t>
        </is>
      </c>
      <c r="C25" s="4" t="inlineStr">
        <is>
          <t>atorvastatin 40 mg tablet; atorvastatin</t>
        </is>
      </c>
      <c r="D25" s="4" t="inlineStr">
        <is>
          <t>LOW</t>
        </is>
      </c>
      <c r="E25" s="4" t="inlineStr">
        <is>
          <t>NO OPEN ESCALATION</t>
        </is>
      </c>
      <c r="F25" s="4" t="inlineStr">
        <is>
          <t>Owen Laird, PharmD — Outpatient Pharmacy</t>
        </is>
      </c>
      <c r="G25" s="6" t="n">
        <v>46220</v>
      </c>
      <c r="H25" s="4" t="inlineStr">
        <is>
          <t>STOP</t>
        </is>
      </c>
      <c r="I25" s="7" t="inlineStr">
        <is>
          <t>RESOLVED</t>
        </is>
      </c>
      <c r="J25" s="4" t="inlineStr">
        <is>
          <t>NO</t>
        </is>
      </c>
      <c r="K25" s="4" t="inlineStr"/>
      <c r="L25" s="4" t="inlineStr">
        <is>
          <t>No action: pharmacy-profile row is inactive. Retain the source disposition for crosswalk/history; do not infer a treatment or fill decision.</t>
        </is>
      </c>
      <c r="M25" s="4" t="inlineStr">
        <is>
          <t>2026-06-13 — Latest dispense DISP-017-1: atorvastatin 40 mg tablet; filled; 30 units / 30 days
2026-07-10 08:12 — Admission ADM-0710-019 (ADM-V1): atorvastatin 40 mg tablet; active; Take 1 tablet by mouth nightly
2026-07-13 09:15 — Portal PTL-0713-016: atorvastatin; taking; Old med list still has this.
2026-07-13 16:40 — Final summary DCS-STOP-010: Stop atorvastatin 40 mg tablet; Stop at discharge
2026-07-14 22:20 — Pharmacy snapshot RXH-0714-017: atorvastatin 40 mg tablet; profile=inactive; fill=filled</t>
        </is>
      </c>
      <c r="N25" s="4" t="inlineStr">
        <is>
          <t>atorvastatin 40 mg tablet | Stop at discharge</t>
        </is>
      </c>
      <c r="O25" s="4" t="inlineStr">
        <is>
          <t>Pharmacy profile remains active despite stop/change to rosuvastatin.</t>
        </is>
      </c>
      <c r="P25" s="4" t="inlineStr">
        <is>
          <t>DCS-STOP-010 | Stop | atorvastatin 40 mg tablet | Stop at discharge | Use rosuvastatin order below.</t>
        </is>
      </c>
      <c r="Q25" s="4" t="inlineStr"/>
      <c r="R25" s="4" t="inlineStr"/>
      <c r="S25" s="4" t="inlineStr">
        <is>
          <t>ADM-0710-019 | ADM-V1 | atorvastatin 40 mg tablet | 40 mg | Take 1 tablet by mouth nightly | active | captured 2026-07-10 08:12</t>
        </is>
      </c>
      <c r="T25" s="4" t="inlineStr">
        <is>
          <t>PTL-0713-016 | atorvastatin | 40 mg | nightly | taking | Old med list still has this.</t>
        </is>
      </c>
      <c r="U25" s="4" t="inlineStr">
        <is>
          <t>RXH-0714-017 | atorvastatin 40 mg tablet | profile=inactive | fill=filled | last_fill=2026-06-16 | Take 1 tablet by mouth nightly | profile inactive after transition</t>
        </is>
      </c>
      <c r="V25" s="4" t="inlineStr">
        <is>
          <t>3 row(s) | latest=2026-06-13 | status=filled | qty=30 | days=30</t>
        </is>
      </c>
      <c r="W25" s="4" t="inlineStr"/>
      <c r="X25" s="4" t="inlineStr"/>
      <c r="Y25" s="4" t="inlineStr"/>
      <c r="Z25" s="4" t="inlineStr"/>
      <c r="AA25" s="6" t="inlineStr"/>
    </row>
    <row r="26" ht="92" customHeight="1">
      <c r="A26" s="4" t="inlineStr">
        <is>
          <t>MED-023</t>
        </is>
      </c>
      <c r="B26" s="4" t="inlineStr">
        <is>
          <t>Rosuvastatin 20 mg tablet</t>
        </is>
      </c>
      <c r="C26" s="4" t="inlineStr">
        <is>
          <t>rosuvastatin 20 mg tablet</t>
        </is>
      </c>
      <c r="D26" s="4" t="inlineStr">
        <is>
          <t>LOW</t>
        </is>
      </c>
      <c r="E26" s="4" t="inlineStr">
        <is>
          <t>NO OPEN ESCALATION</t>
        </is>
      </c>
      <c r="F26" s="4" t="inlineStr">
        <is>
          <t>Owen Laird, PharmD — Outpatient Pharmacy</t>
        </is>
      </c>
      <c r="G26" s="6" t="n">
        <v>46220</v>
      </c>
      <c r="H26" s="4" t="inlineStr">
        <is>
          <t>CHANGE</t>
        </is>
      </c>
      <c r="I26" s="7" t="inlineStr">
        <is>
          <t>RESOLVED</t>
        </is>
      </c>
      <c r="J26" s="4" t="inlineStr">
        <is>
          <t>NO</t>
        </is>
      </c>
      <c r="K26" s="4" t="inlineStr"/>
      <c r="L26" s="4" t="inlineStr">
        <is>
          <t>No action: no pharmacy-profile row exists for this identity. Retain the source disposition for crosswalk/history; route any signed order through normal intake.</t>
        </is>
      </c>
      <c r="M26" s="4" t="inlineStr">
        <is>
          <t>2026-07-13 16:40 — Final summary DCS-MED-012: Change rosuvastatin 20 mg tablet; Take 1 tablet by mouth nightly</t>
        </is>
      </c>
      <c r="N26" s="4" t="inlineStr">
        <is>
          <t>rosuvastatin 20 mg tablet | Take 1 tablet by mouth nightly</t>
        </is>
      </c>
      <c r="O26" s="4" t="inlineStr">
        <is>
          <t>New discharge medication is absent from latest pharmacy profile.</t>
        </is>
      </c>
      <c r="P26" s="4" t="inlineStr">
        <is>
          <t>DCS-MED-012 | Change | rosuvastatin 20 mg tablet | Take 1 tablet by mouth nightly | New discharge statin order; not a formulary substitution of atorvastatin.</t>
        </is>
      </c>
      <c r="Q26" s="4" t="inlineStr"/>
      <c r="R26" s="4" t="inlineStr"/>
      <c r="S26" s="4" t="inlineStr"/>
      <c r="T26" s="4" t="inlineStr"/>
      <c r="U26" s="4" t="inlineStr"/>
      <c r="V26" s="4" t="inlineStr"/>
      <c r="W26" s="4" t="inlineStr"/>
      <c r="X26" s="4" t="inlineStr"/>
      <c r="Y26" s="4" t="inlineStr"/>
      <c r="Z26" s="4" t="inlineStr"/>
      <c r="AA26" s="6" t="inlineStr"/>
    </row>
    <row r="27" ht="92" customHeight="1">
      <c r="A27" s="4" t="inlineStr">
        <is>
          <t>MED-024</t>
        </is>
      </c>
      <c r="B27" s="4" t="inlineStr">
        <is>
          <t>Levothyroxine 75 mcg tablet</t>
        </is>
      </c>
      <c r="C27" s="4" t="inlineStr">
        <is>
          <t>levothyroxine 75 mcg tablet; levothyroxine</t>
        </is>
      </c>
      <c r="D27" s="4" t="inlineStr">
        <is>
          <t>LOW</t>
        </is>
      </c>
      <c r="E27" s="4" t="inlineStr">
        <is>
          <t>NO OPEN ESCALATION</t>
        </is>
      </c>
      <c r="F27" s="4" t="inlineStr">
        <is>
          <t>Owen Laird, PharmD — Outpatient Pharmacy</t>
        </is>
      </c>
      <c r="G27" s="6" t="n">
        <v>46218</v>
      </c>
      <c r="H27" s="4" t="inlineStr">
        <is>
          <t>KEEP</t>
        </is>
      </c>
      <c r="I27" s="7" t="inlineStr">
        <is>
          <t>RESOLVED</t>
        </is>
      </c>
      <c r="J27" s="4" t="inlineStr">
        <is>
          <t>YES</t>
        </is>
      </c>
      <c r="K27" s="4" t="inlineStr">
        <is>
          <t>RELEASE</t>
        </is>
      </c>
      <c r="L27" s="4" t="inlineStr">
        <is>
          <t>Active profile row plus explicit KEEP in the final signed summary.</t>
        </is>
      </c>
      <c r="M27" s="4" t="inlineStr">
        <is>
          <t>2026-06-27 — Latest dispense DISP-018-1: levothyroxine 75 mcg tablet; filled; 90 units / 90 days
2026-07-11 17:45 — Admission ADM-0710-020 (ADM-V2): levothyroxine 75 mcg tablet; active; Take 1 tablet by mouth every morning
2026-07-13 09:15 — Portal PTL-0713-017: levothyroxine; taking; Takes before breakfast.
2026-07-13 16:40 — Final summary DCS-MED-013: Continue levothyroxine 75 mcg tablet; Take 1 tablet by mouth every morning
2026-07-14 22:20 — Pharmacy snapshot RXH-0714-018: levothyroxine 75 mcg tablet; profile=active; fill=filled</t>
        </is>
      </c>
      <c r="N27" s="4" t="inlineStr">
        <is>
          <t>levothyroxine 75 mcg tablet | Take 1 tablet by mouth every morning</t>
        </is>
      </c>
      <c r="O27" s="4" t="inlineStr"/>
      <c r="P27" s="4" t="inlineStr">
        <is>
          <t>DCS-MED-013 | Continue | levothyroxine 75 mcg tablet | Take 1 tablet by mouth every morning | Continue.</t>
        </is>
      </c>
      <c r="Q27" s="4" t="inlineStr"/>
      <c r="R27" s="4" t="inlineStr"/>
      <c r="S27" s="4" t="inlineStr">
        <is>
          <t>ADM-0710-020 | ADM-V2 | levothyroxine 75 mcg tablet | 75 mcg | Take 1 tablet by mouth every morning | active | captured 2026-07-11 17:45</t>
        </is>
      </c>
      <c r="T27" s="4" t="inlineStr">
        <is>
          <t>PTL-0713-017 | levothyroxine | 75 mcg | early morning | taking | Takes before breakfast.</t>
        </is>
      </c>
      <c r="U27" s="4" t="inlineStr">
        <is>
          <t>RXH-0714-018 | levothyroxine 75 mcg tablet | profile=active | fill=filled | last_fill=2026-06-29 | Take 1 tablet by mouth every morning | refills available</t>
        </is>
      </c>
      <c r="V27" s="4" t="inlineStr">
        <is>
          <t>2 row(s) | latest=2026-06-27 | status=filled | qty=90 | days=90</t>
        </is>
      </c>
      <c r="W27" s="4" t="inlineStr"/>
      <c r="X27" s="4" t="inlineStr"/>
      <c r="Y27" s="4" t="inlineStr"/>
      <c r="Z27" s="4" t="inlineStr"/>
      <c r="AA27" s="6" t="inlineStr"/>
    </row>
    <row r="28" ht="92" customHeight="1">
      <c r="A28" s="4" t="inlineStr">
        <is>
          <t>MED-025</t>
        </is>
      </c>
      <c r="B28" s="4" t="inlineStr">
        <is>
          <t>Sertraline 50 mg tablet</t>
        </is>
      </c>
      <c r="C28" s="4" t="inlineStr">
        <is>
          <t>sertraline 50 mg tablet; sertraline</t>
        </is>
      </c>
      <c r="D28" s="4" t="inlineStr">
        <is>
          <t>LOW</t>
        </is>
      </c>
      <c r="E28" s="4" t="inlineStr">
        <is>
          <t>NO OPEN ESCALATION</t>
        </is>
      </c>
      <c r="F28" s="4" t="inlineStr">
        <is>
          <t>Owen Laird, PharmD — Outpatient Pharmacy</t>
        </is>
      </c>
      <c r="G28" s="6" t="n">
        <v>46218</v>
      </c>
      <c r="H28" s="4" t="inlineStr">
        <is>
          <t>KEEP</t>
        </is>
      </c>
      <c r="I28" s="7" t="inlineStr">
        <is>
          <t>RESOLVED</t>
        </is>
      </c>
      <c r="J28" s="4" t="inlineStr">
        <is>
          <t>YES</t>
        </is>
      </c>
      <c r="K28" s="4" t="inlineStr">
        <is>
          <t>RELEASE</t>
        </is>
      </c>
      <c r="L28" s="4" t="inlineStr">
        <is>
          <t>Active profile row plus explicit KEEP in the final signed summary.</t>
        </is>
      </c>
      <c r="M28" s="4" t="inlineStr">
        <is>
          <t>2026-07-03 — Latest dispense DISP-019-1: sertraline 50 mg tablet; filled; 30 units / 30 days
2026-07-10 08:12 — Admission ADM-0710-021 (ADM-V1): sertraline 50 mg tablet; active; Take 1 tablet by mouth daily
2026-07-13 09:15 — Portal PTL-0713-018: sertraline; taking; No change reported.
2026-07-13 16:40 — Final summary DCS-MED-014: Continue sertraline 50 mg tablet; Take 1 tablet by mouth daily
2026-07-14 22:20 — Pharmacy snapshot RXH-0714-019: sertraline 50 mg tablet; profile=active; fill=filled</t>
        </is>
      </c>
      <c r="N28" s="4" t="inlineStr">
        <is>
          <t>sertraline 50 mg tablet | Take 1 tablet by mouth daily</t>
        </is>
      </c>
      <c r="O28" s="4" t="inlineStr"/>
      <c r="P28" s="4" t="inlineStr">
        <is>
          <t>DCS-MED-014 | Continue | sertraline 50 mg tablet | Take 1 tablet by mouth daily | Continue.</t>
        </is>
      </c>
      <c r="Q28" s="4" t="inlineStr"/>
      <c r="R28" s="4" t="inlineStr"/>
      <c r="S28" s="4" t="inlineStr">
        <is>
          <t>ADM-0710-021 | ADM-V1 | sertraline 50 mg tablet | 50 mg | Take 1 tablet by mouth daily | active | captured 2026-07-10 08:12</t>
        </is>
      </c>
      <c r="T28" s="4" t="inlineStr">
        <is>
          <t>PTL-0713-018 | sertraline | 50 mg | daily | taking | No change reported.</t>
        </is>
      </c>
      <c r="U28" s="4" t="inlineStr">
        <is>
          <t>RXH-0714-019 | sertraline 50 mg tablet | profile=active | fill=filled | last_fill=2026-07-03 | Take 1 tablet by mouth daily | refills available</t>
        </is>
      </c>
      <c r="V28" s="4" t="inlineStr">
        <is>
          <t>2 row(s) | latest=2026-07-03 | status=filled | qty=30 | days=30</t>
        </is>
      </c>
      <c r="W28" s="4" t="inlineStr"/>
      <c r="X28" s="4" t="inlineStr"/>
      <c r="Y28" s="4" t="inlineStr"/>
      <c r="Z28" s="4" t="inlineStr"/>
      <c r="AA28" s="6" t="inlineStr"/>
    </row>
    <row r="29" ht="92" customHeight="1">
      <c r="A29" s="4" t="inlineStr">
        <is>
          <t>MED-026</t>
        </is>
      </c>
      <c r="B29" s="4" t="inlineStr">
        <is>
          <t>Trazodone 50 mg tablet</t>
        </is>
      </c>
      <c r="C29" s="4" t="inlineStr">
        <is>
          <t>trazodone 50 mg tablet; trazodone</t>
        </is>
      </c>
      <c r="D29" s="4" t="inlineStr">
        <is>
          <t>LOW</t>
        </is>
      </c>
      <c r="E29" s="4" t="inlineStr">
        <is>
          <t>ACTIVE PROFILE — STOP ACTION</t>
        </is>
      </c>
      <c r="F29" s="4" t="inlineStr">
        <is>
          <t>Owen Laird, PharmD — Outpatient Pharmacy</t>
        </is>
      </c>
      <c r="G29" s="6" t="n">
        <v>46218</v>
      </c>
      <c r="H29" s="4" t="inlineStr">
        <is>
          <t>STOP</t>
        </is>
      </c>
      <c r="I29" s="7" t="inlineStr">
        <is>
          <t>RESOLVED</t>
        </is>
      </c>
      <c r="J29" s="4" t="inlineStr">
        <is>
          <t>YES</t>
        </is>
      </c>
      <c r="K29" s="4" t="inlineStr">
        <is>
          <t>STOP</t>
        </is>
      </c>
      <c r="L29" s="4" t="inlineStr">
        <is>
          <t>Active profile row plus explicit STOP in the final signed summary.</t>
        </is>
      </c>
      <c r="M29" s="4" t="inlineStr">
        <is>
          <t>2026-06-24 — Latest dispense DISP-020-1: trazodone 50 mg tablet; filled; 30 units / 30 days
2026-07-10 08:12 — Admission ADM-0710-022 (ADM-V1): trazodone 50 mg tablet; active PRN; Take 1 tablet by mouth at bedtime as needed
2026-07-13 09:15 — Portal PTL-0713-019: trazodone; taking as needed; Uses a few nights each week.
2026-07-13 16:40 — Final summary DCS-STOP-011: Stop trazodone 50 mg tablet; Stop at discharge
2026-07-14 22:20 — Pharmacy snapshot RXH-0714-020: trazodone 50 mg tablet; profile=active; fill=filled</t>
        </is>
      </c>
      <c r="N29" s="4" t="inlineStr">
        <is>
          <t>trazodone 50 mg tablet | Stop at discharge</t>
        </is>
      </c>
      <c r="O29" s="4" t="inlineStr">
        <is>
          <t>Pharmacy profile remains active despite explicit discharge stop.</t>
        </is>
      </c>
      <c r="P29" s="4" t="inlineStr">
        <is>
          <t>DCS-STOP-011 | Stop | trazodone 50 mg tablet | Stop at discharge | No active outpatient order after transition.</t>
        </is>
      </c>
      <c r="Q29" s="4" t="inlineStr"/>
      <c r="R29" s="4" t="inlineStr"/>
      <c r="S29" s="4" t="inlineStr">
        <is>
          <t>ADM-0710-022 | ADM-V1 | trazodone 50 mg tablet | 50 mg | Take 1 tablet by mouth at bedtime as needed | active PRN | captured 2026-07-10 08:12</t>
        </is>
      </c>
      <c r="T29" s="4" t="inlineStr">
        <is>
          <t>PTL-0713-019 | trazodone | 50 mg | at bedtime if needed | taking as needed | Uses a few nights each week.</t>
        </is>
      </c>
      <c r="U29" s="4" t="inlineStr">
        <is>
          <t>RXH-0714-020 | trazodone 50 mg tablet | profile=active | fill=filled | last_fill=2026-06-28 | Take 1 tablet by mouth at bedtime as needed | refills available</t>
        </is>
      </c>
      <c r="V29" s="4" t="inlineStr">
        <is>
          <t>3 row(s) | latest=2026-06-24 | status=filled | qty=30 | days=30</t>
        </is>
      </c>
      <c r="W29" s="4" t="inlineStr"/>
      <c r="X29" s="4" t="inlineStr"/>
      <c r="Y29" s="4" t="inlineStr"/>
      <c r="Z29" s="4" t="inlineStr"/>
      <c r="AA29" s="6" t="inlineStr"/>
    </row>
    <row r="30" ht="92" customHeight="1">
      <c r="A30" s="4" t="inlineStr">
        <is>
          <t>MED-027</t>
        </is>
      </c>
      <c r="B30" s="4" t="inlineStr">
        <is>
          <t>Vitamin D3 2,000 unit capsule</t>
        </is>
      </c>
      <c r="C30" s="4" t="inlineStr">
        <is>
          <t>vitamin D3 2,000 unit capsule; vitamin D</t>
        </is>
      </c>
      <c r="D30" s="4" t="inlineStr">
        <is>
          <t>LOW</t>
        </is>
      </c>
      <c r="E30" s="4" t="inlineStr">
        <is>
          <t>NO OPEN ESCALATION</t>
        </is>
      </c>
      <c r="F30" s="4" t="inlineStr">
        <is>
          <t>Owen Laird, PharmD — Outpatient Pharmacy</t>
        </is>
      </c>
      <c r="G30" s="6" t="n">
        <v>46220</v>
      </c>
      <c r="H30" s="4" t="inlineStr">
        <is>
          <t>KEEP</t>
        </is>
      </c>
      <c r="I30" s="7" t="inlineStr">
        <is>
          <t>RESOLVED</t>
        </is>
      </c>
      <c r="J30" s="4" t="inlineStr">
        <is>
          <t>NO</t>
        </is>
      </c>
      <c r="K30" s="4" t="inlineStr"/>
      <c r="L30" s="4" t="inlineStr">
        <is>
          <t>No action: no pharmacy-profile row exists for this identity. Retain the source disposition for crosswalk/history; route any signed order through normal intake.</t>
        </is>
      </c>
      <c r="M30" s="4" t="inlineStr">
        <is>
          <t>2026-07-10 08:12 — Admission ADM-0710-023 (ADM-V1): vitamin D3 2,000 unit capsule; active OTC; Take 1 capsule by mouth daily
2026-07-13 09:15 — Portal PTL-0713-020: vitamin D; taking; OTC supplement.
2026-07-13 16:40 — Final summary DCS-MED-015: Continue vitamin D3 2,000 unit capsule; Take 1 capsule by mouth daily</t>
        </is>
      </c>
      <c r="N30" s="4" t="inlineStr">
        <is>
          <t>vitamin D3 2,000 unit capsule | Take 1 capsule by mouth daily</t>
        </is>
      </c>
      <c r="O30" s="4" t="inlineStr"/>
      <c r="P30" s="4" t="inlineStr">
        <is>
          <t>DCS-MED-015 | Continue | vitamin D3 2,000 unit capsule | Take 1 capsule by mouth daily | Continue.</t>
        </is>
      </c>
      <c r="Q30" s="4" t="inlineStr"/>
      <c r="R30" s="4" t="inlineStr"/>
      <c r="S30" s="4" t="inlineStr">
        <is>
          <t>ADM-0710-023 | ADM-V1 | vitamin D3 2,000 unit capsule | 2,000 units | Take 1 capsule by mouth daily | active OTC | captured 2026-07-10 08:12</t>
        </is>
      </c>
      <c r="T30" s="4" t="inlineStr">
        <is>
          <t>PTL-0713-020 | vitamin D | 2000 IU | daily | taking | OTC supplement.</t>
        </is>
      </c>
      <c r="U30" s="4" t="inlineStr"/>
      <c r="V30" s="4" t="inlineStr"/>
      <c r="W30" s="4" t="inlineStr"/>
      <c r="X30" s="4" t="inlineStr"/>
      <c r="Y30" s="4" t="inlineStr"/>
      <c r="Z30" s="4" t="inlineStr"/>
      <c r="AA30" s="6" t="inlineStr"/>
    </row>
    <row r="31" ht="92" customHeight="1">
      <c r="A31" s="4" t="inlineStr">
        <is>
          <t>MED-028</t>
        </is>
      </c>
      <c r="B31" s="4" t="inlineStr">
        <is>
          <t>Fish oil 1,000 mg capsule</t>
        </is>
      </c>
      <c r="C31" s="4" t="inlineStr">
        <is>
          <t>fish oil; fish oil 1,000 mg capsule</t>
        </is>
      </c>
      <c r="D31" s="4" t="inlineStr">
        <is>
          <t>LOW</t>
        </is>
      </c>
      <c r="E31" s="4" t="inlineStr">
        <is>
          <t>NO OPEN ESCALATION</t>
        </is>
      </c>
      <c r="F31" s="4" t="inlineStr">
        <is>
          <t>Owen Laird, PharmD — Outpatient Pharmacy</t>
        </is>
      </c>
      <c r="G31" s="6" t="n">
        <v>46220</v>
      </c>
      <c r="H31" s="4" t="inlineStr">
        <is>
          <t>STOP</t>
        </is>
      </c>
      <c r="I31" s="7" t="inlineStr">
        <is>
          <t>RESOLVED</t>
        </is>
      </c>
      <c r="J31" s="4" t="inlineStr">
        <is>
          <t>NO</t>
        </is>
      </c>
      <c r="K31" s="4" t="inlineStr"/>
      <c r="L31" s="4" t="inlineStr">
        <is>
          <t>No action: no pharmacy-profile row exists for this identity. Retain the source disposition for crosswalk/history; route any signed order through normal intake.</t>
        </is>
      </c>
      <c r="M31" s="4" t="inlineStr">
        <is>
          <t>2026-07-13 09:15 — Portal PTL-0713-021: fish oil; taking; Patient reported supplement.
2026-07-13 16:40 — Final summary DCS-STOP-012: Stop fish oil 1,000 mg capsule; Stop at discharge</t>
        </is>
      </c>
      <c r="N31" s="4" t="inlineStr">
        <is>
          <t>fish oil 1,000 mg capsule | Stop at discharge</t>
        </is>
      </c>
      <c r="O31" s="4" t="inlineStr"/>
      <c r="P31" s="4" t="inlineStr">
        <is>
          <t>DCS-STOP-012 | Stop | fish oil 1,000 mg capsule | Stop at discharge | Nonessential supplement not continued.</t>
        </is>
      </c>
      <c r="Q31" s="4" t="inlineStr"/>
      <c r="R31" s="4" t="inlineStr"/>
      <c r="S31" s="4" t="inlineStr"/>
      <c r="T31" s="4" t="inlineStr">
        <is>
          <t>PTL-0713-021 | fish oil | 1,000 mg | daily | taking | Patient reported supplement.</t>
        </is>
      </c>
      <c r="U31" s="4" t="inlineStr"/>
      <c r="V31" s="4" t="inlineStr"/>
      <c r="W31" s="4" t="inlineStr"/>
      <c r="X31" s="4" t="inlineStr"/>
      <c r="Y31" s="4" t="inlineStr"/>
      <c r="Z31" s="4" t="inlineStr"/>
      <c r="AA31" s="6" t="inlineStr"/>
    </row>
    <row r="32" ht="92" customHeight="1">
      <c r="A32" s="4" t="inlineStr">
        <is>
          <t>MED-029</t>
        </is>
      </c>
      <c r="B32" s="4" t="inlineStr">
        <is>
          <t>Multivitamin tablet</t>
        </is>
      </c>
      <c r="C32" s="4" t="inlineStr">
        <is>
          <t>multivitamin tablet; multivitamin</t>
        </is>
      </c>
      <c r="D32" s="4" t="inlineStr">
        <is>
          <t>LOW</t>
        </is>
      </c>
      <c r="E32" s="4" t="inlineStr">
        <is>
          <t>NO OPEN ESCALATION</t>
        </is>
      </c>
      <c r="F32" s="4" t="inlineStr">
        <is>
          <t>Owen Laird, PharmD — Outpatient Pharmacy</t>
        </is>
      </c>
      <c r="G32" s="6" t="n">
        <v>46220</v>
      </c>
      <c r="H32" s="4" t="inlineStr">
        <is>
          <t>KEEP</t>
        </is>
      </c>
      <c r="I32" s="7" t="inlineStr">
        <is>
          <t>RESOLVED</t>
        </is>
      </c>
      <c r="J32" s="4" t="inlineStr">
        <is>
          <t>NO</t>
        </is>
      </c>
      <c r="K32" s="4" t="inlineStr"/>
      <c r="L32" s="4" t="inlineStr">
        <is>
          <t>No action: no pharmacy-profile row exists for this identity. Retain the source disposition for crosswalk/history; route any signed order through normal intake.</t>
        </is>
      </c>
      <c r="M32" s="4" t="inlineStr">
        <is>
          <t>2026-07-11 17:45 — Admission ADM-0710-024 (ADM-V2): multivitamin tablet; active OTC; Take 1 tablet by mouth daily
2026-07-13 09:15 — Portal PTL-0713-022: multivitamin; taking; OTC.
2026-07-13 16:40 — Final summary DCS-MED-016: Continue multivitamin tablet; Take 1 tablet by mouth daily</t>
        </is>
      </c>
      <c r="N32" s="4" t="inlineStr">
        <is>
          <t>multivitamin tablet | Take 1 tablet by mouth daily</t>
        </is>
      </c>
      <c r="O32" s="4" t="inlineStr"/>
      <c r="P32" s="4" t="inlineStr">
        <is>
          <t>DCS-MED-016 | Continue | multivitamin tablet | Take 1 tablet by mouth daily | Continue.</t>
        </is>
      </c>
      <c r="Q32" s="4" t="inlineStr"/>
      <c r="R32" s="4" t="inlineStr"/>
      <c r="S32" s="4" t="inlineStr">
        <is>
          <t>ADM-0710-024 | ADM-V2 | multivitamin tablet | 1 tablet | Take 1 tablet by mouth daily | active OTC | captured 2026-07-11 17:45</t>
        </is>
      </c>
      <c r="T32" s="4" t="inlineStr">
        <is>
          <t>PTL-0713-022 | multivitamin | 1 tablet | daily | taking | OTC.</t>
        </is>
      </c>
      <c r="U32" s="4" t="inlineStr"/>
      <c r="V32" s="4" t="inlineStr"/>
      <c r="W32" s="4" t="inlineStr"/>
      <c r="X32" s="4" t="inlineStr"/>
      <c r="Y32" s="4" t="inlineStr"/>
      <c r="Z32" s="4" t="inlineStr"/>
      <c r="AA32" s="6" t="inlineStr"/>
    </row>
    <row r="33" ht="92" customHeight="1">
      <c r="A33" s="4" t="inlineStr">
        <is>
          <t>MED-030</t>
        </is>
      </c>
      <c r="B33" s="4" t="inlineStr">
        <is>
          <t>Docusate 100 mg capsule</t>
        </is>
      </c>
      <c r="C33" s="4" t="inlineStr">
        <is>
          <t>docusate 100 mg capsule; docusate</t>
        </is>
      </c>
      <c r="D33" s="4" t="inlineStr">
        <is>
          <t>LOW</t>
        </is>
      </c>
      <c r="E33" s="4" t="inlineStr">
        <is>
          <t>NO OPEN ESCALATION</t>
        </is>
      </c>
      <c r="F33" s="4" t="inlineStr">
        <is>
          <t>Owen Laird, PharmD — Outpatient Pharmacy</t>
        </is>
      </c>
      <c r="G33" s="6" t="n">
        <v>46220</v>
      </c>
      <c r="H33" s="4" t="inlineStr">
        <is>
          <t>STOP</t>
        </is>
      </c>
      <c r="I33" s="7" t="inlineStr">
        <is>
          <t>RESOLVED</t>
        </is>
      </c>
      <c r="J33" s="4" t="inlineStr">
        <is>
          <t>NO</t>
        </is>
      </c>
      <c r="K33" s="4" t="inlineStr"/>
      <c r="L33" s="4" t="inlineStr">
        <is>
          <t>No action: pharmacy-profile row is inactive. Retain the source disposition for crosswalk/history; do not infer a treatment or fill decision.</t>
        </is>
      </c>
      <c r="M33" s="4" t="inlineStr">
        <is>
          <t>2026-05-30 — Latest dispense DISP-021-1: docusate 100 mg capsule; filled; 60 units / 30 days
2026-07-10 08:12 — Admission ADM-0710-025 (ADM-V1): docusate 100 mg capsule; active PRN; Take 1 capsule by mouth twice daily
2026-07-13 09:15 — Portal PTL-0713-023: docusate; taking; Keeps with other bottles.
2026-07-13 16:40 — Final summary DCS-STOP-013: Stop docusate 100 mg capsule; Stop at discharge
2026-07-14 22:20 — Pharmacy snapshot RXH-0714-021: docusate 100 mg capsule; profile=inactive; fill=filled</t>
        </is>
      </c>
      <c r="N33" s="4" t="inlineStr">
        <is>
          <t>docusate 100 mg capsule | Stop at discharge</t>
        </is>
      </c>
      <c r="O33" s="4" t="inlineStr"/>
      <c r="P33" s="4" t="inlineStr">
        <is>
          <t>DCS-STOP-013 | Stop | docusate 100 mg capsule | Stop at discharge | Use senna order if needed.</t>
        </is>
      </c>
      <c r="Q33" s="4" t="inlineStr"/>
      <c r="R33" s="4" t="inlineStr"/>
      <c r="S33" s="4" t="inlineStr">
        <is>
          <t>ADM-0710-025 | ADM-V1 | docusate 100 mg capsule | 100 mg | Take 1 capsule by mouth twice daily | active PRN | captured 2026-07-10 08:12</t>
        </is>
      </c>
      <c r="T33" s="4" t="inlineStr">
        <is>
          <t>PTL-0713-023 | docusate | 100 mg | twice daily | taking | Keeps with other bottles.</t>
        </is>
      </c>
      <c r="U33" s="4" t="inlineStr">
        <is>
          <t>RXH-0714-021 | docusate 100 mg capsule | profile=inactive | fill=filled | last_fill=2026-06-01 | Take 1 capsule by mouth twice daily | profile inactive after transition</t>
        </is>
      </c>
      <c r="V33" s="4" t="inlineStr">
        <is>
          <t>3 row(s) | latest=2026-05-30 | status=filled | qty=60 | days=30</t>
        </is>
      </c>
      <c r="W33" s="4" t="inlineStr"/>
      <c r="X33" s="4" t="inlineStr"/>
      <c r="Y33" s="4" t="inlineStr"/>
      <c r="Z33" s="4" t="inlineStr"/>
      <c r="AA33" s="6" t="inlineStr"/>
    </row>
    <row r="34" ht="92" customHeight="1">
      <c r="A34" s="4" t="inlineStr">
        <is>
          <t>MED-031</t>
        </is>
      </c>
      <c r="B34" s="4" t="inlineStr">
        <is>
          <t>Senna 8.6 mg tablet</t>
        </is>
      </c>
      <c r="C34" s="4" t="inlineStr">
        <is>
          <t>senna 8.6 mg tablet</t>
        </is>
      </c>
      <c r="D34" s="4" t="inlineStr">
        <is>
          <t>LOW</t>
        </is>
      </c>
      <c r="E34" s="4" t="inlineStr">
        <is>
          <t>NO OPEN ESCALATION</t>
        </is>
      </c>
      <c r="F34" s="4" t="inlineStr">
        <is>
          <t>Owen Laird, PharmD — Outpatient Pharmacy</t>
        </is>
      </c>
      <c r="G34" s="6" t="n">
        <v>46220</v>
      </c>
      <c r="H34" s="4" t="inlineStr">
        <is>
          <t>KEEP</t>
        </is>
      </c>
      <c r="I34" s="7" t="inlineStr">
        <is>
          <t>RESOLVED</t>
        </is>
      </c>
      <c r="J34" s="4" t="inlineStr">
        <is>
          <t>NO</t>
        </is>
      </c>
      <c r="K34" s="4" t="inlineStr"/>
      <c r="L34" s="4" t="inlineStr">
        <is>
          <t>No action: no pharmacy-profile row exists for this identity. Retain the source disposition for crosswalk/history; route any signed order through normal intake.</t>
        </is>
      </c>
      <c r="M34" s="4" t="inlineStr">
        <is>
          <t>2026-07-13 16:40 — Final summary DCS-MED-017: Continue senna 8.6 mg tablet; Take 1 tablet by mouth nightly</t>
        </is>
      </c>
      <c r="N34" s="4" t="inlineStr">
        <is>
          <t>senna 8.6 mg tablet | Take 1 tablet by mouth nightly</t>
        </is>
      </c>
      <c r="O34" s="4" t="inlineStr">
        <is>
          <t>New discharge bowel regimen is absent from latest pharmacy profile.</t>
        </is>
      </c>
      <c r="P34" s="4" t="inlineStr">
        <is>
          <t>DCS-MED-017 | Continue | senna 8.6 mg tablet | Take 1 tablet by mouth nightly | New discharge bowel regimen.</t>
        </is>
      </c>
      <c r="Q34" s="4" t="inlineStr"/>
      <c r="R34" s="4" t="inlineStr"/>
      <c r="S34" s="4" t="inlineStr"/>
      <c r="T34" s="4" t="inlineStr"/>
      <c r="U34" s="4" t="inlineStr"/>
      <c r="V34" s="4" t="inlineStr"/>
      <c r="W34" s="4" t="inlineStr"/>
      <c r="X34" s="4" t="inlineStr"/>
      <c r="Y34" s="4" t="inlineStr"/>
      <c r="Z34" s="4" t="inlineStr"/>
      <c r="AA34" s="6" t="inlineStr"/>
    </row>
    <row r="35" ht="92" customHeight="1">
      <c r="A35" s="4" t="inlineStr">
        <is>
          <t>MED-032</t>
        </is>
      </c>
      <c r="B35" s="4" t="inlineStr">
        <is>
          <t>Oxycodone 5 mg tablet</t>
        </is>
      </c>
      <c r="C35" s="4" t="inlineStr">
        <is>
          <t>oxycodone 5 mg tablet; oxycodone</t>
        </is>
      </c>
      <c r="D35" s="5" t="inlineStr">
        <is>
          <t>HIGH</t>
        </is>
      </c>
      <c r="E35" s="4" t="inlineStr">
        <is>
          <t>HIGH-RISK REVIEW</t>
        </is>
      </c>
      <c r="F35" s="4" t="inlineStr">
        <is>
          <t>Owen Laird, PharmD — Outpatient Pharmacy</t>
        </is>
      </c>
      <c r="G35" s="6" t="n">
        <v>46218</v>
      </c>
      <c r="H35" s="4" t="inlineStr">
        <is>
          <t>STOP</t>
        </is>
      </c>
      <c r="I35" s="7" t="inlineStr">
        <is>
          <t>RESOLVED</t>
        </is>
      </c>
      <c r="J35" s="4" t="inlineStr">
        <is>
          <t>NO</t>
        </is>
      </c>
      <c r="K35" s="4" t="inlineStr"/>
      <c r="L35" s="4" t="inlineStr">
        <is>
          <t>No action: pharmacy-profile row is inactive. Retain the source disposition for crosswalk/history; do not infer a treatment or fill decision.</t>
        </is>
      </c>
      <c r="M35" s="4" t="inlineStr">
        <is>
          <t>2026-06-25 — Latest dispense DISP-022-1: oxycodone 5 mg tablet; filled; 20 units / 5 days
2026-07-10 08:12 — Admission ADM-0710-026 (ADM-V1): oxycodone 5 mg tablet; old acute fill; Take 1 tablet every 6 hours as needed
2026-07-13 09:15 — Portal PTL-0713-024: oxycodone; has supply; Leftover from procedure.
2026-07-13 16:40 — Final summary DCS-STOP-014: Stop oxycodone 5 mg tablet; Stop at discharge
2026-07-14 22:20 — Pharmacy snapshot RXH-0714-022: oxycodone 5 mg tablet; profile=inactive; fill=filled</t>
        </is>
      </c>
      <c r="N35" s="4" t="inlineStr">
        <is>
          <t>oxycodone 5 mg tablet | Stop at discharge</t>
        </is>
      </c>
      <c r="O35" s="4" t="inlineStr"/>
      <c r="P35" s="4" t="inlineStr">
        <is>
          <t>DCS-STOP-014 | Stop | oxycodone 5 mg tablet | Stop at discharge | No active opioid order after transition.</t>
        </is>
      </c>
      <c r="Q35" s="4" t="inlineStr"/>
      <c r="R35" s="4" t="inlineStr"/>
      <c r="S35" s="4" t="inlineStr">
        <is>
          <t>ADM-0710-026 | ADM-V1 | oxycodone 5 mg tablet | 5 mg | Take 1 tablet every 6 hours as needed | old acute fill | captured 2026-07-10 08:12</t>
        </is>
      </c>
      <c r="T35" s="4" t="inlineStr">
        <is>
          <t>PTL-0713-024 | oxycodone | 5 mg | only if pain is bad | has supply | Leftover from procedure.</t>
        </is>
      </c>
      <c r="U35" s="4" t="inlineStr">
        <is>
          <t>RXH-0714-022 | oxycodone 5 mg tablet | profile=inactive | fill=filled | last_fill=2026-06-25 | Take 1 tablet every 6 hours as needed | profile inactive after transition</t>
        </is>
      </c>
      <c r="V35" s="4" t="inlineStr">
        <is>
          <t>2 row(s) | latest=2026-06-25 | status=filled | qty=20 | days=5</t>
        </is>
      </c>
      <c r="W35" s="4" t="inlineStr"/>
      <c r="X35" s="4" t="inlineStr"/>
      <c r="Y35" s="4" t="inlineStr"/>
      <c r="Z35" s="4" t="inlineStr"/>
      <c r="AA35" s="6" t="inlineStr"/>
    </row>
    <row r="36" ht="92" customHeight="1">
      <c r="A36" s="4" t="inlineStr">
        <is>
          <t>MED-033</t>
        </is>
      </c>
      <c r="B36" s="4" t="inlineStr">
        <is>
          <t>Gabapentin 300 mg capsule</t>
        </is>
      </c>
      <c r="C36" s="4" t="inlineStr">
        <is>
          <t>gabapentin 300 mg capsule; gabapentin</t>
        </is>
      </c>
      <c r="D36" s="4" t="inlineStr">
        <is>
          <t>LOW</t>
        </is>
      </c>
      <c r="E36" s="4" t="inlineStr">
        <is>
          <t>NO OPEN ESCALATION</t>
        </is>
      </c>
      <c r="F36" s="4" t="inlineStr">
        <is>
          <t>Owen Laird, PharmD — Outpatient Pharmacy</t>
        </is>
      </c>
      <c r="G36" s="6" t="n">
        <v>46218</v>
      </c>
      <c r="H36" s="4" t="inlineStr">
        <is>
          <t>KEEP</t>
        </is>
      </c>
      <c r="I36" s="7" t="inlineStr">
        <is>
          <t>RESOLVED</t>
        </is>
      </c>
      <c r="J36" s="4" t="inlineStr">
        <is>
          <t>YES</t>
        </is>
      </c>
      <c r="K36" s="4" t="inlineStr">
        <is>
          <t>RELEASE</t>
        </is>
      </c>
      <c r="L36" s="4" t="inlineStr">
        <is>
          <t>Active profile row plus explicit KEEP in the final signed summary.</t>
        </is>
      </c>
      <c r="M36" s="4" t="inlineStr">
        <is>
          <t>2026-07-04 — Latest dispense DISP-023-1: gabapentin 300 mg capsule; filled; 90 units / 30 days
2026-07-10 08:12 — Admission ADM-0710-027 (ADM-V1): gabapentin 300 mg capsule; active; Take 1 capsule by mouth three times daily
2026-07-13 09:15 — Portal PTL-0713-025: gabapentin; taking; No change reported.
2026-07-13 16:40 — Final summary DCS-MED-018: Continue gabapentin 300 mg capsule; Take 1 capsule by mouth three times daily
2026-07-14 22:20 — Pharmacy snapshot RXH-0714-023: gabapentin 300 mg capsule; profile=active; fill=filled</t>
        </is>
      </c>
      <c r="N36" s="4" t="inlineStr">
        <is>
          <t>gabapentin 300 mg capsule | Take 1 capsule by mouth three times daily</t>
        </is>
      </c>
      <c r="O36" s="4" t="inlineStr"/>
      <c r="P36" s="4" t="inlineStr">
        <is>
          <t>DCS-MED-018 | Continue | gabapentin 300 mg capsule | Take 1 capsule by mouth three times daily | Continue.</t>
        </is>
      </c>
      <c r="Q36" s="4" t="inlineStr"/>
      <c r="R36" s="4" t="inlineStr"/>
      <c r="S36" s="4" t="inlineStr">
        <is>
          <t>ADM-0710-027 | ADM-V1 | gabapentin 300 mg capsule | 300 mg | Take 1 capsule by mouth three times daily | active | captured 2026-07-10 08:12</t>
        </is>
      </c>
      <c r="T36" s="4" t="inlineStr">
        <is>
          <t>PTL-0713-025 | gabapentin | 300 mg | three times a day | taking | No change reported.</t>
        </is>
      </c>
      <c r="U36" s="4" t="inlineStr">
        <is>
          <t>RXH-0714-023 | gabapentin 300 mg capsule | profile=active | fill=filled | last_fill=2026-07-04 | Take 1 capsule by mouth three times daily | refills available</t>
        </is>
      </c>
      <c r="V36" s="4" t="inlineStr">
        <is>
          <t>3 row(s) | latest=2026-07-04 | status=filled | qty=90 | days=30</t>
        </is>
      </c>
      <c r="W36" s="4" t="inlineStr"/>
      <c r="X36" s="4" t="inlineStr"/>
      <c r="Y36" s="4" t="inlineStr"/>
      <c r="Z36" s="4" t="inlineStr"/>
      <c r="AA36" s="6" t="inlineStr"/>
    </row>
    <row r="37" ht="92" customHeight="1">
      <c r="A37" s="4" t="inlineStr">
        <is>
          <t>MED-034</t>
        </is>
      </c>
      <c r="B37" s="4" t="inlineStr">
        <is>
          <t>Nitroglycerin 0.4 mg SL tablet</t>
        </is>
      </c>
      <c r="C37" s="4" t="inlineStr">
        <is>
          <t>nitroglycerin 0.4 mg sublingual tablet; nitro tabs; nitroglycerin 0.4 mg SL tablet</t>
        </is>
      </c>
      <c r="D37" s="4" t="inlineStr">
        <is>
          <t>MED</t>
        </is>
      </c>
      <c r="E37" s="4" t="inlineStr">
        <is>
          <t>MED-RISK REVIEW</t>
        </is>
      </c>
      <c r="F37" s="4" t="inlineStr">
        <is>
          <t>Owen Laird, PharmD — Outpatient Pharmacy</t>
        </is>
      </c>
      <c r="G37" s="6" t="n">
        <v>46218</v>
      </c>
      <c r="H37" s="4" t="inlineStr">
        <is>
          <t>KEEP</t>
        </is>
      </c>
      <c r="I37" s="7" t="inlineStr">
        <is>
          <t>RESOLVED</t>
        </is>
      </c>
      <c r="J37" s="4" t="inlineStr">
        <is>
          <t>YES</t>
        </is>
      </c>
      <c r="K37" s="4" t="inlineStr">
        <is>
          <t>RELEASE</t>
        </is>
      </c>
      <c r="L37" s="4" t="inlineStr">
        <is>
          <t>Active profile row plus explicit KEEP in the final signed summary.</t>
        </is>
      </c>
      <c r="M37" s="4" t="inlineStr">
        <is>
          <t>2026-05-15 — Latest dispense DISP-024-1: nitroglycerin 0.4 mg SL tablet; filled; 25 units / 30 days
2026-07-11 17:45 — Admission ADM-0710-028 (ADM-V2): nitroglycerin 0.4 mg sublingual tablet; active PRN; Dissolve 1 tablet under tongue as needed
2026-07-13 09:15 — Portal PTL-0713-026: nitro tabs; taking as needed; Bottle is old but carried.
2026-07-13 16:40 — Final summary DCS-MED-019: Continue nitroglycerin 0.4 mg SL tablet; Dissolve 1 tablet under tongue as needed per label
2026-07-14 22:20 — Pharmacy snapshot RXH-0714-024: nitroglycerin 0.4 mg SL tablet; profile=active; fill=filled</t>
        </is>
      </c>
      <c r="N37" s="4" t="inlineStr">
        <is>
          <t>nitroglycerin 0.4 mg SL tablet | Dissolve 1 tablet under tongue as needed per label</t>
        </is>
      </c>
      <c r="O37" s="4" t="inlineStr"/>
      <c r="P37" s="4" t="inlineStr">
        <is>
          <t>DCS-MED-019 | Continue | nitroglycerin 0.4 mg SL tablet | Dissolve 1 tablet under tongue as needed per label | Continue PRN medication.</t>
        </is>
      </c>
      <c r="Q37" s="4" t="inlineStr"/>
      <c r="R37" s="4" t="inlineStr"/>
      <c r="S37" s="4" t="inlineStr">
        <is>
          <t>ADM-0710-028 | ADM-V2 | nitroglycerin 0.4 mg sublingual tablet | 0.4 mg | Dissolve 1 tablet under tongue as needed | active PRN | captured 2026-07-11 17:45</t>
        </is>
      </c>
      <c r="T37" s="4" t="inlineStr">
        <is>
          <t>PTL-0713-026 | nitro tabs | 0.4 mg | under tongue if chest pain | taking as needed | Bottle is old but carried.</t>
        </is>
      </c>
      <c r="U37" s="4" t="inlineStr">
        <is>
          <t>RXH-0714-024 | nitroglycerin 0.4 mg SL tablet | profile=active | fill=filled | last_fill=2026-05-17 | Dissolve 1 tablet under tongue as needed | refills available</t>
        </is>
      </c>
      <c r="V37" s="4" t="inlineStr">
        <is>
          <t>3 row(s) | latest=2026-05-15 | status=filled | qty=25 | days=30</t>
        </is>
      </c>
      <c r="W37" s="4" t="inlineStr"/>
      <c r="X37" s="4" t="inlineStr"/>
      <c r="Y37" s="4" t="inlineStr"/>
      <c r="Z37" s="4" t="inlineStr"/>
      <c r="AA37" s="6" t="inlineStr"/>
    </row>
    <row r="38" ht="92" customHeight="1">
      <c r="A38" s="8" t="inlineStr">
        <is>
          <t>MED-035</t>
        </is>
      </c>
      <c r="B38" s="8" t="inlineStr">
        <is>
          <t>Magnesium oxide 400 mg tablet</t>
        </is>
      </c>
      <c r="C38" s="8" t="inlineStr">
        <is>
          <t>magnesium oxide 400 mg tablet; magnesium oxide</t>
        </is>
      </c>
      <c r="D38" s="8" t="inlineStr">
        <is>
          <t>MED</t>
        </is>
      </c>
      <c r="E38" s="8" t="inlineStr">
        <is>
          <t>OPEN ESCALATION</t>
        </is>
      </c>
      <c r="F38" s="8" t="inlineStr">
        <is>
          <t>Owen Laird, PharmD — route to Discharging Service</t>
        </is>
      </c>
      <c r="G38" s="9" t="n">
        <v>46218</v>
      </c>
      <c r="H38" s="8" t="inlineStr">
        <is>
          <t>CLARIFY</t>
        </is>
      </c>
      <c r="I38" s="8" t="inlineStr">
        <is>
          <t>OPEN</t>
        </is>
      </c>
      <c r="J38" s="8" t="inlineStr">
        <is>
          <t>YES</t>
        </is>
      </c>
      <c r="K38" s="8" t="inlineStr">
        <is>
          <t>CLARIFY</t>
        </is>
      </c>
      <c r="L38" s="8" t="inlineStr">
        <is>
          <t>CLARIFY: final summary is silent; discharging-service answer is still requested.</t>
        </is>
      </c>
      <c r="M38" s="8" t="inlineStr">
        <is>
          <t>2026-06-19 — Latest dispense DISP-025-1: magnesium oxide 400 mg tablet; filled; 30 units / 30 days
2026-07-10 08:12 — Admission ADM-0710-029 (ADM-V1): magnesium oxide 400 mg tablet; active at admission; Take 1 tablet by mouth daily
2026-07-13 09:15 — Portal PTL-0713-027: magnesium oxide; taking; Patient says it was added after cramps.
2026-07-14 08:24 — Queue RCQ-7737: ask discharging service; open/current
2026-07-14 15:10 — Prescriber clarification: Needs an answer from discharging service.
2026-07-14 22:20 — Pharmacy snapshot RXH-0714-038: magnesium oxide 400 mg tablet; profile=active; fill=filled</t>
        </is>
      </c>
      <c r="N38" s="8" t="inlineStr"/>
      <c r="O38" s="8" t="inlineStr">
        <is>
          <t>Final summary silent; obtain discharging-service decision.</t>
        </is>
      </c>
      <c r="P38" s="8" t="inlineStr"/>
      <c r="Q38" s="8" t="inlineStr">
        <is>
          <t>2026-07-14 15:10 — Needs an answer from discharging service.</t>
        </is>
      </c>
      <c r="R38" s="8" t="inlineStr">
        <is>
          <t>RCQ-7737 | 2026-07-14 08:24 | ask discharging service | open/current | Patient reports active use, final transition summary silent.</t>
        </is>
      </c>
      <c r="S38" s="8" t="inlineStr">
        <is>
          <t>ADM-0710-029 | ADM-V1 | magnesium oxide 400 mg tablet | 400 mg | Take 1 tablet by mouth daily | active at admission | captured 2026-07-10 08:12</t>
        </is>
      </c>
      <c r="T38" s="8" t="inlineStr">
        <is>
          <t>PTL-0713-027 | magnesium oxide | 400 mg | daily | taking | Patient says it was added after cramps.</t>
        </is>
      </c>
      <c r="U38" s="8" t="inlineStr">
        <is>
          <t>RXH-0714-038 | magnesium oxide 400 mg tablet | profile=active | fill=filled | last_fill=2026-06-22 | Take 1 tablet by mouth daily | refills available</t>
        </is>
      </c>
      <c r="V38" s="8" t="inlineStr">
        <is>
          <t>2 row(s) | latest=2026-06-19 | status=filled | qty=30 | days=30</t>
        </is>
      </c>
      <c r="W38" s="8" t="inlineStr"/>
      <c r="X38" s="8" t="inlineStr"/>
      <c r="Y38" s="8" t="inlineStr"/>
      <c r="Z38" s="8" t="inlineStr"/>
      <c r="AA38" s="9" t="inlineStr"/>
    </row>
  </sheetData>
  <autoFilter ref="A3:AA38"/>
  <mergeCells count="2">
    <mergeCell ref="A1:AA1"/>
    <mergeCell ref="A2:AA2"/>
  </mergeCells>
  <conditionalFormatting sqref="A4:AA38">
    <cfRule type="expression" priority="1" dxfId="0">
      <formula>$I4="OPEN"</formula>
    </cfRule>
  </conditionalFormatting>
  <dataValidations count="3">
    <dataValidation sqref="K4:K38" showDropDown="0" showInputMessage="0" showErrorMessage="0" allowBlank="1" type="list">
      <formula1>"RELEASE,CHANGE,STOP,CLARIFY"</formula1>
    </dataValidation>
    <dataValidation sqref="Y4:Y38" showDropDown="0" showInputMessage="0" showErrorMessage="0" allowBlank="1" type="list">
      <formula1>"KEEP,CHANGE,STOP,CLARIFY"</formula1>
    </dataValidation>
    <dataValidation sqref="G4:G38 AA4:AA38" showDropDown="0" showInputMessage="0" showErrorMessage="0" allowBlank="1" type="date" operator="between">
      <formula1>DATE(2026,7,10)</formula1>
      <formula2>DATE(2030,12,31)</formula2>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54" customWidth="1" min="1" max="1"/>
    <col width="18" customWidth="1" min="2" max="2"/>
    <col width="20" customWidth="1" min="3" max="3"/>
    <col width="14" customWidth="1" min="4" max="4"/>
  </cols>
  <sheetData>
    <row r="1">
      <c r="A1" s="1" t="inlineStr">
        <is>
          <t>Live Medication Reconciliation Summary And Checks</t>
        </is>
      </c>
    </row>
    <row r="2">
      <c r="A2" s="2" t="inlineStr">
        <is>
          <t>Formula-driven from MedRecTable. Edit Med_Reconciliation; counts and checks recalculate automatically when the workbook opens.</t>
        </is>
      </c>
    </row>
    <row r="4">
      <c r="A4" s="10" t="inlineStr">
        <is>
          <t>Metric / check</t>
        </is>
      </c>
      <c r="B4" s="10" t="inlineStr">
        <is>
          <t>Live result</t>
        </is>
      </c>
      <c r="C4" s="10" t="inlineStr">
        <is>
          <t>Expected</t>
        </is>
      </c>
      <c r="D4" s="10" t="inlineStr">
        <is>
          <t>Status</t>
        </is>
      </c>
    </row>
    <row r="5">
      <c r="A5" s="4" t="inlineStr">
        <is>
          <t>Retained medication identities</t>
        </is>
      </c>
      <c r="B5" s="4">
        <f>COUNTA(MedRecTable[Identity ID])</f>
        <v/>
      </c>
      <c r="C5" s="4" t="inlineStr">
        <is>
          <t>35 retained rows</t>
        </is>
      </c>
      <c r="D5" s="4" t="inlineStr"/>
    </row>
    <row r="6">
      <c r="A6" s="4" t="inlineStr">
        <is>
          <t>Active profile identities</t>
        </is>
      </c>
      <c r="B6" s="4">
        <f>COUNTIF(MedRecTable[Active profile row?],"YES")</f>
        <v/>
      </c>
      <c r="C6" s="4" t="inlineStr">
        <is>
          <t>Live count</t>
        </is>
      </c>
      <c r="D6" s="4" t="inlineStr"/>
    </row>
    <row r="7">
      <c r="A7" s="4" t="inlineStr">
        <is>
          <t>RELEASE actions</t>
        </is>
      </c>
      <c r="B7" s="4">
        <f>COUNTIF(MedRecTable[Same-day profile action],"RELEASE")</f>
        <v/>
      </c>
      <c r="C7" s="4" t="inlineStr">
        <is>
          <t>Live count</t>
        </is>
      </c>
      <c r="D7" s="4" t="inlineStr"/>
    </row>
    <row r="8">
      <c r="A8" s="4" t="inlineStr">
        <is>
          <t>CHANGE actions</t>
        </is>
      </c>
      <c r="B8" s="4">
        <f>COUNTIF(MedRecTable[Same-day profile action],"CHANGE")</f>
        <v/>
      </c>
      <c r="C8" s="4" t="inlineStr">
        <is>
          <t>Live count</t>
        </is>
      </c>
      <c r="D8" s="4" t="inlineStr"/>
    </row>
    <row r="9">
      <c r="A9" s="4" t="inlineStr">
        <is>
          <t>STOP actions</t>
        </is>
      </c>
      <c r="B9" s="4">
        <f>COUNTIF(MedRecTable[Same-day profile action],"STOP")</f>
        <v/>
      </c>
      <c r="C9" s="4" t="inlineStr">
        <is>
          <t>Live count</t>
        </is>
      </c>
      <c r="D9" s="4" t="inlineStr"/>
    </row>
    <row r="10">
      <c r="A10" s="4" t="inlineStr">
        <is>
          <t>CLARIFY actions</t>
        </is>
      </c>
      <c r="B10" s="4">
        <f>COUNTIF(MedRecTable[Same-day profile action],"CLARIFY")</f>
        <v/>
      </c>
      <c r="C10" s="4" t="inlineStr">
        <is>
          <t>Live count</t>
        </is>
      </c>
      <c r="D10" s="4" t="inlineStr"/>
    </row>
    <row r="11">
      <c r="A11" s="4" t="inlineStr">
        <is>
          <t>All active-profile actions</t>
        </is>
      </c>
      <c r="B11" s="4">
        <f>COUNTIF(MedRecTable[Same-day profile action],"&lt;&gt;")</f>
        <v/>
      </c>
      <c r="C11" s="4" t="inlineStr">
        <is>
          <t>Live count</t>
        </is>
      </c>
      <c r="D11" s="4" t="inlineStr"/>
    </row>
    <row r="12">
      <c r="A12" s="4" t="inlineStr">
        <is>
          <t>HIGH-risk identities</t>
        </is>
      </c>
      <c r="B12" s="4">
        <f>COUNTIF(MedRecTable[Risk],"HIGH")</f>
        <v/>
      </c>
      <c r="C12" s="4" t="inlineStr">
        <is>
          <t>Live count</t>
        </is>
      </c>
      <c r="D12" s="4" t="inlineStr"/>
    </row>
    <row r="13">
      <c r="A13" s="4" t="inlineStr">
        <is>
          <t>MED-risk identities</t>
        </is>
      </c>
      <c r="B13" s="4">
        <f>COUNTIF(MedRecTable[Risk],"MED")</f>
        <v/>
      </c>
      <c r="C13" s="4" t="inlineStr">
        <is>
          <t>Live count</t>
        </is>
      </c>
      <c r="D13" s="4" t="inlineStr"/>
    </row>
    <row r="14">
      <c r="A14" s="4" t="inlineStr">
        <is>
          <t>LOW-risk identities</t>
        </is>
      </c>
      <c r="B14" s="4">
        <f>COUNTIF(MedRecTable[Risk],"LOW")</f>
        <v/>
      </c>
      <c r="C14" s="4" t="inlineStr">
        <is>
          <t>Live count</t>
        </is>
      </c>
      <c r="D14" s="4" t="inlineStr"/>
    </row>
    <row r="15">
      <c r="A15" s="4" t="inlineStr">
        <is>
          <t>OPEN evidence statuses</t>
        </is>
      </c>
      <c r="B15" s="4">
        <f>COUNTIF(MedRecTable[Evidence status],"OPEN")</f>
        <v/>
      </c>
      <c r="C15" s="4" t="inlineStr">
        <is>
          <t>Live count</t>
        </is>
      </c>
      <c r="D15" s="4" t="inlineStr"/>
    </row>
    <row r="16">
      <c r="A16" s="4" t="inlineStr">
        <is>
          <t>Due 2026-07-15</t>
        </is>
      </c>
      <c r="B16" s="4">
        <f>COUNTIF(MedRecTable[Due date],DATE(2026,7,15))</f>
        <v/>
      </c>
      <c r="C16" s="4" t="inlineStr">
        <is>
          <t>Live count</t>
        </is>
      </c>
      <c r="D16" s="4" t="inlineStr"/>
    </row>
    <row r="17">
      <c r="A17" s="4" t="inlineStr">
        <is>
          <t>Due 2026-07-16</t>
        </is>
      </c>
      <c r="B17" s="4">
        <f>COUNTIF(MedRecTable[Due date],DATE(2026,7,16))</f>
        <v/>
      </c>
      <c r="C17" s="4" t="inlineStr">
        <is>
          <t>Live count</t>
        </is>
      </c>
      <c r="D17" s="4" t="inlineStr"/>
    </row>
    <row r="18">
      <c r="A18" s="4" t="inlineStr">
        <is>
          <t>Due 2026-07-17</t>
        </is>
      </c>
      <c r="B18" s="4">
        <f>COUNTIF(MedRecTable[Due date],DATE(2026,7,17))</f>
        <v/>
      </c>
      <c r="C18" s="4" t="inlineStr">
        <is>
          <t>Live count</t>
        </is>
      </c>
      <c r="D18" s="4" t="inlineStr"/>
    </row>
    <row r="19">
      <c r="A19" s="4" t="n"/>
      <c r="B19" s="4" t="n"/>
      <c r="C19" s="4" t="n"/>
      <c r="D19" s="4" t="n"/>
    </row>
    <row r="20">
      <c r="A20" s="10" t="inlineStr">
        <is>
          <t>Integrity check</t>
        </is>
      </c>
      <c r="B20" s="10" t="inlineStr">
        <is>
          <t>Live exceptions</t>
        </is>
      </c>
      <c r="C20" s="10" t="inlineStr">
        <is>
          <t>Expected</t>
        </is>
      </c>
      <c r="D20" s="10" t="inlineStr">
        <is>
          <t>Status</t>
        </is>
      </c>
    </row>
    <row r="21">
      <c r="A21" s="4" t="inlineStr">
        <is>
          <t>Active profile rows missing an action</t>
        </is>
      </c>
      <c r="B21" s="4">
        <f>COUNTIFS(MedRecTable[Active profile row?],"YES",MedRecTable[Same-day profile action],"")</f>
        <v/>
      </c>
      <c r="C21" s="4" t="n">
        <v>0</v>
      </c>
      <c r="D21" s="4">
        <f>IF(B21=C21,"PASS","CHECK")</f>
        <v/>
      </c>
    </row>
    <row r="22">
      <c r="A22" s="4" t="inlineStr">
        <is>
          <t>Non-active rows carrying a profile action</t>
        </is>
      </c>
      <c r="B22" s="4">
        <f>COUNTIFS(MedRecTable[Active profile row?],"NO",MedRecTable[Same-day profile action],"&lt;&gt;")</f>
        <v/>
      </c>
      <c r="C22" s="4" t="n">
        <v>0</v>
      </c>
      <c r="D22" s="4">
        <f>IF(B22=C22,"PASS","CHECK")</f>
        <v/>
      </c>
    </row>
    <row r="23">
      <c r="A23" s="4" t="inlineStr">
        <is>
          <t>Action count differs from active-profile count</t>
        </is>
      </c>
      <c r="B23" s="4">
        <f>ABS(COUNTIF(MedRecTable[Active profile row?],"YES")-COUNTIF(MedRecTable[Same-day profile action],"&lt;&gt;"))</f>
        <v/>
      </c>
      <c r="C23" s="4" t="n">
        <v>0</v>
      </c>
      <c r="D23" s="4">
        <f>IF(B23=C23,"PASS","CHECK")</f>
        <v/>
      </c>
    </row>
    <row r="24">
      <c r="A24" s="4" t="inlineStr">
        <is>
          <t>Profile actions outside RELEASE/CHANGE/STOP/CLARIFY</t>
        </is>
      </c>
      <c r="B24" s="4">
        <f>COUNTIF(MedRecTable[Same-day profile action],"&lt;&gt;")-COUNTIF(MedRecTable[Same-day profile action],"RELEASE")-COUNTIF(MedRecTable[Same-day profile action],"CHANGE")-COUNTIF(MedRecTable[Same-day profile action],"STOP")-COUNTIF(MedRecTable[Same-day profile action],"CLARIFY")</f>
        <v/>
      </c>
      <c r="C24" s="4" t="n">
        <v>0</v>
      </c>
      <c r="D24" s="4">
        <f>IF(B24=C24,"PASS","CHECK")</f>
        <v/>
      </c>
    </row>
    <row r="25">
      <c r="A25" s="4" t="inlineStr">
        <is>
          <t>Rows missing assigned owner</t>
        </is>
      </c>
      <c r="B25" s="4">
        <f>COUNTBLANK(MedRecTable[Assigned owner])</f>
        <v/>
      </c>
      <c r="C25" s="4" t="n">
        <v>0</v>
      </c>
      <c r="D25" s="4">
        <f>IF(B25=C25,"PASS","CHECK")</f>
        <v/>
      </c>
    </row>
    <row r="26">
      <c r="A26" s="4" t="inlineStr">
        <is>
          <t>Rows missing due date</t>
        </is>
      </c>
      <c r="B26" s="4">
        <f>COUNTBLANK(MedRecTable[Due date])</f>
        <v/>
      </c>
      <c r="C26" s="4" t="n">
        <v>0</v>
      </c>
      <c r="D26" s="4">
        <f>IF(B26=C26,"PASS","CHECK")</f>
        <v/>
      </c>
    </row>
    <row r="27">
      <c r="A27" s="4" t="inlineStr">
        <is>
          <t>Rows missing evidence timeline</t>
        </is>
      </c>
      <c r="B27" s="4">
        <f>COUNTBLANK(MedRecTable[Evidence timeline])</f>
        <v/>
      </c>
      <c r="C27" s="4" t="n">
        <v>0</v>
      </c>
      <c r="D27" s="4">
        <f>IF(B27=C27,"PASS","CHECK")</f>
        <v/>
      </c>
    </row>
    <row r="28">
      <c r="A28" s="4" t="inlineStr">
        <is>
          <t>CLARIFY action count differs from OPEN evidence count</t>
        </is>
      </c>
      <c r="B28" s="4">
        <f>ABS(COUNTIF(MedRecTable[Same-day profile action],"CLARIFY")-COUNTIF(MedRecTable[Evidence status],"OPEN"))</f>
        <v/>
      </c>
      <c r="C28" s="4" t="n">
        <v>0</v>
      </c>
      <c r="D28" s="4">
        <f>IF(B28=C28,"PASS","CHECK")</f>
        <v/>
      </c>
    </row>
    <row r="29">
      <c r="A29" s="4" t="inlineStr">
        <is>
          <t>Duplicate retained identity IDs</t>
        </is>
      </c>
      <c r="B29" s="4">
        <f>SUMPRODUCT(--(COUNTIF(MedRecTable[Identity ID],MedRecTable[Identity ID])&gt;1))</f>
        <v/>
      </c>
      <c r="C29" s="4" t="n">
        <v>0</v>
      </c>
      <c r="D29" s="4">
        <f>IF(B29=C29,"PASS","CHECK")</f>
        <v/>
      </c>
    </row>
  </sheetData>
  <mergeCells count="2">
    <mergeCell ref="A1:D1"/>
    <mergeCell ref="A2:D2"/>
  </mergeCells>
  <conditionalFormatting sqref="D21">
    <cfRule type="expression" priority="1" dxfId="1">
      <formula>$D21="PASS"</formula>
    </cfRule>
    <cfRule type="expression" priority="2" dxfId="0">
      <formula>$D21="CHECK"</formula>
    </cfRule>
  </conditionalFormatting>
  <conditionalFormatting sqref="D22">
    <cfRule type="expression" priority="3" dxfId="1">
      <formula>$D22="PASS"</formula>
    </cfRule>
    <cfRule type="expression" priority="4" dxfId="0">
      <formula>$D22="CHECK"</formula>
    </cfRule>
  </conditionalFormatting>
  <conditionalFormatting sqref="D23">
    <cfRule type="expression" priority="5" dxfId="1">
      <formula>$D23="PASS"</formula>
    </cfRule>
    <cfRule type="expression" priority="6" dxfId="0">
      <formula>$D23="CHECK"</formula>
    </cfRule>
  </conditionalFormatting>
  <conditionalFormatting sqref="D24">
    <cfRule type="expression" priority="7" dxfId="1">
      <formula>$D24="PASS"</formula>
    </cfRule>
    <cfRule type="expression" priority="8" dxfId="0">
      <formula>$D24="CHECK"</formula>
    </cfRule>
  </conditionalFormatting>
  <conditionalFormatting sqref="D25">
    <cfRule type="expression" priority="9" dxfId="1">
      <formula>$D25="PASS"</formula>
    </cfRule>
    <cfRule type="expression" priority="10" dxfId="0">
      <formula>$D25="CHECK"</formula>
    </cfRule>
  </conditionalFormatting>
  <conditionalFormatting sqref="D26">
    <cfRule type="expression" priority="11" dxfId="1">
      <formula>$D26="PASS"</formula>
    </cfRule>
    <cfRule type="expression" priority="12" dxfId="0">
      <formula>$D26="CHECK"</formula>
    </cfRule>
  </conditionalFormatting>
  <conditionalFormatting sqref="D27">
    <cfRule type="expression" priority="13" dxfId="1">
      <formula>$D27="PASS"</formula>
    </cfRule>
    <cfRule type="expression" priority="14" dxfId="0">
      <formula>$D27="CHECK"</formula>
    </cfRule>
  </conditionalFormatting>
  <conditionalFormatting sqref="D28">
    <cfRule type="expression" priority="15" dxfId="1">
      <formula>$D28="PASS"</formula>
    </cfRule>
    <cfRule type="expression" priority="16" dxfId="0">
      <formula>$D28="CHECK"</formula>
    </cfRule>
  </conditionalFormatting>
  <conditionalFormatting sqref="D29">
    <cfRule type="expression" priority="17" dxfId="1">
      <formula>$D29="PASS"</formula>
    </cfRule>
    <cfRule type="expression" priority="18" dxfId="0">
      <formula>$D29="CHECK"</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0" customWidth="1" min="3" max="3"/>
    <col width="28" customWidth="1" min="4" max="4"/>
    <col width="46" customWidth="1" min="5" max="5"/>
    <col width="16" customWidth="1" min="6" max="6"/>
    <col width="15" customWidth="1" min="7" max="7"/>
    <col width="16" customWidth="1" min="8" max="8"/>
    <col width="18" customWidth="1" min="9" max="9"/>
    <col width="58" customWidth="1" min="10" max="10"/>
    <col width="88" customWidth="1" min="11" max="11"/>
    <col width="48" customWidth="1" min="12" max="12"/>
  </cols>
  <sheetData>
    <row r="1">
      <c r="A1" s="1" t="inlineStr">
        <is>
          <t>Recomputable Action View</t>
        </is>
      </c>
    </row>
    <row r="2">
      <c r="A2" s="2" t="inlineStr">
        <is>
          <t>Linked to Med_Reconciliation. Use the table filters here for RELEASE, CHANGE, STOP, CLARIFY, owner, due date, risk, or evidence status; edit the source sheet, not this view.</t>
        </is>
      </c>
    </row>
    <row r="4">
      <c r="A4" s="11" t="inlineStr">
        <is>
          <t>Identity ID</t>
        </is>
      </c>
      <c r="B4" s="11" t="inlineStr">
        <is>
          <t>Medication identity</t>
        </is>
      </c>
      <c r="C4" s="11" t="inlineStr">
        <is>
          <t>Risk</t>
        </is>
      </c>
      <c r="D4" s="11" t="inlineStr">
        <is>
          <t>Escalation status</t>
        </is>
      </c>
      <c r="E4" s="11" t="inlineStr">
        <is>
          <t>Assigned owner</t>
        </is>
      </c>
      <c r="F4" s="11" t="inlineStr">
        <is>
          <t>Due date</t>
        </is>
      </c>
      <c r="G4" s="11" t="inlineStr">
        <is>
          <t>Evidence status</t>
        </is>
      </c>
      <c r="H4" s="11" t="inlineStr">
        <is>
          <t>Active profile?</t>
        </is>
      </c>
      <c r="I4" s="11" t="inlineStr">
        <is>
          <t>Profile action</t>
        </is>
      </c>
      <c r="J4" s="11" t="inlineStr">
        <is>
          <t>Action basis</t>
        </is>
      </c>
      <c r="K4" s="11" t="inlineStr">
        <is>
          <t>Evidence timeline</t>
        </is>
      </c>
      <c r="L4" s="11" t="inlineStr">
        <is>
          <t>Gap / next action</t>
        </is>
      </c>
    </row>
    <row r="5" ht="82" customHeight="1">
      <c r="A5" s="4">
        <f>'Med_Reconciliation'!A4</f>
        <v/>
      </c>
      <c r="B5" s="4">
        <f>'Med_Reconciliation'!B4</f>
        <v/>
      </c>
      <c r="C5" s="4">
        <f>'Med_Reconciliation'!D4</f>
        <v/>
      </c>
      <c r="D5" s="4">
        <f>'Med_Reconciliation'!E4</f>
        <v/>
      </c>
      <c r="E5" s="4">
        <f>'Med_Reconciliation'!F4</f>
        <v/>
      </c>
      <c r="F5" s="6">
        <f>'Med_Reconciliation'!G4</f>
        <v/>
      </c>
      <c r="G5" s="4">
        <f>'Med_Reconciliation'!I4</f>
        <v/>
      </c>
      <c r="H5" s="4">
        <f>'Med_Reconciliation'!J4</f>
        <v/>
      </c>
      <c r="I5" s="4">
        <f>'Med_Reconciliation'!K4</f>
        <v/>
      </c>
      <c r="J5" s="4">
        <f>'Med_Reconciliation'!L4</f>
        <v/>
      </c>
      <c r="K5" s="4">
        <f>'Med_Reconciliation'!M4</f>
        <v/>
      </c>
      <c r="L5" s="4">
        <f>'Med_Reconciliation'!O4</f>
        <v/>
      </c>
    </row>
    <row r="6" ht="82" customHeight="1">
      <c r="A6" s="4">
        <f>'Med_Reconciliation'!A5</f>
        <v/>
      </c>
      <c r="B6" s="4">
        <f>'Med_Reconciliation'!B5</f>
        <v/>
      </c>
      <c r="C6" s="4">
        <f>'Med_Reconciliation'!D5</f>
        <v/>
      </c>
      <c r="D6" s="4">
        <f>'Med_Reconciliation'!E5</f>
        <v/>
      </c>
      <c r="E6" s="4">
        <f>'Med_Reconciliation'!F5</f>
        <v/>
      </c>
      <c r="F6" s="6">
        <f>'Med_Reconciliation'!G5</f>
        <v/>
      </c>
      <c r="G6" s="4">
        <f>'Med_Reconciliation'!I5</f>
        <v/>
      </c>
      <c r="H6" s="4">
        <f>'Med_Reconciliation'!J5</f>
        <v/>
      </c>
      <c r="I6" s="4">
        <f>'Med_Reconciliation'!K5</f>
        <v/>
      </c>
      <c r="J6" s="4">
        <f>'Med_Reconciliation'!L5</f>
        <v/>
      </c>
      <c r="K6" s="4">
        <f>'Med_Reconciliation'!M5</f>
        <v/>
      </c>
      <c r="L6" s="4">
        <f>'Med_Reconciliation'!O5</f>
        <v/>
      </c>
    </row>
    <row r="7" ht="82" customHeight="1">
      <c r="A7" s="4">
        <f>'Med_Reconciliation'!A6</f>
        <v/>
      </c>
      <c r="B7" s="4">
        <f>'Med_Reconciliation'!B6</f>
        <v/>
      </c>
      <c r="C7" s="4">
        <f>'Med_Reconciliation'!D6</f>
        <v/>
      </c>
      <c r="D7" s="4">
        <f>'Med_Reconciliation'!E6</f>
        <v/>
      </c>
      <c r="E7" s="4">
        <f>'Med_Reconciliation'!F6</f>
        <v/>
      </c>
      <c r="F7" s="6">
        <f>'Med_Reconciliation'!G6</f>
        <v/>
      </c>
      <c r="G7" s="4">
        <f>'Med_Reconciliation'!I6</f>
        <v/>
      </c>
      <c r="H7" s="4">
        <f>'Med_Reconciliation'!J6</f>
        <v/>
      </c>
      <c r="I7" s="4">
        <f>'Med_Reconciliation'!K6</f>
        <v/>
      </c>
      <c r="J7" s="4">
        <f>'Med_Reconciliation'!L6</f>
        <v/>
      </c>
      <c r="K7" s="4">
        <f>'Med_Reconciliation'!M6</f>
        <v/>
      </c>
      <c r="L7" s="4">
        <f>'Med_Reconciliation'!O6</f>
        <v/>
      </c>
    </row>
    <row r="8" ht="82" customHeight="1">
      <c r="A8" s="4">
        <f>'Med_Reconciliation'!A7</f>
        <v/>
      </c>
      <c r="B8" s="4">
        <f>'Med_Reconciliation'!B7</f>
        <v/>
      </c>
      <c r="C8" s="4">
        <f>'Med_Reconciliation'!D7</f>
        <v/>
      </c>
      <c r="D8" s="4">
        <f>'Med_Reconciliation'!E7</f>
        <v/>
      </c>
      <c r="E8" s="4">
        <f>'Med_Reconciliation'!F7</f>
        <v/>
      </c>
      <c r="F8" s="6">
        <f>'Med_Reconciliation'!G7</f>
        <v/>
      </c>
      <c r="G8" s="4">
        <f>'Med_Reconciliation'!I7</f>
        <v/>
      </c>
      <c r="H8" s="4">
        <f>'Med_Reconciliation'!J7</f>
        <v/>
      </c>
      <c r="I8" s="4">
        <f>'Med_Reconciliation'!K7</f>
        <v/>
      </c>
      <c r="J8" s="4">
        <f>'Med_Reconciliation'!L7</f>
        <v/>
      </c>
      <c r="K8" s="4">
        <f>'Med_Reconciliation'!M7</f>
        <v/>
      </c>
      <c r="L8" s="4">
        <f>'Med_Reconciliation'!O7</f>
        <v/>
      </c>
    </row>
    <row r="9" ht="82" customHeight="1">
      <c r="A9" s="4">
        <f>'Med_Reconciliation'!A8</f>
        <v/>
      </c>
      <c r="B9" s="4">
        <f>'Med_Reconciliation'!B8</f>
        <v/>
      </c>
      <c r="C9" s="4">
        <f>'Med_Reconciliation'!D8</f>
        <v/>
      </c>
      <c r="D9" s="4">
        <f>'Med_Reconciliation'!E8</f>
        <v/>
      </c>
      <c r="E9" s="4">
        <f>'Med_Reconciliation'!F8</f>
        <v/>
      </c>
      <c r="F9" s="6">
        <f>'Med_Reconciliation'!G8</f>
        <v/>
      </c>
      <c r="G9" s="4">
        <f>'Med_Reconciliation'!I8</f>
        <v/>
      </c>
      <c r="H9" s="4">
        <f>'Med_Reconciliation'!J8</f>
        <v/>
      </c>
      <c r="I9" s="4">
        <f>'Med_Reconciliation'!K8</f>
        <v/>
      </c>
      <c r="J9" s="4">
        <f>'Med_Reconciliation'!L8</f>
        <v/>
      </c>
      <c r="K9" s="4">
        <f>'Med_Reconciliation'!M8</f>
        <v/>
      </c>
      <c r="L9" s="4">
        <f>'Med_Reconciliation'!O8</f>
        <v/>
      </c>
    </row>
    <row r="10" ht="82" customHeight="1">
      <c r="A10" s="4">
        <f>'Med_Reconciliation'!A9</f>
        <v/>
      </c>
      <c r="B10" s="4">
        <f>'Med_Reconciliation'!B9</f>
        <v/>
      </c>
      <c r="C10" s="4">
        <f>'Med_Reconciliation'!D9</f>
        <v/>
      </c>
      <c r="D10" s="4">
        <f>'Med_Reconciliation'!E9</f>
        <v/>
      </c>
      <c r="E10" s="4">
        <f>'Med_Reconciliation'!F9</f>
        <v/>
      </c>
      <c r="F10" s="6">
        <f>'Med_Reconciliation'!G9</f>
        <v/>
      </c>
      <c r="G10" s="4">
        <f>'Med_Reconciliation'!I9</f>
        <v/>
      </c>
      <c r="H10" s="4">
        <f>'Med_Reconciliation'!J9</f>
        <v/>
      </c>
      <c r="I10" s="4">
        <f>'Med_Reconciliation'!K9</f>
        <v/>
      </c>
      <c r="J10" s="4">
        <f>'Med_Reconciliation'!L9</f>
        <v/>
      </c>
      <c r="K10" s="4">
        <f>'Med_Reconciliation'!M9</f>
        <v/>
      </c>
      <c r="L10" s="4">
        <f>'Med_Reconciliation'!O9</f>
        <v/>
      </c>
    </row>
    <row r="11" ht="82" customHeight="1">
      <c r="A11" s="4">
        <f>'Med_Reconciliation'!A10</f>
        <v/>
      </c>
      <c r="B11" s="4">
        <f>'Med_Reconciliation'!B10</f>
        <v/>
      </c>
      <c r="C11" s="4">
        <f>'Med_Reconciliation'!D10</f>
        <v/>
      </c>
      <c r="D11" s="4">
        <f>'Med_Reconciliation'!E10</f>
        <v/>
      </c>
      <c r="E11" s="4">
        <f>'Med_Reconciliation'!F10</f>
        <v/>
      </c>
      <c r="F11" s="6">
        <f>'Med_Reconciliation'!G10</f>
        <v/>
      </c>
      <c r="G11" s="4">
        <f>'Med_Reconciliation'!I10</f>
        <v/>
      </c>
      <c r="H11" s="4">
        <f>'Med_Reconciliation'!J10</f>
        <v/>
      </c>
      <c r="I11" s="4">
        <f>'Med_Reconciliation'!K10</f>
        <v/>
      </c>
      <c r="J11" s="4">
        <f>'Med_Reconciliation'!L10</f>
        <v/>
      </c>
      <c r="K11" s="4">
        <f>'Med_Reconciliation'!M10</f>
        <v/>
      </c>
      <c r="L11" s="4">
        <f>'Med_Reconciliation'!O10</f>
        <v/>
      </c>
    </row>
    <row r="12" ht="82" customHeight="1">
      <c r="A12" s="4">
        <f>'Med_Reconciliation'!A11</f>
        <v/>
      </c>
      <c r="B12" s="4">
        <f>'Med_Reconciliation'!B11</f>
        <v/>
      </c>
      <c r="C12" s="4">
        <f>'Med_Reconciliation'!D11</f>
        <v/>
      </c>
      <c r="D12" s="4">
        <f>'Med_Reconciliation'!E11</f>
        <v/>
      </c>
      <c r="E12" s="4">
        <f>'Med_Reconciliation'!F11</f>
        <v/>
      </c>
      <c r="F12" s="6">
        <f>'Med_Reconciliation'!G11</f>
        <v/>
      </c>
      <c r="G12" s="4">
        <f>'Med_Reconciliation'!I11</f>
        <v/>
      </c>
      <c r="H12" s="4">
        <f>'Med_Reconciliation'!J11</f>
        <v/>
      </c>
      <c r="I12" s="4">
        <f>'Med_Reconciliation'!K11</f>
        <v/>
      </c>
      <c r="J12" s="4">
        <f>'Med_Reconciliation'!L11</f>
        <v/>
      </c>
      <c r="K12" s="4">
        <f>'Med_Reconciliation'!M11</f>
        <v/>
      </c>
      <c r="L12" s="4">
        <f>'Med_Reconciliation'!O11</f>
        <v/>
      </c>
    </row>
    <row r="13" ht="82" customHeight="1">
      <c r="A13" s="4">
        <f>'Med_Reconciliation'!A12</f>
        <v/>
      </c>
      <c r="B13" s="4">
        <f>'Med_Reconciliation'!B12</f>
        <v/>
      </c>
      <c r="C13" s="4">
        <f>'Med_Reconciliation'!D12</f>
        <v/>
      </c>
      <c r="D13" s="4">
        <f>'Med_Reconciliation'!E12</f>
        <v/>
      </c>
      <c r="E13" s="4">
        <f>'Med_Reconciliation'!F12</f>
        <v/>
      </c>
      <c r="F13" s="6">
        <f>'Med_Reconciliation'!G12</f>
        <v/>
      </c>
      <c r="G13" s="4">
        <f>'Med_Reconciliation'!I12</f>
        <v/>
      </c>
      <c r="H13" s="4">
        <f>'Med_Reconciliation'!J12</f>
        <v/>
      </c>
      <c r="I13" s="4">
        <f>'Med_Reconciliation'!K12</f>
        <v/>
      </c>
      <c r="J13" s="4">
        <f>'Med_Reconciliation'!L12</f>
        <v/>
      </c>
      <c r="K13" s="4">
        <f>'Med_Reconciliation'!M12</f>
        <v/>
      </c>
      <c r="L13" s="4">
        <f>'Med_Reconciliation'!O12</f>
        <v/>
      </c>
    </row>
    <row r="14" ht="82" customHeight="1">
      <c r="A14" s="4">
        <f>'Med_Reconciliation'!A13</f>
        <v/>
      </c>
      <c r="B14" s="4">
        <f>'Med_Reconciliation'!B13</f>
        <v/>
      </c>
      <c r="C14" s="4">
        <f>'Med_Reconciliation'!D13</f>
        <v/>
      </c>
      <c r="D14" s="4">
        <f>'Med_Reconciliation'!E13</f>
        <v/>
      </c>
      <c r="E14" s="4">
        <f>'Med_Reconciliation'!F13</f>
        <v/>
      </c>
      <c r="F14" s="6">
        <f>'Med_Reconciliation'!G13</f>
        <v/>
      </c>
      <c r="G14" s="4">
        <f>'Med_Reconciliation'!I13</f>
        <v/>
      </c>
      <c r="H14" s="4">
        <f>'Med_Reconciliation'!J13</f>
        <v/>
      </c>
      <c r="I14" s="4">
        <f>'Med_Reconciliation'!K13</f>
        <v/>
      </c>
      <c r="J14" s="4">
        <f>'Med_Reconciliation'!L13</f>
        <v/>
      </c>
      <c r="K14" s="4">
        <f>'Med_Reconciliation'!M13</f>
        <v/>
      </c>
      <c r="L14" s="4">
        <f>'Med_Reconciliation'!O13</f>
        <v/>
      </c>
    </row>
    <row r="15" ht="82" customHeight="1">
      <c r="A15" s="4">
        <f>'Med_Reconciliation'!A14</f>
        <v/>
      </c>
      <c r="B15" s="4">
        <f>'Med_Reconciliation'!B14</f>
        <v/>
      </c>
      <c r="C15" s="4">
        <f>'Med_Reconciliation'!D14</f>
        <v/>
      </c>
      <c r="D15" s="4">
        <f>'Med_Reconciliation'!E14</f>
        <v/>
      </c>
      <c r="E15" s="4">
        <f>'Med_Reconciliation'!F14</f>
        <v/>
      </c>
      <c r="F15" s="6">
        <f>'Med_Reconciliation'!G14</f>
        <v/>
      </c>
      <c r="G15" s="4">
        <f>'Med_Reconciliation'!I14</f>
        <v/>
      </c>
      <c r="H15" s="4">
        <f>'Med_Reconciliation'!J14</f>
        <v/>
      </c>
      <c r="I15" s="4">
        <f>'Med_Reconciliation'!K14</f>
        <v/>
      </c>
      <c r="J15" s="4">
        <f>'Med_Reconciliation'!L14</f>
        <v/>
      </c>
      <c r="K15" s="4">
        <f>'Med_Reconciliation'!M14</f>
        <v/>
      </c>
      <c r="L15" s="4">
        <f>'Med_Reconciliation'!O14</f>
        <v/>
      </c>
    </row>
    <row r="16" ht="82" customHeight="1">
      <c r="A16" s="4">
        <f>'Med_Reconciliation'!A15</f>
        <v/>
      </c>
      <c r="B16" s="4">
        <f>'Med_Reconciliation'!B15</f>
        <v/>
      </c>
      <c r="C16" s="4">
        <f>'Med_Reconciliation'!D15</f>
        <v/>
      </c>
      <c r="D16" s="4">
        <f>'Med_Reconciliation'!E15</f>
        <v/>
      </c>
      <c r="E16" s="4">
        <f>'Med_Reconciliation'!F15</f>
        <v/>
      </c>
      <c r="F16" s="6">
        <f>'Med_Reconciliation'!G15</f>
        <v/>
      </c>
      <c r="G16" s="4">
        <f>'Med_Reconciliation'!I15</f>
        <v/>
      </c>
      <c r="H16" s="4">
        <f>'Med_Reconciliation'!J15</f>
        <v/>
      </c>
      <c r="I16" s="4">
        <f>'Med_Reconciliation'!K15</f>
        <v/>
      </c>
      <c r="J16" s="4">
        <f>'Med_Reconciliation'!L15</f>
        <v/>
      </c>
      <c r="K16" s="4">
        <f>'Med_Reconciliation'!M15</f>
        <v/>
      </c>
      <c r="L16" s="4">
        <f>'Med_Reconciliation'!O15</f>
        <v/>
      </c>
    </row>
    <row r="17" ht="82" customHeight="1">
      <c r="A17" s="4">
        <f>'Med_Reconciliation'!A16</f>
        <v/>
      </c>
      <c r="B17" s="4">
        <f>'Med_Reconciliation'!B16</f>
        <v/>
      </c>
      <c r="C17" s="4">
        <f>'Med_Reconciliation'!D16</f>
        <v/>
      </c>
      <c r="D17" s="4">
        <f>'Med_Reconciliation'!E16</f>
        <v/>
      </c>
      <c r="E17" s="4">
        <f>'Med_Reconciliation'!F16</f>
        <v/>
      </c>
      <c r="F17" s="6">
        <f>'Med_Reconciliation'!G16</f>
        <v/>
      </c>
      <c r="G17" s="4">
        <f>'Med_Reconciliation'!I16</f>
        <v/>
      </c>
      <c r="H17" s="4">
        <f>'Med_Reconciliation'!J16</f>
        <v/>
      </c>
      <c r="I17" s="4">
        <f>'Med_Reconciliation'!K16</f>
        <v/>
      </c>
      <c r="J17" s="4">
        <f>'Med_Reconciliation'!L16</f>
        <v/>
      </c>
      <c r="K17" s="4">
        <f>'Med_Reconciliation'!M16</f>
        <v/>
      </c>
      <c r="L17" s="4">
        <f>'Med_Reconciliation'!O16</f>
        <v/>
      </c>
    </row>
    <row r="18" ht="82" customHeight="1">
      <c r="A18" s="4">
        <f>'Med_Reconciliation'!A17</f>
        <v/>
      </c>
      <c r="B18" s="4">
        <f>'Med_Reconciliation'!B17</f>
        <v/>
      </c>
      <c r="C18" s="4">
        <f>'Med_Reconciliation'!D17</f>
        <v/>
      </c>
      <c r="D18" s="4">
        <f>'Med_Reconciliation'!E17</f>
        <v/>
      </c>
      <c r="E18" s="4">
        <f>'Med_Reconciliation'!F17</f>
        <v/>
      </c>
      <c r="F18" s="6">
        <f>'Med_Reconciliation'!G17</f>
        <v/>
      </c>
      <c r="G18" s="4">
        <f>'Med_Reconciliation'!I17</f>
        <v/>
      </c>
      <c r="H18" s="4">
        <f>'Med_Reconciliation'!J17</f>
        <v/>
      </c>
      <c r="I18" s="4">
        <f>'Med_Reconciliation'!K17</f>
        <v/>
      </c>
      <c r="J18" s="4">
        <f>'Med_Reconciliation'!L17</f>
        <v/>
      </c>
      <c r="K18" s="4">
        <f>'Med_Reconciliation'!M17</f>
        <v/>
      </c>
      <c r="L18" s="4">
        <f>'Med_Reconciliation'!O17</f>
        <v/>
      </c>
    </row>
    <row r="19" ht="82" customHeight="1">
      <c r="A19" s="4">
        <f>'Med_Reconciliation'!A18</f>
        <v/>
      </c>
      <c r="B19" s="4">
        <f>'Med_Reconciliation'!B18</f>
        <v/>
      </c>
      <c r="C19" s="4">
        <f>'Med_Reconciliation'!D18</f>
        <v/>
      </c>
      <c r="D19" s="4">
        <f>'Med_Reconciliation'!E18</f>
        <v/>
      </c>
      <c r="E19" s="4">
        <f>'Med_Reconciliation'!F18</f>
        <v/>
      </c>
      <c r="F19" s="6">
        <f>'Med_Reconciliation'!G18</f>
        <v/>
      </c>
      <c r="G19" s="4">
        <f>'Med_Reconciliation'!I18</f>
        <v/>
      </c>
      <c r="H19" s="4">
        <f>'Med_Reconciliation'!J18</f>
        <v/>
      </c>
      <c r="I19" s="4">
        <f>'Med_Reconciliation'!K18</f>
        <v/>
      </c>
      <c r="J19" s="4">
        <f>'Med_Reconciliation'!L18</f>
        <v/>
      </c>
      <c r="K19" s="4">
        <f>'Med_Reconciliation'!M18</f>
        <v/>
      </c>
      <c r="L19" s="4">
        <f>'Med_Reconciliation'!O18</f>
        <v/>
      </c>
    </row>
    <row r="20" ht="82" customHeight="1">
      <c r="A20" s="4">
        <f>'Med_Reconciliation'!A19</f>
        <v/>
      </c>
      <c r="B20" s="4">
        <f>'Med_Reconciliation'!B19</f>
        <v/>
      </c>
      <c r="C20" s="4">
        <f>'Med_Reconciliation'!D19</f>
        <v/>
      </c>
      <c r="D20" s="4">
        <f>'Med_Reconciliation'!E19</f>
        <v/>
      </c>
      <c r="E20" s="4">
        <f>'Med_Reconciliation'!F19</f>
        <v/>
      </c>
      <c r="F20" s="6">
        <f>'Med_Reconciliation'!G19</f>
        <v/>
      </c>
      <c r="G20" s="4">
        <f>'Med_Reconciliation'!I19</f>
        <v/>
      </c>
      <c r="H20" s="4">
        <f>'Med_Reconciliation'!J19</f>
        <v/>
      </c>
      <c r="I20" s="4">
        <f>'Med_Reconciliation'!K19</f>
        <v/>
      </c>
      <c r="J20" s="4">
        <f>'Med_Reconciliation'!L19</f>
        <v/>
      </c>
      <c r="K20" s="4">
        <f>'Med_Reconciliation'!M19</f>
        <v/>
      </c>
      <c r="L20" s="4">
        <f>'Med_Reconciliation'!O19</f>
        <v/>
      </c>
    </row>
    <row r="21" ht="82" customHeight="1">
      <c r="A21" s="4">
        <f>'Med_Reconciliation'!A20</f>
        <v/>
      </c>
      <c r="B21" s="4">
        <f>'Med_Reconciliation'!B20</f>
        <v/>
      </c>
      <c r="C21" s="4">
        <f>'Med_Reconciliation'!D20</f>
        <v/>
      </c>
      <c r="D21" s="4">
        <f>'Med_Reconciliation'!E20</f>
        <v/>
      </c>
      <c r="E21" s="4">
        <f>'Med_Reconciliation'!F20</f>
        <v/>
      </c>
      <c r="F21" s="6">
        <f>'Med_Reconciliation'!G20</f>
        <v/>
      </c>
      <c r="G21" s="4">
        <f>'Med_Reconciliation'!I20</f>
        <v/>
      </c>
      <c r="H21" s="4">
        <f>'Med_Reconciliation'!J20</f>
        <v/>
      </c>
      <c r="I21" s="4">
        <f>'Med_Reconciliation'!K20</f>
        <v/>
      </c>
      <c r="J21" s="4">
        <f>'Med_Reconciliation'!L20</f>
        <v/>
      </c>
      <c r="K21" s="4">
        <f>'Med_Reconciliation'!M20</f>
        <v/>
      </c>
      <c r="L21" s="4">
        <f>'Med_Reconciliation'!O20</f>
        <v/>
      </c>
    </row>
    <row r="22" ht="82" customHeight="1">
      <c r="A22" s="4">
        <f>'Med_Reconciliation'!A21</f>
        <v/>
      </c>
      <c r="B22" s="4">
        <f>'Med_Reconciliation'!B21</f>
        <v/>
      </c>
      <c r="C22" s="4">
        <f>'Med_Reconciliation'!D21</f>
        <v/>
      </c>
      <c r="D22" s="4">
        <f>'Med_Reconciliation'!E21</f>
        <v/>
      </c>
      <c r="E22" s="4">
        <f>'Med_Reconciliation'!F21</f>
        <v/>
      </c>
      <c r="F22" s="6">
        <f>'Med_Reconciliation'!G21</f>
        <v/>
      </c>
      <c r="G22" s="4">
        <f>'Med_Reconciliation'!I21</f>
        <v/>
      </c>
      <c r="H22" s="4">
        <f>'Med_Reconciliation'!J21</f>
        <v/>
      </c>
      <c r="I22" s="4">
        <f>'Med_Reconciliation'!K21</f>
        <v/>
      </c>
      <c r="J22" s="4">
        <f>'Med_Reconciliation'!L21</f>
        <v/>
      </c>
      <c r="K22" s="4">
        <f>'Med_Reconciliation'!M21</f>
        <v/>
      </c>
      <c r="L22" s="4">
        <f>'Med_Reconciliation'!O21</f>
        <v/>
      </c>
    </row>
    <row r="23" ht="82" customHeight="1">
      <c r="A23" s="4">
        <f>'Med_Reconciliation'!A22</f>
        <v/>
      </c>
      <c r="B23" s="4">
        <f>'Med_Reconciliation'!B22</f>
        <v/>
      </c>
      <c r="C23" s="4">
        <f>'Med_Reconciliation'!D22</f>
        <v/>
      </c>
      <c r="D23" s="4">
        <f>'Med_Reconciliation'!E22</f>
        <v/>
      </c>
      <c r="E23" s="4">
        <f>'Med_Reconciliation'!F22</f>
        <v/>
      </c>
      <c r="F23" s="6">
        <f>'Med_Reconciliation'!G22</f>
        <v/>
      </c>
      <c r="G23" s="4">
        <f>'Med_Reconciliation'!I22</f>
        <v/>
      </c>
      <c r="H23" s="4">
        <f>'Med_Reconciliation'!J22</f>
        <v/>
      </c>
      <c r="I23" s="4">
        <f>'Med_Reconciliation'!K22</f>
        <v/>
      </c>
      <c r="J23" s="4">
        <f>'Med_Reconciliation'!L22</f>
        <v/>
      </c>
      <c r="K23" s="4">
        <f>'Med_Reconciliation'!M22</f>
        <v/>
      </c>
      <c r="L23" s="4">
        <f>'Med_Reconciliation'!O22</f>
        <v/>
      </c>
    </row>
    <row r="24" ht="82" customHeight="1">
      <c r="A24" s="4">
        <f>'Med_Reconciliation'!A23</f>
        <v/>
      </c>
      <c r="B24" s="4">
        <f>'Med_Reconciliation'!B23</f>
        <v/>
      </c>
      <c r="C24" s="4">
        <f>'Med_Reconciliation'!D23</f>
        <v/>
      </c>
      <c r="D24" s="4">
        <f>'Med_Reconciliation'!E23</f>
        <v/>
      </c>
      <c r="E24" s="4">
        <f>'Med_Reconciliation'!F23</f>
        <v/>
      </c>
      <c r="F24" s="6">
        <f>'Med_Reconciliation'!G23</f>
        <v/>
      </c>
      <c r="G24" s="4">
        <f>'Med_Reconciliation'!I23</f>
        <v/>
      </c>
      <c r="H24" s="4">
        <f>'Med_Reconciliation'!J23</f>
        <v/>
      </c>
      <c r="I24" s="4">
        <f>'Med_Reconciliation'!K23</f>
        <v/>
      </c>
      <c r="J24" s="4">
        <f>'Med_Reconciliation'!L23</f>
        <v/>
      </c>
      <c r="K24" s="4">
        <f>'Med_Reconciliation'!M23</f>
        <v/>
      </c>
      <c r="L24" s="4">
        <f>'Med_Reconciliation'!O23</f>
        <v/>
      </c>
    </row>
    <row r="25" ht="82" customHeight="1">
      <c r="A25" s="4">
        <f>'Med_Reconciliation'!A24</f>
        <v/>
      </c>
      <c r="B25" s="4">
        <f>'Med_Reconciliation'!B24</f>
        <v/>
      </c>
      <c r="C25" s="4">
        <f>'Med_Reconciliation'!D24</f>
        <v/>
      </c>
      <c r="D25" s="4">
        <f>'Med_Reconciliation'!E24</f>
        <v/>
      </c>
      <c r="E25" s="4">
        <f>'Med_Reconciliation'!F24</f>
        <v/>
      </c>
      <c r="F25" s="6">
        <f>'Med_Reconciliation'!G24</f>
        <v/>
      </c>
      <c r="G25" s="4">
        <f>'Med_Reconciliation'!I24</f>
        <v/>
      </c>
      <c r="H25" s="4">
        <f>'Med_Reconciliation'!J24</f>
        <v/>
      </c>
      <c r="I25" s="4">
        <f>'Med_Reconciliation'!K24</f>
        <v/>
      </c>
      <c r="J25" s="4">
        <f>'Med_Reconciliation'!L24</f>
        <v/>
      </c>
      <c r="K25" s="4">
        <f>'Med_Reconciliation'!M24</f>
        <v/>
      </c>
      <c r="L25" s="4">
        <f>'Med_Reconciliation'!O24</f>
        <v/>
      </c>
    </row>
    <row r="26" ht="82" customHeight="1">
      <c r="A26" s="4">
        <f>'Med_Reconciliation'!A25</f>
        <v/>
      </c>
      <c r="B26" s="4">
        <f>'Med_Reconciliation'!B25</f>
        <v/>
      </c>
      <c r="C26" s="4">
        <f>'Med_Reconciliation'!D25</f>
        <v/>
      </c>
      <c r="D26" s="4">
        <f>'Med_Reconciliation'!E25</f>
        <v/>
      </c>
      <c r="E26" s="4">
        <f>'Med_Reconciliation'!F25</f>
        <v/>
      </c>
      <c r="F26" s="6">
        <f>'Med_Reconciliation'!G25</f>
        <v/>
      </c>
      <c r="G26" s="4">
        <f>'Med_Reconciliation'!I25</f>
        <v/>
      </c>
      <c r="H26" s="4">
        <f>'Med_Reconciliation'!J25</f>
        <v/>
      </c>
      <c r="I26" s="4">
        <f>'Med_Reconciliation'!K25</f>
        <v/>
      </c>
      <c r="J26" s="4">
        <f>'Med_Reconciliation'!L25</f>
        <v/>
      </c>
      <c r="K26" s="4">
        <f>'Med_Reconciliation'!M25</f>
        <v/>
      </c>
      <c r="L26" s="4">
        <f>'Med_Reconciliation'!O25</f>
        <v/>
      </c>
    </row>
    <row r="27" ht="82" customHeight="1">
      <c r="A27" s="4">
        <f>'Med_Reconciliation'!A26</f>
        <v/>
      </c>
      <c r="B27" s="4">
        <f>'Med_Reconciliation'!B26</f>
        <v/>
      </c>
      <c r="C27" s="4">
        <f>'Med_Reconciliation'!D26</f>
        <v/>
      </c>
      <c r="D27" s="4">
        <f>'Med_Reconciliation'!E26</f>
        <v/>
      </c>
      <c r="E27" s="4">
        <f>'Med_Reconciliation'!F26</f>
        <v/>
      </c>
      <c r="F27" s="6">
        <f>'Med_Reconciliation'!G26</f>
        <v/>
      </c>
      <c r="G27" s="4">
        <f>'Med_Reconciliation'!I26</f>
        <v/>
      </c>
      <c r="H27" s="4">
        <f>'Med_Reconciliation'!J26</f>
        <v/>
      </c>
      <c r="I27" s="4">
        <f>'Med_Reconciliation'!K26</f>
        <v/>
      </c>
      <c r="J27" s="4">
        <f>'Med_Reconciliation'!L26</f>
        <v/>
      </c>
      <c r="K27" s="4">
        <f>'Med_Reconciliation'!M26</f>
        <v/>
      </c>
      <c r="L27" s="4">
        <f>'Med_Reconciliation'!O26</f>
        <v/>
      </c>
    </row>
    <row r="28" ht="82" customHeight="1">
      <c r="A28" s="4">
        <f>'Med_Reconciliation'!A27</f>
        <v/>
      </c>
      <c r="B28" s="4">
        <f>'Med_Reconciliation'!B27</f>
        <v/>
      </c>
      <c r="C28" s="4">
        <f>'Med_Reconciliation'!D27</f>
        <v/>
      </c>
      <c r="D28" s="4">
        <f>'Med_Reconciliation'!E27</f>
        <v/>
      </c>
      <c r="E28" s="4">
        <f>'Med_Reconciliation'!F27</f>
        <v/>
      </c>
      <c r="F28" s="6">
        <f>'Med_Reconciliation'!G27</f>
        <v/>
      </c>
      <c r="G28" s="4">
        <f>'Med_Reconciliation'!I27</f>
        <v/>
      </c>
      <c r="H28" s="4">
        <f>'Med_Reconciliation'!J27</f>
        <v/>
      </c>
      <c r="I28" s="4">
        <f>'Med_Reconciliation'!K27</f>
        <v/>
      </c>
      <c r="J28" s="4">
        <f>'Med_Reconciliation'!L27</f>
        <v/>
      </c>
      <c r="K28" s="4">
        <f>'Med_Reconciliation'!M27</f>
        <v/>
      </c>
      <c r="L28" s="4">
        <f>'Med_Reconciliation'!O27</f>
        <v/>
      </c>
    </row>
    <row r="29" ht="82" customHeight="1">
      <c r="A29" s="4">
        <f>'Med_Reconciliation'!A28</f>
        <v/>
      </c>
      <c r="B29" s="4">
        <f>'Med_Reconciliation'!B28</f>
        <v/>
      </c>
      <c r="C29" s="4">
        <f>'Med_Reconciliation'!D28</f>
        <v/>
      </c>
      <c r="D29" s="4">
        <f>'Med_Reconciliation'!E28</f>
        <v/>
      </c>
      <c r="E29" s="4">
        <f>'Med_Reconciliation'!F28</f>
        <v/>
      </c>
      <c r="F29" s="6">
        <f>'Med_Reconciliation'!G28</f>
        <v/>
      </c>
      <c r="G29" s="4">
        <f>'Med_Reconciliation'!I28</f>
        <v/>
      </c>
      <c r="H29" s="4">
        <f>'Med_Reconciliation'!J28</f>
        <v/>
      </c>
      <c r="I29" s="4">
        <f>'Med_Reconciliation'!K28</f>
        <v/>
      </c>
      <c r="J29" s="4">
        <f>'Med_Reconciliation'!L28</f>
        <v/>
      </c>
      <c r="K29" s="4">
        <f>'Med_Reconciliation'!M28</f>
        <v/>
      </c>
      <c r="L29" s="4">
        <f>'Med_Reconciliation'!O28</f>
        <v/>
      </c>
    </row>
    <row r="30" ht="82" customHeight="1">
      <c r="A30" s="4">
        <f>'Med_Reconciliation'!A29</f>
        <v/>
      </c>
      <c r="B30" s="4">
        <f>'Med_Reconciliation'!B29</f>
        <v/>
      </c>
      <c r="C30" s="4">
        <f>'Med_Reconciliation'!D29</f>
        <v/>
      </c>
      <c r="D30" s="4">
        <f>'Med_Reconciliation'!E29</f>
        <v/>
      </c>
      <c r="E30" s="4">
        <f>'Med_Reconciliation'!F29</f>
        <v/>
      </c>
      <c r="F30" s="6">
        <f>'Med_Reconciliation'!G29</f>
        <v/>
      </c>
      <c r="G30" s="4">
        <f>'Med_Reconciliation'!I29</f>
        <v/>
      </c>
      <c r="H30" s="4">
        <f>'Med_Reconciliation'!J29</f>
        <v/>
      </c>
      <c r="I30" s="4">
        <f>'Med_Reconciliation'!K29</f>
        <v/>
      </c>
      <c r="J30" s="4">
        <f>'Med_Reconciliation'!L29</f>
        <v/>
      </c>
      <c r="K30" s="4">
        <f>'Med_Reconciliation'!M29</f>
        <v/>
      </c>
      <c r="L30" s="4">
        <f>'Med_Reconciliation'!O29</f>
        <v/>
      </c>
    </row>
    <row r="31" ht="82" customHeight="1">
      <c r="A31" s="4">
        <f>'Med_Reconciliation'!A30</f>
        <v/>
      </c>
      <c r="B31" s="4">
        <f>'Med_Reconciliation'!B30</f>
        <v/>
      </c>
      <c r="C31" s="4">
        <f>'Med_Reconciliation'!D30</f>
        <v/>
      </c>
      <c r="D31" s="4">
        <f>'Med_Reconciliation'!E30</f>
        <v/>
      </c>
      <c r="E31" s="4">
        <f>'Med_Reconciliation'!F30</f>
        <v/>
      </c>
      <c r="F31" s="6">
        <f>'Med_Reconciliation'!G30</f>
        <v/>
      </c>
      <c r="G31" s="4">
        <f>'Med_Reconciliation'!I30</f>
        <v/>
      </c>
      <c r="H31" s="4">
        <f>'Med_Reconciliation'!J30</f>
        <v/>
      </c>
      <c r="I31" s="4">
        <f>'Med_Reconciliation'!K30</f>
        <v/>
      </c>
      <c r="J31" s="4">
        <f>'Med_Reconciliation'!L30</f>
        <v/>
      </c>
      <c r="K31" s="4">
        <f>'Med_Reconciliation'!M30</f>
        <v/>
      </c>
      <c r="L31" s="4">
        <f>'Med_Reconciliation'!O30</f>
        <v/>
      </c>
    </row>
    <row r="32" ht="82" customHeight="1">
      <c r="A32" s="4">
        <f>'Med_Reconciliation'!A31</f>
        <v/>
      </c>
      <c r="B32" s="4">
        <f>'Med_Reconciliation'!B31</f>
        <v/>
      </c>
      <c r="C32" s="4">
        <f>'Med_Reconciliation'!D31</f>
        <v/>
      </c>
      <c r="D32" s="4">
        <f>'Med_Reconciliation'!E31</f>
        <v/>
      </c>
      <c r="E32" s="4">
        <f>'Med_Reconciliation'!F31</f>
        <v/>
      </c>
      <c r="F32" s="6">
        <f>'Med_Reconciliation'!G31</f>
        <v/>
      </c>
      <c r="G32" s="4">
        <f>'Med_Reconciliation'!I31</f>
        <v/>
      </c>
      <c r="H32" s="4">
        <f>'Med_Reconciliation'!J31</f>
        <v/>
      </c>
      <c r="I32" s="4">
        <f>'Med_Reconciliation'!K31</f>
        <v/>
      </c>
      <c r="J32" s="4">
        <f>'Med_Reconciliation'!L31</f>
        <v/>
      </c>
      <c r="K32" s="4">
        <f>'Med_Reconciliation'!M31</f>
        <v/>
      </c>
      <c r="L32" s="4">
        <f>'Med_Reconciliation'!O31</f>
        <v/>
      </c>
    </row>
    <row r="33" ht="82" customHeight="1">
      <c r="A33" s="4">
        <f>'Med_Reconciliation'!A32</f>
        <v/>
      </c>
      <c r="B33" s="4">
        <f>'Med_Reconciliation'!B32</f>
        <v/>
      </c>
      <c r="C33" s="4">
        <f>'Med_Reconciliation'!D32</f>
        <v/>
      </c>
      <c r="D33" s="4">
        <f>'Med_Reconciliation'!E32</f>
        <v/>
      </c>
      <c r="E33" s="4">
        <f>'Med_Reconciliation'!F32</f>
        <v/>
      </c>
      <c r="F33" s="6">
        <f>'Med_Reconciliation'!G32</f>
        <v/>
      </c>
      <c r="G33" s="4">
        <f>'Med_Reconciliation'!I32</f>
        <v/>
      </c>
      <c r="H33" s="4">
        <f>'Med_Reconciliation'!J32</f>
        <v/>
      </c>
      <c r="I33" s="4">
        <f>'Med_Reconciliation'!K32</f>
        <v/>
      </c>
      <c r="J33" s="4">
        <f>'Med_Reconciliation'!L32</f>
        <v/>
      </c>
      <c r="K33" s="4">
        <f>'Med_Reconciliation'!M32</f>
        <v/>
      </c>
      <c r="L33" s="4">
        <f>'Med_Reconciliation'!O32</f>
        <v/>
      </c>
    </row>
    <row r="34" ht="82" customHeight="1">
      <c r="A34" s="4">
        <f>'Med_Reconciliation'!A33</f>
        <v/>
      </c>
      <c r="B34" s="4">
        <f>'Med_Reconciliation'!B33</f>
        <v/>
      </c>
      <c r="C34" s="4">
        <f>'Med_Reconciliation'!D33</f>
        <v/>
      </c>
      <c r="D34" s="4">
        <f>'Med_Reconciliation'!E33</f>
        <v/>
      </c>
      <c r="E34" s="4">
        <f>'Med_Reconciliation'!F33</f>
        <v/>
      </c>
      <c r="F34" s="6">
        <f>'Med_Reconciliation'!G33</f>
        <v/>
      </c>
      <c r="G34" s="4">
        <f>'Med_Reconciliation'!I33</f>
        <v/>
      </c>
      <c r="H34" s="4">
        <f>'Med_Reconciliation'!J33</f>
        <v/>
      </c>
      <c r="I34" s="4">
        <f>'Med_Reconciliation'!K33</f>
        <v/>
      </c>
      <c r="J34" s="4">
        <f>'Med_Reconciliation'!L33</f>
        <v/>
      </c>
      <c r="K34" s="4">
        <f>'Med_Reconciliation'!M33</f>
        <v/>
      </c>
      <c r="L34" s="4">
        <f>'Med_Reconciliation'!O33</f>
        <v/>
      </c>
    </row>
    <row r="35" ht="82" customHeight="1">
      <c r="A35" s="4">
        <f>'Med_Reconciliation'!A34</f>
        <v/>
      </c>
      <c r="B35" s="4">
        <f>'Med_Reconciliation'!B34</f>
        <v/>
      </c>
      <c r="C35" s="4">
        <f>'Med_Reconciliation'!D34</f>
        <v/>
      </c>
      <c r="D35" s="4">
        <f>'Med_Reconciliation'!E34</f>
        <v/>
      </c>
      <c r="E35" s="4">
        <f>'Med_Reconciliation'!F34</f>
        <v/>
      </c>
      <c r="F35" s="6">
        <f>'Med_Reconciliation'!G34</f>
        <v/>
      </c>
      <c r="G35" s="4">
        <f>'Med_Reconciliation'!I34</f>
        <v/>
      </c>
      <c r="H35" s="4">
        <f>'Med_Reconciliation'!J34</f>
        <v/>
      </c>
      <c r="I35" s="4">
        <f>'Med_Reconciliation'!K34</f>
        <v/>
      </c>
      <c r="J35" s="4">
        <f>'Med_Reconciliation'!L34</f>
        <v/>
      </c>
      <c r="K35" s="4">
        <f>'Med_Reconciliation'!M34</f>
        <v/>
      </c>
      <c r="L35" s="4">
        <f>'Med_Reconciliation'!O34</f>
        <v/>
      </c>
    </row>
    <row r="36" ht="82" customHeight="1">
      <c r="A36" s="4">
        <f>'Med_Reconciliation'!A35</f>
        <v/>
      </c>
      <c r="B36" s="4">
        <f>'Med_Reconciliation'!B35</f>
        <v/>
      </c>
      <c r="C36" s="4">
        <f>'Med_Reconciliation'!D35</f>
        <v/>
      </c>
      <c r="D36" s="4">
        <f>'Med_Reconciliation'!E35</f>
        <v/>
      </c>
      <c r="E36" s="4">
        <f>'Med_Reconciliation'!F35</f>
        <v/>
      </c>
      <c r="F36" s="6">
        <f>'Med_Reconciliation'!G35</f>
        <v/>
      </c>
      <c r="G36" s="4">
        <f>'Med_Reconciliation'!I35</f>
        <v/>
      </c>
      <c r="H36" s="4">
        <f>'Med_Reconciliation'!J35</f>
        <v/>
      </c>
      <c r="I36" s="4">
        <f>'Med_Reconciliation'!K35</f>
        <v/>
      </c>
      <c r="J36" s="4">
        <f>'Med_Reconciliation'!L35</f>
        <v/>
      </c>
      <c r="K36" s="4">
        <f>'Med_Reconciliation'!M35</f>
        <v/>
      </c>
      <c r="L36" s="4">
        <f>'Med_Reconciliation'!O35</f>
        <v/>
      </c>
    </row>
    <row r="37" ht="82" customHeight="1">
      <c r="A37" s="4">
        <f>'Med_Reconciliation'!A36</f>
        <v/>
      </c>
      <c r="B37" s="4">
        <f>'Med_Reconciliation'!B36</f>
        <v/>
      </c>
      <c r="C37" s="4">
        <f>'Med_Reconciliation'!D36</f>
        <v/>
      </c>
      <c r="D37" s="4">
        <f>'Med_Reconciliation'!E36</f>
        <v/>
      </c>
      <c r="E37" s="4">
        <f>'Med_Reconciliation'!F36</f>
        <v/>
      </c>
      <c r="F37" s="6">
        <f>'Med_Reconciliation'!G36</f>
        <v/>
      </c>
      <c r="G37" s="4">
        <f>'Med_Reconciliation'!I36</f>
        <v/>
      </c>
      <c r="H37" s="4">
        <f>'Med_Reconciliation'!J36</f>
        <v/>
      </c>
      <c r="I37" s="4">
        <f>'Med_Reconciliation'!K36</f>
        <v/>
      </c>
      <c r="J37" s="4">
        <f>'Med_Reconciliation'!L36</f>
        <v/>
      </c>
      <c r="K37" s="4">
        <f>'Med_Reconciliation'!M36</f>
        <v/>
      </c>
      <c r="L37" s="4">
        <f>'Med_Reconciliation'!O36</f>
        <v/>
      </c>
    </row>
    <row r="38" ht="82" customHeight="1">
      <c r="A38" s="4">
        <f>'Med_Reconciliation'!A37</f>
        <v/>
      </c>
      <c r="B38" s="4">
        <f>'Med_Reconciliation'!B37</f>
        <v/>
      </c>
      <c r="C38" s="4">
        <f>'Med_Reconciliation'!D37</f>
        <v/>
      </c>
      <c r="D38" s="4">
        <f>'Med_Reconciliation'!E37</f>
        <v/>
      </c>
      <c r="E38" s="4">
        <f>'Med_Reconciliation'!F37</f>
        <v/>
      </c>
      <c r="F38" s="6">
        <f>'Med_Reconciliation'!G37</f>
        <v/>
      </c>
      <c r="G38" s="4">
        <f>'Med_Reconciliation'!I37</f>
        <v/>
      </c>
      <c r="H38" s="4">
        <f>'Med_Reconciliation'!J37</f>
        <v/>
      </c>
      <c r="I38" s="4">
        <f>'Med_Reconciliation'!K37</f>
        <v/>
      </c>
      <c r="J38" s="4">
        <f>'Med_Reconciliation'!L37</f>
        <v/>
      </c>
      <c r="K38" s="4">
        <f>'Med_Reconciliation'!M37</f>
        <v/>
      </c>
      <c r="L38" s="4">
        <f>'Med_Reconciliation'!O37</f>
        <v/>
      </c>
    </row>
    <row r="39" ht="82" customHeight="1">
      <c r="A39" s="4">
        <f>'Med_Reconciliation'!A38</f>
        <v/>
      </c>
      <c r="B39" s="4">
        <f>'Med_Reconciliation'!B38</f>
        <v/>
      </c>
      <c r="C39" s="4">
        <f>'Med_Reconciliation'!D38</f>
        <v/>
      </c>
      <c r="D39" s="4">
        <f>'Med_Reconciliation'!E38</f>
        <v/>
      </c>
      <c r="E39" s="4">
        <f>'Med_Reconciliation'!F38</f>
        <v/>
      </c>
      <c r="F39" s="6">
        <f>'Med_Reconciliation'!G38</f>
        <v/>
      </c>
      <c r="G39" s="4">
        <f>'Med_Reconciliation'!I38</f>
        <v/>
      </c>
      <c r="H39" s="4">
        <f>'Med_Reconciliation'!J38</f>
        <v/>
      </c>
      <c r="I39" s="4">
        <f>'Med_Reconciliation'!K38</f>
        <v/>
      </c>
      <c r="J39" s="4">
        <f>'Med_Reconciliation'!L38</f>
        <v/>
      </c>
      <c r="K39" s="4">
        <f>'Med_Reconciliation'!M38</f>
        <v/>
      </c>
      <c r="L39" s="4">
        <f>'Med_Reconciliation'!O38</f>
        <v/>
      </c>
    </row>
  </sheetData>
  <mergeCells count="2">
    <mergeCell ref="A2:L2"/>
    <mergeCell ref="A1:L1"/>
  </mergeCells>
  <conditionalFormatting sqref="I5">
    <cfRule type="expression" priority="1" dxfId="1">
      <formula>$I5="RELEASE"</formula>
    </cfRule>
    <cfRule type="expression" priority="2" dxfId="2">
      <formula>$I5="CHANGE"</formula>
    </cfRule>
    <cfRule type="expression" priority="3" dxfId="3">
      <formula>$I5="STOP"</formula>
    </cfRule>
    <cfRule type="expression" priority="4" dxfId="0">
      <formula>$I5="CLARIFY"</formula>
    </cfRule>
  </conditionalFormatting>
  <conditionalFormatting sqref="I6">
    <cfRule type="expression" priority="5" dxfId="1">
      <formula>$I6="RELEASE"</formula>
    </cfRule>
    <cfRule type="expression" priority="6" dxfId="2">
      <formula>$I6="CHANGE"</formula>
    </cfRule>
    <cfRule type="expression" priority="7" dxfId="3">
      <formula>$I6="STOP"</formula>
    </cfRule>
    <cfRule type="expression" priority="8" dxfId="0">
      <formula>$I6="CLARIFY"</formula>
    </cfRule>
  </conditionalFormatting>
  <conditionalFormatting sqref="I7">
    <cfRule type="expression" priority="9" dxfId="1">
      <formula>$I7="RELEASE"</formula>
    </cfRule>
    <cfRule type="expression" priority="10" dxfId="2">
      <formula>$I7="CHANGE"</formula>
    </cfRule>
    <cfRule type="expression" priority="11" dxfId="3">
      <formula>$I7="STOP"</formula>
    </cfRule>
    <cfRule type="expression" priority="12" dxfId="0">
      <formula>$I7="CLARIFY"</formula>
    </cfRule>
  </conditionalFormatting>
  <conditionalFormatting sqref="I8">
    <cfRule type="expression" priority="13" dxfId="1">
      <formula>$I8="RELEASE"</formula>
    </cfRule>
    <cfRule type="expression" priority="14" dxfId="2">
      <formula>$I8="CHANGE"</formula>
    </cfRule>
    <cfRule type="expression" priority="15" dxfId="3">
      <formula>$I8="STOP"</formula>
    </cfRule>
    <cfRule type="expression" priority="16" dxfId="0">
      <formula>$I8="CLARIFY"</formula>
    </cfRule>
  </conditionalFormatting>
  <conditionalFormatting sqref="I9">
    <cfRule type="expression" priority="17" dxfId="1">
      <formula>$I9="RELEASE"</formula>
    </cfRule>
    <cfRule type="expression" priority="18" dxfId="2">
      <formula>$I9="CHANGE"</formula>
    </cfRule>
    <cfRule type="expression" priority="19" dxfId="3">
      <formula>$I9="STOP"</formula>
    </cfRule>
    <cfRule type="expression" priority="20" dxfId="0">
      <formula>$I9="CLARIFY"</formula>
    </cfRule>
  </conditionalFormatting>
  <conditionalFormatting sqref="I10">
    <cfRule type="expression" priority="21" dxfId="1">
      <formula>$I10="RELEASE"</formula>
    </cfRule>
    <cfRule type="expression" priority="22" dxfId="2">
      <formula>$I10="CHANGE"</formula>
    </cfRule>
    <cfRule type="expression" priority="23" dxfId="3">
      <formula>$I10="STOP"</formula>
    </cfRule>
    <cfRule type="expression" priority="24" dxfId="0">
      <formula>$I10="CLARIFY"</formula>
    </cfRule>
  </conditionalFormatting>
  <conditionalFormatting sqref="I11">
    <cfRule type="expression" priority="25" dxfId="1">
      <formula>$I11="RELEASE"</formula>
    </cfRule>
    <cfRule type="expression" priority="26" dxfId="2">
      <formula>$I11="CHANGE"</formula>
    </cfRule>
    <cfRule type="expression" priority="27" dxfId="3">
      <formula>$I11="STOP"</formula>
    </cfRule>
    <cfRule type="expression" priority="28" dxfId="0">
      <formula>$I11="CLARIFY"</formula>
    </cfRule>
  </conditionalFormatting>
  <conditionalFormatting sqref="I12">
    <cfRule type="expression" priority="29" dxfId="1">
      <formula>$I12="RELEASE"</formula>
    </cfRule>
    <cfRule type="expression" priority="30" dxfId="2">
      <formula>$I12="CHANGE"</formula>
    </cfRule>
    <cfRule type="expression" priority="31" dxfId="3">
      <formula>$I12="STOP"</formula>
    </cfRule>
    <cfRule type="expression" priority="32" dxfId="0">
      <formula>$I12="CLARIFY"</formula>
    </cfRule>
  </conditionalFormatting>
  <conditionalFormatting sqref="I13">
    <cfRule type="expression" priority="33" dxfId="1">
      <formula>$I13="RELEASE"</formula>
    </cfRule>
    <cfRule type="expression" priority="34" dxfId="2">
      <formula>$I13="CHANGE"</formula>
    </cfRule>
    <cfRule type="expression" priority="35" dxfId="3">
      <formula>$I13="STOP"</formula>
    </cfRule>
    <cfRule type="expression" priority="36" dxfId="0">
      <formula>$I13="CLARIFY"</formula>
    </cfRule>
  </conditionalFormatting>
  <conditionalFormatting sqref="I14">
    <cfRule type="expression" priority="37" dxfId="1">
      <formula>$I14="RELEASE"</formula>
    </cfRule>
    <cfRule type="expression" priority="38" dxfId="2">
      <formula>$I14="CHANGE"</formula>
    </cfRule>
    <cfRule type="expression" priority="39" dxfId="3">
      <formula>$I14="STOP"</formula>
    </cfRule>
    <cfRule type="expression" priority="40" dxfId="0">
      <formula>$I14="CLARIFY"</formula>
    </cfRule>
  </conditionalFormatting>
  <conditionalFormatting sqref="I15">
    <cfRule type="expression" priority="41" dxfId="1">
      <formula>$I15="RELEASE"</formula>
    </cfRule>
    <cfRule type="expression" priority="42" dxfId="2">
      <formula>$I15="CHANGE"</formula>
    </cfRule>
    <cfRule type="expression" priority="43" dxfId="3">
      <formula>$I15="STOP"</formula>
    </cfRule>
    <cfRule type="expression" priority="44" dxfId="0">
      <formula>$I15="CLARIFY"</formula>
    </cfRule>
  </conditionalFormatting>
  <conditionalFormatting sqref="I16">
    <cfRule type="expression" priority="45" dxfId="1">
      <formula>$I16="RELEASE"</formula>
    </cfRule>
    <cfRule type="expression" priority="46" dxfId="2">
      <formula>$I16="CHANGE"</formula>
    </cfRule>
    <cfRule type="expression" priority="47" dxfId="3">
      <formula>$I16="STOP"</formula>
    </cfRule>
    <cfRule type="expression" priority="48" dxfId="0">
      <formula>$I16="CLARIFY"</formula>
    </cfRule>
  </conditionalFormatting>
  <conditionalFormatting sqref="I17">
    <cfRule type="expression" priority="49" dxfId="1">
      <formula>$I17="RELEASE"</formula>
    </cfRule>
    <cfRule type="expression" priority="50" dxfId="2">
      <formula>$I17="CHANGE"</formula>
    </cfRule>
    <cfRule type="expression" priority="51" dxfId="3">
      <formula>$I17="STOP"</formula>
    </cfRule>
    <cfRule type="expression" priority="52" dxfId="0">
      <formula>$I17="CLARIFY"</formula>
    </cfRule>
  </conditionalFormatting>
  <conditionalFormatting sqref="I18">
    <cfRule type="expression" priority="53" dxfId="1">
      <formula>$I18="RELEASE"</formula>
    </cfRule>
    <cfRule type="expression" priority="54" dxfId="2">
      <formula>$I18="CHANGE"</formula>
    </cfRule>
    <cfRule type="expression" priority="55" dxfId="3">
      <formula>$I18="STOP"</formula>
    </cfRule>
    <cfRule type="expression" priority="56" dxfId="0">
      <formula>$I18="CLARIFY"</formula>
    </cfRule>
  </conditionalFormatting>
  <conditionalFormatting sqref="I19">
    <cfRule type="expression" priority="57" dxfId="1">
      <formula>$I19="RELEASE"</formula>
    </cfRule>
    <cfRule type="expression" priority="58" dxfId="2">
      <formula>$I19="CHANGE"</formula>
    </cfRule>
    <cfRule type="expression" priority="59" dxfId="3">
      <formula>$I19="STOP"</formula>
    </cfRule>
    <cfRule type="expression" priority="60" dxfId="0">
      <formula>$I19="CLARIFY"</formula>
    </cfRule>
  </conditionalFormatting>
  <conditionalFormatting sqref="I20">
    <cfRule type="expression" priority="61" dxfId="1">
      <formula>$I20="RELEASE"</formula>
    </cfRule>
    <cfRule type="expression" priority="62" dxfId="2">
      <formula>$I20="CHANGE"</formula>
    </cfRule>
    <cfRule type="expression" priority="63" dxfId="3">
      <formula>$I20="STOP"</formula>
    </cfRule>
    <cfRule type="expression" priority="64" dxfId="0">
      <formula>$I20="CLARIFY"</formula>
    </cfRule>
  </conditionalFormatting>
  <conditionalFormatting sqref="I21">
    <cfRule type="expression" priority="65" dxfId="1">
      <formula>$I21="RELEASE"</formula>
    </cfRule>
    <cfRule type="expression" priority="66" dxfId="2">
      <formula>$I21="CHANGE"</formula>
    </cfRule>
    <cfRule type="expression" priority="67" dxfId="3">
      <formula>$I21="STOP"</formula>
    </cfRule>
    <cfRule type="expression" priority="68" dxfId="0">
      <formula>$I21="CLARIFY"</formula>
    </cfRule>
  </conditionalFormatting>
  <conditionalFormatting sqref="I22">
    <cfRule type="expression" priority="69" dxfId="1">
      <formula>$I22="RELEASE"</formula>
    </cfRule>
    <cfRule type="expression" priority="70" dxfId="2">
      <formula>$I22="CHANGE"</formula>
    </cfRule>
    <cfRule type="expression" priority="71" dxfId="3">
      <formula>$I22="STOP"</formula>
    </cfRule>
    <cfRule type="expression" priority="72" dxfId="0">
      <formula>$I22="CLARIFY"</formula>
    </cfRule>
  </conditionalFormatting>
  <conditionalFormatting sqref="I23">
    <cfRule type="expression" priority="73" dxfId="1">
      <formula>$I23="RELEASE"</formula>
    </cfRule>
    <cfRule type="expression" priority="74" dxfId="2">
      <formula>$I23="CHANGE"</formula>
    </cfRule>
    <cfRule type="expression" priority="75" dxfId="3">
      <formula>$I23="STOP"</formula>
    </cfRule>
    <cfRule type="expression" priority="76" dxfId="0">
      <formula>$I23="CLARIFY"</formula>
    </cfRule>
  </conditionalFormatting>
  <conditionalFormatting sqref="I24">
    <cfRule type="expression" priority="77" dxfId="1">
      <formula>$I24="RELEASE"</formula>
    </cfRule>
    <cfRule type="expression" priority="78" dxfId="2">
      <formula>$I24="CHANGE"</formula>
    </cfRule>
    <cfRule type="expression" priority="79" dxfId="3">
      <formula>$I24="STOP"</formula>
    </cfRule>
    <cfRule type="expression" priority="80" dxfId="0">
      <formula>$I24="CLARIFY"</formula>
    </cfRule>
  </conditionalFormatting>
  <conditionalFormatting sqref="I25">
    <cfRule type="expression" priority="81" dxfId="1">
      <formula>$I25="RELEASE"</formula>
    </cfRule>
    <cfRule type="expression" priority="82" dxfId="2">
      <formula>$I25="CHANGE"</formula>
    </cfRule>
    <cfRule type="expression" priority="83" dxfId="3">
      <formula>$I25="STOP"</formula>
    </cfRule>
    <cfRule type="expression" priority="84" dxfId="0">
      <formula>$I25="CLARIFY"</formula>
    </cfRule>
  </conditionalFormatting>
  <conditionalFormatting sqref="I26">
    <cfRule type="expression" priority="85" dxfId="1">
      <formula>$I26="RELEASE"</formula>
    </cfRule>
    <cfRule type="expression" priority="86" dxfId="2">
      <formula>$I26="CHANGE"</formula>
    </cfRule>
    <cfRule type="expression" priority="87" dxfId="3">
      <formula>$I26="STOP"</formula>
    </cfRule>
    <cfRule type="expression" priority="88" dxfId="0">
      <formula>$I26="CLARIFY"</formula>
    </cfRule>
  </conditionalFormatting>
  <conditionalFormatting sqref="I27">
    <cfRule type="expression" priority="89" dxfId="1">
      <formula>$I27="RELEASE"</formula>
    </cfRule>
    <cfRule type="expression" priority="90" dxfId="2">
      <formula>$I27="CHANGE"</formula>
    </cfRule>
    <cfRule type="expression" priority="91" dxfId="3">
      <formula>$I27="STOP"</formula>
    </cfRule>
    <cfRule type="expression" priority="92" dxfId="0">
      <formula>$I27="CLARIFY"</formula>
    </cfRule>
  </conditionalFormatting>
  <conditionalFormatting sqref="I28">
    <cfRule type="expression" priority="93" dxfId="1">
      <formula>$I28="RELEASE"</formula>
    </cfRule>
    <cfRule type="expression" priority="94" dxfId="2">
      <formula>$I28="CHANGE"</formula>
    </cfRule>
    <cfRule type="expression" priority="95" dxfId="3">
      <formula>$I28="STOP"</formula>
    </cfRule>
    <cfRule type="expression" priority="96" dxfId="0">
      <formula>$I28="CLARIFY"</formula>
    </cfRule>
  </conditionalFormatting>
  <conditionalFormatting sqref="I29">
    <cfRule type="expression" priority="97" dxfId="1">
      <formula>$I29="RELEASE"</formula>
    </cfRule>
    <cfRule type="expression" priority="98" dxfId="2">
      <formula>$I29="CHANGE"</formula>
    </cfRule>
    <cfRule type="expression" priority="99" dxfId="3">
      <formula>$I29="STOP"</formula>
    </cfRule>
    <cfRule type="expression" priority="100" dxfId="0">
      <formula>$I29="CLARIFY"</formula>
    </cfRule>
  </conditionalFormatting>
  <conditionalFormatting sqref="I30">
    <cfRule type="expression" priority="101" dxfId="1">
      <formula>$I30="RELEASE"</formula>
    </cfRule>
    <cfRule type="expression" priority="102" dxfId="2">
      <formula>$I30="CHANGE"</formula>
    </cfRule>
    <cfRule type="expression" priority="103" dxfId="3">
      <formula>$I30="STOP"</formula>
    </cfRule>
    <cfRule type="expression" priority="104" dxfId="0">
      <formula>$I30="CLARIFY"</formula>
    </cfRule>
  </conditionalFormatting>
  <conditionalFormatting sqref="I31">
    <cfRule type="expression" priority="105" dxfId="1">
      <formula>$I31="RELEASE"</formula>
    </cfRule>
    <cfRule type="expression" priority="106" dxfId="2">
      <formula>$I31="CHANGE"</formula>
    </cfRule>
    <cfRule type="expression" priority="107" dxfId="3">
      <formula>$I31="STOP"</formula>
    </cfRule>
    <cfRule type="expression" priority="108" dxfId="0">
      <formula>$I31="CLARIFY"</formula>
    </cfRule>
  </conditionalFormatting>
  <conditionalFormatting sqref="I32">
    <cfRule type="expression" priority="109" dxfId="1">
      <formula>$I32="RELEASE"</formula>
    </cfRule>
    <cfRule type="expression" priority="110" dxfId="2">
      <formula>$I32="CHANGE"</formula>
    </cfRule>
    <cfRule type="expression" priority="111" dxfId="3">
      <formula>$I32="STOP"</formula>
    </cfRule>
    <cfRule type="expression" priority="112" dxfId="0">
      <formula>$I32="CLARIFY"</formula>
    </cfRule>
  </conditionalFormatting>
  <conditionalFormatting sqref="I33">
    <cfRule type="expression" priority="113" dxfId="1">
      <formula>$I33="RELEASE"</formula>
    </cfRule>
    <cfRule type="expression" priority="114" dxfId="2">
      <formula>$I33="CHANGE"</formula>
    </cfRule>
    <cfRule type="expression" priority="115" dxfId="3">
      <formula>$I33="STOP"</formula>
    </cfRule>
    <cfRule type="expression" priority="116" dxfId="0">
      <formula>$I33="CLARIFY"</formula>
    </cfRule>
  </conditionalFormatting>
  <conditionalFormatting sqref="I34">
    <cfRule type="expression" priority="117" dxfId="1">
      <formula>$I34="RELEASE"</formula>
    </cfRule>
    <cfRule type="expression" priority="118" dxfId="2">
      <formula>$I34="CHANGE"</formula>
    </cfRule>
    <cfRule type="expression" priority="119" dxfId="3">
      <formula>$I34="STOP"</formula>
    </cfRule>
    <cfRule type="expression" priority="120" dxfId="0">
      <formula>$I34="CLARIFY"</formula>
    </cfRule>
  </conditionalFormatting>
  <conditionalFormatting sqref="I35">
    <cfRule type="expression" priority="121" dxfId="1">
      <formula>$I35="RELEASE"</formula>
    </cfRule>
    <cfRule type="expression" priority="122" dxfId="2">
      <formula>$I35="CHANGE"</formula>
    </cfRule>
    <cfRule type="expression" priority="123" dxfId="3">
      <formula>$I35="STOP"</formula>
    </cfRule>
    <cfRule type="expression" priority="124" dxfId="0">
      <formula>$I35="CLARIFY"</formula>
    </cfRule>
  </conditionalFormatting>
  <conditionalFormatting sqref="I36">
    <cfRule type="expression" priority="125" dxfId="1">
      <formula>$I36="RELEASE"</formula>
    </cfRule>
    <cfRule type="expression" priority="126" dxfId="2">
      <formula>$I36="CHANGE"</formula>
    </cfRule>
    <cfRule type="expression" priority="127" dxfId="3">
      <formula>$I36="STOP"</formula>
    </cfRule>
    <cfRule type="expression" priority="128" dxfId="0">
      <formula>$I36="CLARIFY"</formula>
    </cfRule>
  </conditionalFormatting>
  <conditionalFormatting sqref="I37">
    <cfRule type="expression" priority="129" dxfId="1">
      <formula>$I37="RELEASE"</formula>
    </cfRule>
    <cfRule type="expression" priority="130" dxfId="2">
      <formula>$I37="CHANGE"</formula>
    </cfRule>
    <cfRule type="expression" priority="131" dxfId="3">
      <formula>$I37="STOP"</formula>
    </cfRule>
    <cfRule type="expression" priority="132" dxfId="0">
      <formula>$I37="CLARIFY"</formula>
    </cfRule>
  </conditionalFormatting>
  <conditionalFormatting sqref="I38">
    <cfRule type="expression" priority="133" dxfId="1">
      <formula>$I38="RELEASE"</formula>
    </cfRule>
    <cfRule type="expression" priority="134" dxfId="2">
      <formula>$I38="CHANGE"</formula>
    </cfRule>
    <cfRule type="expression" priority="135" dxfId="3">
      <formula>$I38="STOP"</formula>
    </cfRule>
    <cfRule type="expression" priority="136" dxfId="0">
      <formula>$I38="CLARIFY"</formula>
    </cfRule>
  </conditionalFormatting>
  <conditionalFormatting sqref="I39">
    <cfRule type="expression" priority="137" dxfId="1">
      <formula>$I39="RELEASE"</formula>
    </cfRule>
    <cfRule type="expression" priority="138" dxfId="2">
      <formula>$I39="CHANGE"</formula>
    </cfRule>
    <cfRule type="expression" priority="139" dxfId="3">
      <formula>$I39="STOP"</formula>
    </cfRule>
    <cfRule type="expression" priority="140" dxfId="0">
      <formula>$I39="CLARIFY"</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 width="38" customWidth="1" min="3" max="3"/>
    <col width="58" customWidth="1" min="4" max="4"/>
  </cols>
  <sheetData>
    <row r="1">
      <c r="A1" s="10" t="inlineStr">
        <is>
          <t>Date/time</t>
        </is>
      </c>
      <c r="B1" s="10" t="inlineStr">
        <is>
          <t>Event</t>
        </is>
      </c>
      <c r="C1" s="10" t="inlineStr">
        <is>
          <t>Record</t>
        </is>
      </c>
      <c r="D1" s="10" t="inlineStr">
        <is>
          <t>Status / significance</t>
        </is>
      </c>
    </row>
    <row r="2">
      <c r="A2" s="4" t="inlineStr">
        <is>
          <t>2026-07-10 08:12</t>
        </is>
      </c>
      <c r="B2" s="4" t="inlineStr">
        <is>
          <t>Initial admission medication history captured</t>
        </is>
      </c>
      <c r="C2" s="4" t="inlineStr">
        <is>
          <t>admission_history_snapshot.xlsx / ADM-V1</t>
        </is>
      </c>
      <c r="D2" s="4" t="inlineStr">
        <is>
          <t>Historical home list</t>
        </is>
      </c>
    </row>
    <row r="3">
      <c r="A3" s="4" t="inlineStr">
        <is>
          <t>2026-07-11 17:45</t>
        </is>
      </c>
      <c r="B3" s="4" t="inlineStr">
        <is>
          <t>Nurse-reviewed admission rows captured</t>
        </is>
      </c>
      <c r="C3" s="4" t="inlineStr">
        <is>
          <t>admission_history_snapshot.xlsx / ADM-V2</t>
        </is>
      </c>
      <c r="D3" s="4" t="inlineStr">
        <is>
          <t>Historical home list</t>
        </is>
      </c>
    </row>
    <row r="4">
      <c r="A4" s="4" t="inlineStr">
        <is>
          <t>2026-07-12 06:05</t>
        </is>
      </c>
      <c r="B4" s="4" t="inlineStr">
        <is>
          <t>Admission history exported</t>
        </is>
      </c>
      <c r="C4" s="4" t="inlineStr">
        <is>
          <t>ADMEXP-20260712-4419</t>
        </is>
      </c>
      <c r="D4" s="4" t="inlineStr">
        <is>
          <t>Source snapshot</t>
        </is>
      </c>
    </row>
    <row r="5">
      <c r="A5" s="4" t="inlineStr">
        <is>
          <t>2026-07-12 06:12</t>
        </is>
      </c>
      <c r="B5" s="4" t="inlineStr">
        <is>
          <t>Admission history review queue closed</t>
        </is>
      </c>
      <c r="C5" s="4" t="inlineStr">
        <is>
          <t>RCQ-7701</t>
        </is>
      </c>
      <c r="D5" s="4" t="inlineStr">
        <is>
          <t>Approved for pharmacist review</t>
        </is>
      </c>
    </row>
    <row r="6">
      <c r="A6" s="4" t="inlineStr">
        <is>
          <t>2026-07-12 14:22</t>
        </is>
      </c>
      <c r="B6" s="4" t="inlineStr">
        <is>
          <t>Lisinopril angioedema allergy verified</t>
        </is>
      </c>
      <c r="C6" s="4" t="inlineStr">
        <is>
          <t>ALG-ACEI-20260712</t>
        </is>
      </c>
      <c r="D6" s="4" t="inlineStr">
        <is>
          <t>Active HIGH allergy</t>
        </is>
      </c>
    </row>
    <row r="7">
      <c r="A7" s="4" t="inlineStr">
        <is>
          <t>2026-07-13 09:15</t>
        </is>
      </c>
      <c r="B7" s="4" t="inlineStr">
        <is>
          <t>Patient portal list captured</t>
        </is>
      </c>
      <c r="C7" s="4" t="inlineStr">
        <is>
          <t>PTLEXP-20260713-0915</t>
        </is>
      </c>
      <c r="D7" s="4" t="inlineStr">
        <is>
          <t>Patient-reported history</t>
        </is>
      </c>
    </row>
    <row r="8">
      <c r="A8" s="4" t="inlineStr">
        <is>
          <t>2026-07-13 12:20</t>
        </is>
      </c>
      <c r="B8" s="4" t="inlineStr">
        <is>
          <t>Draft discharge summary issued</t>
        </is>
      </c>
      <c r="C8" s="4" t="inlineStr">
        <is>
          <t>DCS-744201-DRAFT</t>
        </is>
      </c>
      <c r="D8" s="4" t="inlineStr">
        <is>
          <t>Superseded</t>
        </is>
      </c>
    </row>
    <row r="9">
      <c r="A9" s="4" t="inlineStr">
        <is>
          <t>2026-07-13 16:40</t>
        </is>
      </c>
      <c r="B9" s="4" t="inlineStr">
        <is>
          <t>Final medication summary signed/effective</t>
        </is>
      </c>
      <c r="C9" s="4" t="inlineStr">
        <is>
          <t>DCS-744201-FINAL v2.0</t>
        </is>
      </c>
      <c r="D9" s="4" t="inlineStr">
        <is>
          <t>Controls discharge regimen</t>
        </is>
      </c>
    </row>
    <row r="10">
      <c r="A10" s="4" t="inlineStr">
        <is>
          <t>2026-07-13 16:44</t>
        </is>
      </c>
      <c r="B10" s="4" t="inlineStr">
        <is>
          <t>Final medication summary exported</t>
        </is>
      </c>
      <c r="C10" s="4" t="inlineStr">
        <is>
          <t>transition_summary.docx</t>
        </is>
      </c>
      <c r="D10" s="4" t="inlineStr">
        <is>
          <t>Final source snapshot</t>
        </is>
      </c>
    </row>
    <row r="11">
      <c r="A11" s="4" t="inlineStr">
        <is>
          <t>2026-07-14 08:21</t>
        </is>
      </c>
      <c r="B11" s="4" t="inlineStr">
        <is>
          <t>Spironolactone clarification opened</t>
        </is>
      </c>
      <c r="C11" s="4" t="inlineStr">
        <is>
          <t>RCQ-7732</t>
        </is>
      </c>
      <c r="D11" s="4" t="inlineStr">
        <is>
          <t>OPEN</t>
        </is>
      </c>
    </row>
    <row r="12">
      <c r="A12" s="4" t="inlineStr">
        <is>
          <t>2026-07-14 08:24</t>
        </is>
      </c>
      <c r="B12" s="4" t="inlineStr">
        <is>
          <t>Magnesium clarification opened</t>
        </is>
      </c>
      <c r="C12" s="4" t="inlineStr">
        <is>
          <t>RCQ-7737</t>
        </is>
      </c>
      <c r="D12" s="4" t="inlineStr">
        <is>
          <t>OPEN</t>
        </is>
      </c>
    </row>
    <row r="13">
      <c r="A13" s="4" t="inlineStr">
        <is>
          <t>2026-07-14 11:42</t>
        </is>
      </c>
      <c r="B13" s="4" t="inlineStr">
        <is>
          <t>Partial prescriber response</t>
        </is>
      </c>
      <c r="C13" s="4" t="inlineStr">
        <is>
          <t>clarification email quoted reply</t>
        </is>
      </c>
      <c r="D13" s="4" t="inlineStr">
        <is>
          <t>Potassium held pending BMP</t>
        </is>
      </c>
    </row>
    <row r="14">
      <c r="A14" s="4" t="inlineStr">
        <is>
          <t>2026-07-14 14:36</t>
        </is>
      </c>
      <c r="B14" s="4" t="inlineStr">
        <is>
          <t>BMP reportedly resulted: potassium 4.2</t>
        </is>
      </c>
      <c r="C14" s="4" t="inlineStr">
        <is>
          <t>clarification email only</t>
        </is>
      </c>
      <c r="D14" s="4" t="inlineStr">
        <is>
          <t>Underlying lab result absent from packet</t>
        </is>
      </c>
    </row>
    <row r="15">
      <c r="A15" s="4" t="inlineStr">
        <is>
          <t>2026-07-14 15:10</t>
        </is>
      </c>
      <c r="B15" s="4" t="inlineStr">
        <is>
          <t>Prescriber clarification sent</t>
        </is>
      </c>
      <c r="C15" s="4" t="inlineStr">
        <is>
          <t>clarification_thread_july.eml</t>
        </is>
      </c>
      <c r="D15" s="4" t="inlineStr">
        <is>
          <t>Potassium, metoprolol and PPI resolved; spironolactone/magnesium unresolved</t>
        </is>
      </c>
    </row>
    <row r="16">
      <c r="A16" s="4" t="inlineStr">
        <is>
          <t>2026-07-14 15:25</t>
        </is>
      </c>
      <c r="B16" s="4" t="inlineStr">
        <is>
          <t>Potassium queue item closed/current</t>
        </is>
      </c>
      <c r="C16" s="4" t="inlineStr">
        <is>
          <t>RCQ-7744</t>
        </is>
      </c>
      <c r="D16" s="4" t="inlineStr">
        <is>
          <t>Continue</t>
        </is>
      </c>
    </row>
    <row r="17">
      <c r="A17" s="4" t="inlineStr">
        <is>
          <t>2026-07-14 17:05</t>
        </is>
      </c>
      <c r="B17" s="4" t="inlineStr">
        <is>
          <t>PPI queue item closed/current</t>
        </is>
      </c>
      <c r="C17" s="4" t="inlineStr">
        <is>
          <t>RCQ-7751</t>
        </is>
      </c>
      <c r="D17" s="4" t="inlineStr">
        <is>
          <t>Approved substitution</t>
        </is>
      </c>
    </row>
    <row r="18">
      <c r="A18" s="4" t="inlineStr">
        <is>
          <t>2026-07-14 21:55</t>
        </is>
      </c>
      <c r="B18" s="4" t="inlineStr">
        <is>
          <t>Allergy extract exported</t>
        </is>
      </c>
      <c r="C18" s="4" t="inlineStr">
        <is>
          <t>allergy_status_extract.csv</t>
        </is>
      </c>
      <c r="D18" s="4" t="inlineStr">
        <is>
          <t>Latest allergy snapshot</t>
        </is>
      </c>
    </row>
    <row r="19">
      <c r="A19" s="4" t="inlineStr">
        <is>
          <t>2026-07-14 22:05</t>
        </is>
      </c>
      <c r="B19" s="4" t="inlineStr">
        <is>
          <t>Reconciliation queue exported</t>
        </is>
      </c>
      <c r="C19" s="4" t="inlineStr">
        <is>
          <t>reconciliation_status_extract.csv</t>
        </is>
      </c>
      <c r="D19" s="4" t="inlineStr">
        <is>
          <t>Contains unresolved and stale preliminary rows</t>
        </is>
      </c>
    </row>
    <row r="20">
      <c r="A20" s="4" t="inlineStr">
        <is>
          <t>2026-07-14 22:20</t>
        </is>
      </c>
      <c r="B20" s="4" t="inlineStr">
        <is>
          <t>Pharmacy profile exported</t>
        </is>
      </c>
      <c r="C20" s="4" t="inlineStr">
        <is>
          <t>pharmacy_profile_snapshot.xlsx</t>
        </is>
      </c>
      <c r="D20" s="4" t="inlineStr">
        <is>
          <t>Latest profile snapshot; not fully aligned</t>
        </is>
      </c>
    </row>
    <row r="21">
      <c r="A21" s="4" t="inlineStr">
        <is>
          <t>2026-07-15</t>
        </is>
      </c>
      <c r="B21" s="4" t="inlineStr">
        <is>
          <t>Packet reconciliation date</t>
        </is>
      </c>
      <c r="C21" s="4" t="inlineStr">
        <is>
          <t>transition_packet_manifest.json</t>
        </is>
      </c>
      <c r="D21" s="4" t="inlineStr">
        <is>
          <t>No distinct discharge-completion event supplied</t>
        </is>
      </c>
    </row>
  </sheetData>
  <autoFilter ref="A1:D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A1" sqref="A1"/>
    </sheetView>
  </sheetViews>
  <sheetFormatPr baseColWidth="8" defaultRowHeight="15"/>
  <cols>
    <col width="20" customWidth="1" min="1" max="1"/>
    <col width="17" customWidth="1" min="2" max="2"/>
    <col width="25" customWidth="1" min="3" max="3"/>
    <col width="12" customWidth="1" min="4" max="4"/>
    <col width="12" customWidth="1" min="5" max="5"/>
    <col width="13" customWidth="1" min="6" max="6"/>
    <col width="12" customWidth="1" min="7" max="7"/>
    <col width="18" customWidth="1" min="8" max="8"/>
    <col width="18" customWidth="1" min="9" max="9"/>
    <col width="35" customWidth="1" min="10" max="10"/>
    <col width="17" customWidth="1" min="11" max="11"/>
    <col width="42" customWidth="1" min="12" max="12"/>
  </cols>
  <sheetData>
    <row r="1">
      <c r="A1" s="10" t="inlineStr">
        <is>
          <t>allergy_id</t>
        </is>
      </c>
      <c r="B1" s="10" t="inlineStr">
        <is>
          <t>case_id</t>
        </is>
      </c>
      <c r="C1" s="10" t="inlineStr">
        <is>
          <t>substance</t>
        </is>
      </c>
      <c r="D1" s="10" t="inlineStr">
        <is>
          <t>reaction</t>
        </is>
      </c>
      <c r="E1" s="10" t="inlineStr">
        <is>
          <t>severity</t>
        </is>
      </c>
      <c r="F1" s="10" t="inlineStr">
        <is>
          <t>record_type</t>
        </is>
      </c>
      <c r="G1" s="10" t="inlineStr">
        <is>
          <t>status</t>
        </is>
      </c>
      <c r="H1" s="10" t="inlineStr">
        <is>
          <t>recorded_at</t>
        </is>
      </c>
      <c r="I1" s="10" t="inlineStr">
        <is>
          <t>verified_at</t>
        </is>
      </c>
      <c r="J1" s="10" t="inlineStr">
        <is>
          <t>source</t>
        </is>
      </c>
      <c r="K1" s="10" t="inlineStr">
        <is>
          <t>crosswalk_group</t>
        </is>
      </c>
      <c r="L1" s="10" t="inlineStr">
        <is>
          <t>notes</t>
        </is>
      </c>
    </row>
    <row r="2">
      <c r="A2" s="4" t="inlineStr">
        <is>
          <t>ALG-PCN-20240703</t>
        </is>
      </c>
      <c r="B2" s="4" t="inlineStr">
        <is>
          <t>CT-2026-0713-18</t>
        </is>
      </c>
      <c r="C2" s="4" t="inlineStr">
        <is>
          <t>penicillin class</t>
        </is>
      </c>
      <c r="D2" s="4" t="inlineStr">
        <is>
          <t>hives</t>
        </is>
      </c>
      <c r="E2" s="4" t="inlineStr">
        <is>
          <t>HIGH</t>
        </is>
      </c>
      <c r="F2" s="4" t="inlineStr">
        <is>
          <t>allergy</t>
        </is>
      </c>
      <c r="G2" s="4" t="inlineStr">
        <is>
          <t>active</t>
        </is>
      </c>
      <c r="H2" s="4" t="inlineStr">
        <is>
          <t>2024-07-03 10:14</t>
        </is>
      </c>
      <c r="I2" s="4" t="inlineStr">
        <is>
          <t>2026-07-10 12:44</t>
        </is>
      </c>
      <c r="J2" s="4" t="inlineStr">
        <is>
          <t>admission interview</t>
        </is>
      </c>
      <c r="K2" s="4" t="inlineStr">
        <is>
          <t>penicillin</t>
        </is>
      </c>
      <c r="L2" s="4" t="inlineStr">
        <is>
          <t>Used for penicillin-class medication screening.</t>
        </is>
      </c>
    </row>
    <row r="3">
      <c r="A3" s="4" t="inlineStr">
        <is>
          <t>ALG-ACEI-20260710</t>
        </is>
      </c>
      <c r="B3" s="4" t="inlineStr">
        <is>
          <t>CT-2026-0713-18</t>
        </is>
      </c>
      <c r="C3" s="4" t="inlineStr">
        <is>
          <t>lisinopril</t>
        </is>
      </c>
      <c r="D3" s="4" t="inlineStr">
        <is>
          <t>cough</t>
        </is>
      </c>
      <c r="E3" s="4" t="inlineStr">
        <is>
          <t>LOW</t>
        </is>
      </c>
      <c r="F3" s="4" t="inlineStr">
        <is>
          <t>intolerance</t>
        </is>
      </c>
      <c r="G3" s="4" t="inlineStr">
        <is>
          <t>inactive</t>
        </is>
      </c>
      <c r="H3" s="4" t="inlineStr">
        <is>
          <t>2026-07-10 08:41</t>
        </is>
      </c>
      <c r="I3" s="4" t="inlineStr">
        <is>
          <t>2026-07-12 14:22</t>
        </is>
      </c>
      <c r="J3" s="4" t="inlineStr">
        <is>
          <t>admission interview</t>
        </is>
      </c>
      <c r="K3" s="4" t="inlineStr">
        <is>
          <t>ACE inhibitor</t>
        </is>
      </c>
      <c r="L3" s="4" t="inlineStr">
        <is>
          <t>Superseded by verified allergy update.</t>
        </is>
      </c>
    </row>
    <row r="4">
      <c r="A4" s="4" t="inlineStr">
        <is>
          <t>ALG-ACEI-20260712</t>
        </is>
      </c>
      <c r="B4" s="4" t="inlineStr">
        <is>
          <t>CT-2026-0713-18</t>
        </is>
      </c>
      <c r="C4" s="4" t="inlineStr">
        <is>
          <t>lisinopril</t>
        </is>
      </c>
      <c r="D4" s="4" t="inlineStr">
        <is>
          <t>angioedema</t>
        </is>
      </c>
      <c r="E4" s="4" t="inlineStr">
        <is>
          <t>HIGH</t>
        </is>
      </c>
      <c r="F4" s="4" t="inlineStr">
        <is>
          <t>allergy</t>
        </is>
      </c>
      <c r="G4" s="4" t="inlineStr">
        <is>
          <t>active</t>
        </is>
      </c>
      <c r="H4" s="4" t="inlineStr">
        <is>
          <t>2026-07-12 14:22</t>
        </is>
      </c>
      <c r="I4" s="4" t="inlineStr">
        <is>
          <t>2026-07-12 14:22</t>
        </is>
      </c>
      <c r="J4" s="4" t="inlineStr">
        <is>
          <t>allergy nurse verification</t>
        </is>
      </c>
      <c r="K4" s="4" t="inlineStr">
        <is>
          <t>ACE inhibitor</t>
        </is>
      </c>
      <c r="L4" s="4" t="inlineStr">
        <is>
          <t>Active severe reaction.</t>
        </is>
      </c>
    </row>
    <row r="5">
      <c r="A5" s="4" t="inlineStr">
        <is>
          <t>ALG-NSAID-20260218</t>
        </is>
      </c>
      <c r="B5" s="4" t="inlineStr">
        <is>
          <t>CT-2026-0713-18</t>
        </is>
      </c>
      <c r="C5" s="4" t="inlineStr">
        <is>
          <t>naproxen</t>
        </is>
      </c>
      <c r="D5" s="4" t="inlineStr">
        <is>
          <t>hives</t>
        </is>
      </c>
      <c r="E5" s="4" t="inlineStr">
        <is>
          <t>HIGH</t>
        </is>
      </c>
      <c r="F5" s="4" t="inlineStr">
        <is>
          <t>allergy</t>
        </is>
      </c>
      <c r="G5" s="4" t="inlineStr">
        <is>
          <t>active</t>
        </is>
      </c>
      <c r="H5" s="4" t="inlineStr">
        <is>
          <t>2026-02-18 09:05</t>
        </is>
      </c>
      <c r="I5" s="4" t="inlineStr">
        <is>
          <t>2026-07-10 12:47</t>
        </is>
      </c>
      <c r="J5" s="4" t="inlineStr">
        <is>
          <t>patient-reported verified history</t>
        </is>
      </c>
      <c r="K5" s="4" t="inlineStr">
        <is>
          <t>NSAID</t>
        </is>
      </c>
      <c r="L5" s="4" t="inlineStr">
        <is>
          <t>Applies to naproxen source rows.</t>
        </is>
      </c>
    </row>
    <row r="6">
      <c r="A6" s="4" t="inlineStr">
        <is>
          <t>ALG-LATEX-20220109</t>
        </is>
      </c>
      <c r="B6" s="4" t="inlineStr">
        <is>
          <t>CT-2026-0713-18</t>
        </is>
      </c>
      <c r="C6" s="4" t="inlineStr">
        <is>
          <t>latex</t>
        </is>
      </c>
      <c r="D6" s="4" t="inlineStr">
        <is>
          <t>rash</t>
        </is>
      </c>
      <c r="E6" s="4" t="inlineStr">
        <is>
          <t>MED</t>
        </is>
      </c>
      <c r="F6" s="4" t="inlineStr">
        <is>
          <t>allergy</t>
        </is>
      </c>
      <c r="G6" s="4" t="inlineStr">
        <is>
          <t>active</t>
        </is>
      </c>
      <c r="H6" s="4" t="inlineStr">
        <is>
          <t>2022-01-09 15:22</t>
        </is>
      </c>
      <c r="I6" s="4" t="inlineStr">
        <is>
          <t>2026-07-10 12:47</t>
        </is>
      </c>
      <c r="J6" s="4" t="inlineStr">
        <is>
          <t>EHR allergy module</t>
        </is>
      </c>
      <c r="K6" s="4" t="inlineStr">
        <is>
          <t>non-medication</t>
        </is>
      </c>
      <c r="L6" s="4" t="inlineStr">
        <is>
          <t>No medication row maps to this allergy.</t>
        </is>
      </c>
    </row>
    <row r="7">
      <c r="A7" s="4" t="inlineStr">
        <is>
          <t>ALG-SULFA-20230718</t>
        </is>
      </c>
      <c r="B7" s="4" t="inlineStr">
        <is>
          <t>CT-2026-0713-18</t>
        </is>
      </c>
      <c r="C7" s="4" t="inlineStr">
        <is>
          <t>sulfonamide antibiotics</t>
        </is>
      </c>
      <c r="D7" s="4" t="inlineStr">
        <is>
          <t>nausea</t>
        </is>
      </c>
      <c r="E7" s="4" t="inlineStr">
        <is>
          <t>LOW</t>
        </is>
      </c>
      <c r="F7" s="4" t="inlineStr">
        <is>
          <t>intolerance</t>
        </is>
      </c>
      <c r="G7" s="4" t="inlineStr">
        <is>
          <t>active</t>
        </is>
      </c>
      <c r="H7" s="4" t="inlineStr">
        <is>
          <t>2023-07-18 11:26</t>
        </is>
      </c>
      <c r="I7" s="4" t="inlineStr">
        <is>
          <t>2026-07-10 12:47</t>
        </is>
      </c>
      <c r="J7" s="4" t="inlineStr">
        <is>
          <t>patient-reported</t>
        </is>
      </c>
      <c r="K7" s="4" t="inlineStr">
        <is>
          <t>sulfonamide</t>
        </is>
      </c>
      <c r="L7" s="4" t="inlineStr">
        <is>
          <t>Operational guide says intolerance alone is not an automatic stop.</t>
        </is>
      </c>
    </row>
  </sheetData>
  <autoFilter ref="A1:L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0" customWidth="1" min="1" max="1"/>
    <col width="38" customWidth="1" min="2" max="2"/>
    <col width="22" customWidth="1" min="3" max="3"/>
    <col width="68" customWidth="1" min="4" max="4"/>
  </cols>
  <sheetData>
    <row r="1">
      <c r="A1" s="10" t="inlineStr">
        <is>
          <t>Priority</t>
        </is>
      </c>
      <c r="B1" s="10" t="inlineStr">
        <is>
          <t>Source</t>
        </is>
      </c>
      <c r="C1" s="10" t="inlineStr">
        <is>
          <t>Exported at</t>
        </is>
      </c>
      <c r="D1" s="10" t="inlineStr">
        <is>
          <t>Purpose / operational use</t>
        </is>
      </c>
    </row>
    <row r="2">
      <c r="A2" s="4" t="n">
        <v>1</v>
      </c>
      <c r="B2" s="4" t="inlineStr">
        <is>
          <t>transition_summary.docx</t>
        </is>
      </c>
      <c r="C2" s="4" t="inlineStr">
        <is>
          <t>2026-07-13 16:44</t>
        </is>
      </c>
      <c r="D2" s="4" t="inlineStr">
        <is>
          <t>Final signed discharge medication instructions.</t>
        </is>
      </c>
    </row>
    <row r="3">
      <c r="A3" s="4" t="n">
        <v>2</v>
      </c>
      <c r="B3" s="4" t="inlineStr">
        <is>
          <t>clarification_thread_july.eml</t>
        </is>
      </c>
      <c r="C3" s="4" t="inlineStr">
        <is>
          <t>2026-07-14 15:10</t>
        </is>
      </c>
      <c r="D3" s="4" t="inlineStr">
        <is>
          <t>Post-discharge clarification for unresolved medication rows.</t>
        </is>
      </c>
    </row>
    <row r="4">
      <c r="A4" s="4" t="n">
        <v>3</v>
      </c>
      <c r="B4" s="4" t="inlineStr">
        <is>
          <t>allergy_status_extract.csv</t>
        </is>
      </c>
      <c r="C4" s="4" t="inlineStr">
        <is>
          <t>2026-07-14 21:55</t>
        </is>
      </c>
      <c r="D4" s="4" t="inlineStr">
        <is>
          <t>Active and superseded allergy facts for reconciliation.</t>
        </is>
      </c>
    </row>
    <row r="5">
      <c r="A5" s="4" t="n">
        <v>4</v>
      </c>
      <c r="B5" s="4" t="inlineStr">
        <is>
          <t>formulary_reference.docx</t>
        </is>
      </c>
      <c r="C5" s="4" t="inlineStr">
        <is>
          <t>2026-07-01 08:00</t>
        </is>
      </c>
      <c r="D5" s="4" t="inlineStr">
        <is>
          <t>Authority, substitution, and safety-boundary rules.</t>
        </is>
      </c>
    </row>
    <row r="6">
      <c r="A6" s="4" t="n">
        <v>5</v>
      </c>
      <c r="B6" s="4" t="inlineStr">
        <is>
          <t>pharmacy_profile_snapshot.xlsx</t>
        </is>
      </c>
      <c r="C6" s="4" t="inlineStr">
        <is>
          <t>2026-07-14 22:20</t>
        </is>
      </c>
      <c r="D6" s="4" t="inlineStr">
        <is>
          <t>Active, inactive, ready-to-fill, and dispense history rows.</t>
        </is>
      </c>
    </row>
    <row r="7">
      <c r="A7" s="4" t="n">
        <v>6</v>
      </c>
      <c r="B7" s="4" t="inlineStr">
        <is>
          <t>admission_history_snapshot.xlsx</t>
        </is>
      </c>
      <c r="C7" s="4" t="inlineStr">
        <is>
          <t>2026-07-12 06:05</t>
        </is>
      </c>
      <c r="D7" s="4" t="inlineStr">
        <is>
          <t>Admission and nurse-reviewed home medication history.</t>
        </is>
      </c>
    </row>
    <row r="8">
      <c r="A8" s="4" t="n">
        <v>6</v>
      </c>
      <c r="B8" s="4" t="inlineStr">
        <is>
          <t>patient_list_snapshot.xlsx</t>
        </is>
      </c>
      <c r="C8" s="4" t="inlineStr">
        <is>
          <t>2026-07-13 09:15</t>
        </is>
      </c>
      <c r="D8" s="4" t="inlineStr">
        <is>
          <t>Self-maintained patient medication list and duplicate patient-entered rows.</t>
        </is>
      </c>
    </row>
    <row r="9">
      <c r="A9" s="4" t="n">
        <v>7</v>
      </c>
      <c r="B9" s="4" t="inlineStr">
        <is>
          <t>reconciliation_status_extract.csv</t>
        </is>
      </c>
      <c r="C9" s="4" t="inlineStr">
        <is>
          <t>2026-07-14 22:05</t>
        </is>
      </c>
      <c r="D9" s="4" t="inlineStr">
        <is>
          <t>Workflow statuses and revision states.</t>
        </is>
      </c>
    </row>
  </sheetData>
  <autoFilter ref="A1:D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25" customWidth="1" min="1" max="1"/>
  </cols>
  <sheetData>
    <row r="1">
      <c r="A1" s="12" t="inlineStr">
        <is>
          <t>Purpose</t>
        </is>
      </c>
    </row>
    <row r="2">
      <c r="A2" s="13" t="inlineStr">
        <is>
          <t>This workbook aligns medication evidence for case CT-2026-0713-18. It is an editable reconciliation aid, not a replacement for prescriber verification.</t>
        </is>
      </c>
    </row>
    <row r="3">
      <c r="A3" s="13" t="inlineStr"/>
    </row>
    <row r="4">
      <c r="A4" s="12" t="inlineStr">
        <is>
          <t>How to use</t>
        </is>
      </c>
    </row>
    <row r="5">
      <c r="A5" s="13" t="inlineStr">
        <is>
          <t>Edit Med_Reconciliation. Filter it by Evidence status=OPEN, Active profile row?=YES, action, owner, due date, or risk. Each MED-### row is one retained identity. Summary_Checks and Action_View are linked outputs that recalculate from the source table.</t>
        </is>
      </c>
    </row>
    <row r="6">
      <c r="A6" s="13" t="inlineStr"/>
    </row>
    <row r="7">
      <c r="A7" s="12" t="inlineStr">
        <is>
          <t>Source rule</t>
        </is>
      </c>
    </row>
    <row r="8">
      <c r="A8" s="13" t="inlineStr">
        <is>
          <t>The final signed care-transition summary controls after 2026-07-13 16:40. A later prescriber clarification can resolve a question created by the summary. Pharmacy, admission, and patient lists provide evidence but do not override those records.</t>
        </is>
      </c>
    </row>
    <row r="9">
      <c r="A9" s="13" t="inlineStr"/>
    </row>
    <row r="10">
      <c r="A10" s="12" t="inlineStr">
        <is>
          <t>Normalization</t>
        </is>
      </c>
    </row>
    <row r="11">
      <c r="A11" s="13" t="inlineStr">
        <is>
          <t>Approved product-level substitutions are grouped in one canonical row: glargine U-100 products, albuterol HFA products, potassium ER products, and pantoprazole/omeprazole. Explicit non-substitutions—metoprolol tartrate vs succinate ER and atorvastatin vs rosuvastatin—remain separate.</t>
        </is>
      </c>
    </row>
    <row r="12">
      <c r="A12" s="13" t="inlineStr"/>
    </row>
    <row r="13">
      <c r="A13" s="12" t="inlineStr">
        <is>
          <t>Known open items</t>
        </is>
      </c>
    </row>
    <row r="14">
      <c r="A14" s="13" t="inlineStr">
        <is>
          <t>Spironolactone and magnesium oxide are not confirmed. The actual BMP report, final dispensing proof, patient acknowledgment, and a distinct physical discharge timestamp are absent.</t>
        </is>
      </c>
    </row>
    <row r="15">
      <c r="A15" s="13" t="inlineStr"/>
    </row>
    <row r="16">
      <c r="A16" s="12" t="inlineStr">
        <is>
          <t>Risk and escalation</t>
        </is>
      </c>
    </row>
    <row r="17">
      <c r="A17" s="13" t="inlineStr">
        <is>
          <t>Each identity row contains a dated evidence timeline, controlled-reference risk tier, assigned owner, and exact due date. Dates are anchored to the packet reconciliation date of 2026-07-15: active-profile work and HIGH review are due 2026-07-15, MED follow-up 2026-07-16, and routine LOW reconciliation 2026-07-17. CLARIFY rows remain held after the due date until the named service responds.</t>
        </is>
      </c>
    </row>
    <row r="18">
      <c r="A18" s="13" t="inlineStr"/>
    </row>
    <row r="19">
      <c r="A19" s="12" t="inlineStr">
        <is>
          <t>Owner assignment</t>
        </is>
      </c>
    </row>
    <row r="20">
      <c r="A20" s="13" t="inlineStr">
        <is>
          <t>Owen Laird, PharmD is assigned as the accountable workbook owner because the source email identifies him as the outpatient pharmacist reconciling this case for discharge fill and the current queue rows name him as reviewer. Spironolactone routes to Cardiology and magnesium routes to the Discharging Service; Owen retains responsibility for the hold and follow-up.</t>
        </is>
      </c>
    </row>
    <row r="21">
      <c r="A21" s="13" t="inlineStr"/>
    </row>
    <row r="22">
      <c r="A22" s="12" t="inlineStr">
        <is>
          <t>Recomputable checks and views</t>
        </is>
      </c>
    </row>
    <row r="23">
      <c r="A23" s="13" t="inlineStr">
        <is>
          <t>Med_Reconciliation is an Excel table named MedRecTable. Summary_Checks uses COUNTIF/COUNTIFS formulas for live totals and zero-exception integrity checks. Action_View mirrors the row-level action fields with table filters. Workbook calculation is forced to automatic on open.</t>
        </is>
      </c>
    </row>
    <row r="24">
      <c r="A24" s="13" t="inlineStr"/>
    </row>
    <row r="25">
      <c r="A25" s="12" t="inlineStr">
        <is>
          <t>Same-day fill call</t>
        </is>
      </c>
    </row>
    <row r="26">
      <c r="A26" s="13" t="inlineStr">
        <is>
          <t>Only a row marked Active profile row?=YES receives a same-day profile action: RELEASE, CHANGE, STOP, or CLARIFY. Inactive or absent profile identities have no operational action. Their signed-summary disposition remains visible only as source evidence and is not converted into an inferred fill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2026-07-26T15:09:49Z</dcterms:created>
  <dcterms:modified xmlns:dcterms="http://purl.org/dc/terms/" xmlns:xsi="http://www.w3.org/2001/XMLSchema-instance" xsi:type="dcterms:W3CDTF">2026-07-26T15:09:49Z</dcterms:modified>
</cp:coreProperties>
</file>