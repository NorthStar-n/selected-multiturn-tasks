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osition_Register" sheetId="1" state="visible" r:id="rId1"/>
  </sheets>
  <definedNames>
    <definedName name="_xlnm._FilterDatabase" localSheetId="0" hidden="1">'Disposition_Register'!$A$4:$BW$22</definedName>
    <definedName name="_xlnm.Print_Area" localSheetId="0">'Disposition_Register'!$A$1:$AG$58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  <sz val="10"/>
    </font>
    <font>
      <b val="1"/>
      <color rgb="00FFFFFF"/>
    </font>
    <font>
      <b val="1"/>
      <color rgb="0017365D"/>
    </font>
    <font>
      <b val="1"/>
      <color rgb="0017365D"/>
      <sz val="13"/>
    </font>
    <font>
      <b val="1"/>
      <color rgb="00FFFFFF"/>
      <sz val="15"/>
    </font>
    <font>
      <i val="1"/>
      <color rgb="00666666"/>
    </font>
  </fonts>
  <fills count="10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548235"/>
      </patternFill>
    </fill>
    <fill>
      <patternFill patternType="solid">
        <fgColor rgb="000F6B78"/>
      </patternFill>
    </fill>
    <fill>
      <patternFill patternType="solid">
        <fgColor rgb="008064A2"/>
      </patternFill>
    </fill>
    <fill>
      <patternFill patternType="solid">
        <fgColor rgb="00BF8F00"/>
      </patternFill>
    </fill>
    <fill>
      <patternFill patternType="solid">
        <fgColor rgb="007F6000"/>
      </patternFill>
    </fill>
    <fill>
      <patternFill patternType="solid">
        <fgColor rgb="004472C4"/>
      </patternFill>
    </fill>
  </fills>
  <borders count="3">
    <border>
      <left/>
      <right/>
      <top/>
      <bottom/>
      <diagonal/>
    </border>
    <border>
      <bottom style="thin">
        <color rgb="00B7B7B7"/>
      </bottom>
    </border>
    <border>
      <bottom style="hair">
        <color rgb="00D9E1F2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0" pivotButton="0" quotePrefix="0" xfId="0"/>
    <xf numFmtId="0" fontId="4" fillId="0" borderId="1" pivotButton="0" quotePrefix="0" xfId="0"/>
    <xf numFmtId="0" fontId="0" fillId="0" borderId="1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0" fontId="0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3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3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3" fillId="8" borderId="0" applyAlignment="1" pivotButton="0" quotePrefix="0" xfId="0">
      <alignment horizontal="center" vertical="center"/>
    </xf>
    <xf numFmtId="0" fontId="0" fillId="8" borderId="0" pivotButton="0" quotePrefix="0" xfId="0"/>
    <xf numFmtId="0" fontId="3" fillId="9" borderId="0" applyAlignment="1" pivotButton="0" quotePrefix="0" xfId="0">
      <alignment vertical="center" wrapText="1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0" fontId="6" fillId="2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3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ill>
        <patternFill patternType="solid">
          <fgColor rgb="00E2F0D9"/>
        </patternFill>
      </fill>
    </dxf>
    <dxf>
      <fill>
        <patternFill patternType="solid">
          <fgColor rgb="00D9EAF7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Final Exceptions by Category and Aging Band</a:t>
            </a:r>
          </a:p>
        </rich>
      </tx>
    </title>
    <plotArea>
      <barChart>
        <barDir val="bar"/>
        <grouping val="stacked"/>
        <varyColors val="0"/>
        <ser>
          <idx val="0"/>
          <order val="0"/>
          <tx>
            <strRef>
              <f>'Disposition_Register'!B28</f>
            </strRef>
          </tx>
          <spPr>
            <a:ln xmlns:a="http://schemas.openxmlformats.org/drawingml/2006/main">
              <a:prstDash val="solid"/>
            </a:ln>
          </spPr>
          <cat>
            <numRef>
              <f>'Disposition_Register'!$A$29:$A$41</f>
            </numRef>
          </cat>
          <val>
            <numRef>
              <f>'Disposition_Register'!$B$29:$B$41</f>
            </numRef>
          </val>
        </ser>
        <ser>
          <idx val="1"/>
          <order val="1"/>
          <tx>
            <strRef>
              <f>'Disposition_Register'!C28</f>
            </strRef>
          </tx>
          <spPr>
            <a:ln xmlns:a="http://schemas.openxmlformats.org/drawingml/2006/main">
              <a:prstDash val="solid"/>
            </a:ln>
          </spPr>
          <cat>
            <numRef>
              <f>'Disposition_Register'!$A$29:$A$41</f>
            </numRef>
          </cat>
          <val>
            <numRef>
              <f>'Disposition_Register'!$C$29:$C$41</f>
            </numRef>
          </val>
        </ser>
        <ser>
          <idx val="2"/>
          <order val="2"/>
          <tx>
            <strRef>
              <f>'Disposition_Register'!D28</f>
            </strRef>
          </tx>
          <spPr>
            <a:ln xmlns:a="http://schemas.openxmlformats.org/drawingml/2006/main">
              <a:prstDash val="solid"/>
            </a:ln>
          </spPr>
          <cat>
            <numRef>
              <f>'Disposition_Register'!$A$29:$A$41</f>
            </numRef>
          </cat>
          <val>
            <numRef>
              <f>'Disposition_Register'!$D$29:$D$41</f>
            </numRef>
          </val>
        </ser>
        <dLbls>
          <showLegendKey val="0"/>
          <showVal val="1"/>
          <showCatName val="0"/>
          <showSerName val="0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Exception 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J4" authorId="0" shapeId="0">
      <text>
        <t>COMPLETE requires the controlled dated response packet evidence. It does not imply that an order was uploaded/shipped or that feasibility was approved.</t>
      </text>
    </comment>
    <comment ref="K4" authorId="0" shapeId="0">
      <text>
        <t>Separates response completion from downstream execution: order request prepared, referral prepared/pending, held, response-only, or no referral.</t>
      </text>
    </comment>
    <comment ref="L4" authorId="0" shapeId="0">
      <text>
        <t>Tracks the approved response form against Case_ID and Source_Corr_ID. No separate packet ID exists in the supplied source.</t>
      </text>
    </comment>
    <comment ref="N4" authorId="0" shapeId="0">
      <text>
        <t>Compares Response_Date to Response_Due_Date.</t>
      </text>
    </comment>
    <comment ref="T4" authorId="0" shapeId="0">
      <text>
        <t>Case_History FINAL_DISPOSITION response-packet evidence. This proves correspondence completion, not downstream completion.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25</row>
      <rowOff>0</rowOff>
    </from>
    <ext cx="97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ispositionRegisterTracked" displayName="DispositionRegisterTracked" ref="A4:BW22" headerRowCount="1">
  <autoFilter ref="A4:BW22"/>
  <tableColumns count="75">
    <tableColumn id="1" name="Case_ID"/>
    <tableColumn id="2" name="Source_Corr_ID"/>
    <tableColumn id="3" name="Received_Date"/>
    <tableColumn id="4" name="Response_Due_Date"/>
    <tableColumn id="5" name="Assigned_Owner"/>
    <tableColumn id="6" name="Exception_Code"/>
    <tableColumn id="7" name="Disposition_Code"/>
    <tableColumn id="8" name="Response_Form"/>
    <tableColumn id="9" name="Latest_Case_Status"/>
    <tableColumn id="10" name="Correspondence_Status"/>
    <tableColumn id="11" name="Downstream_Work_Status"/>
    <tableColumn id="12" name="Response_Tracking_Status"/>
    <tableColumn id="13" name="Response_Date"/>
    <tableColumn id="14" name="Response_Timeliness"/>
    <tableColumn id="15" name="Final_Outcome"/>
    <tableColumn id="16" name="Qty_Approved"/>
    <tableColumn id="17" name="Import_Row_Eligible"/>
    <tableColumn id="18" name="Next_Action_Owner"/>
    <tableColumn id="19" name="Next_Action"/>
    <tableColumn id="20" name="Correspondence_Evidence"/>
    <tableColumn id="21" name="Closeout_Risk"/>
    <tableColumn id="22" name="Message_ID"/>
    <tableColumn id="23" name="Request_Channel"/>
    <tableColumn id="24" name="Subject"/>
    <tableColumn id="25" name="Message_Excerpt"/>
    <tableColumn id="26" name="Requested_Line_ID"/>
    <tableColumn id="27" name="Requested_Product"/>
    <tableColumn id="28" name="Requested_SKU"/>
    <tableColumn id="29" name="Qty_Requested"/>
    <tableColumn id="30" name="Proof_Status"/>
    <tableColumn id="31" name="Attachment_Received_Flag"/>
    <tableColumn id="32" name="Duplicate_Of"/>
    <tableColumn id="33" name="Unclear_Product_Flag"/>
    <tableColumn id="34" name="Customer_ID"/>
    <tableColumn id="35" name="Account_ID"/>
    <tableColumn id="36" name="Account_Name"/>
    <tableColumn id="37" name="Account_Status"/>
    <tableColumn id="38" name="Contact_Name"/>
    <tableColumn id="39" name="Contact_Email"/>
    <tableColumn id="40" name="Preferred_Method"/>
    <tableColumn id="41" name="Language"/>
    <tableColumn id="42" name="Warranty_ID"/>
    <tableColumn id="43" name="Entitlement_Status"/>
    <tableColumn id="44" name="Coverage_End_Date"/>
    <tableColumn id="45" name="Covered_Product_Family"/>
    <tableColumn id="46" name="Remaining_Allowance"/>
    <tableColumn id="47" name="Resolved_SKU"/>
    <tableColumn id="48" name="Resolved_Product_Family"/>
    <tableColumn id="49" name="Availability_Code"/>
    <tableColumn id="50" name="Available_To_Promise"/>
    <tableColumn id="51" name="Backorder_Date"/>
    <tableColumn id="52" name="Unit_Price"/>
    <tableColumn id="53" name="Handling_Fee"/>
    <tableColumn id="54" name="Internal_Warranty_Value"/>
    <tableColumn id="55" name="Currency"/>
    <tableColumn id="56" name="Ship_To_ID"/>
    <tableColumn id="57" name="Ship_To_Address"/>
    <tableColumn id="58" name="Address_Validation_Status"/>
    <tableColumn id="59" name="Country_Serviceability"/>
    <tableColumn id="60" name="Credit_Status_Code"/>
    <tableColumn id="61" name="Capability_Status"/>
    <tableColumn id="62" name="Capability_Note"/>
    <tableColumn id="63" name="Route_Code"/>
    <tableColumn id="64" name="Route_Queue"/>
    <tableColumn id="65" name="Route_Email"/>
    <tableColumn id="66" name="Route_SLA_Business_Days"/>
    <tableColumn id="67" name="Handoff_Days_Open"/>
    <tableColumn id="68" name="Handoff_Age_Band"/>
    <tableColumn id="69" name="Handoff_Status"/>
    <tableColumn id="70" name="Owner_Note"/>
    <tableColumn id="71" name="Handoff_Next_Action_Due"/>
    <tableColumn id="72" name="Response_Clause"/>
    <tableColumn id="73" name="Approved_Signer"/>
    <tableColumn id="74" name="Distribution_Record"/>
    <tableColumn id="75" name="Evidence_Join_Tra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xceptionAgingSummary" displayName="ExceptionAgingSummary" ref="A28:E41" headerRowCount="1">
  <autoFilter ref="A28:E41"/>
  <tableColumns count="5">
    <tableColumn id="1" name="Exception Category"/>
    <tableColumn id="2" name="0–2 Days"/>
    <tableColumn id="3" name="3–5 Days"/>
    <tableColumn id="4" name="6–10 Days"/>
    <tableColumn id="5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W41"/>
  <sheetViews>
    <sheetView showGridLines="0" zoomScale="75"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23" customWidth="1" min="2" max="2"/>
    <col width="15" customWidth="1" min="3" max="3"/>
    <col width="19" customWidth="1" min="4" max="4"/>
    <col width="16" customWidth="1" min="5" max="5"/>
    <col width="31" customWidth="1" min="6" max="6"/>
    <col width="38" customWidth="1" min="7" max="7"/>
    <col width="27" customWidth="1" min="8" max="8"/>
    <col width="28" customWidth="1" min="9" max="9"/>
    <col width="38" customWidth="1" min="10" max="10"/>
    <col width="51" customWidth="1" min="11" max="11"/>
    <col width="54" customWidth="1" min="12" max="12"/>
    <col width="15" customWidth="1" min="13" max="13"/>
    <col width="21" customWidth="1" min="14" max="14"/>
    <col width="65" customWidth="1" min="15" max="15"/>
    <col width="14" customWidth="1" min="16" max="16"/>
    <col width="21" customWidth="1" min="17" max="17"/>
    <col width="39" customWidth="1" min="18" max="18"/>
    <col width="78" customWidth="1" min="19" max="19"/>
    <col width="40" customWidth="1" min="20" max="20"/>
    <col width="15" customWidth="1" min="21" max="21"/>
    <col width="13" customWidth="1" min="22" max="22"/>
    <col width="17" customWidth="1" min="23" max="23"/>
    <col width="35" customWidth="1" min="24" max="24"/>
    <col width="58" customWidth="1" min="25" max="25"/>
    <col width="19" customWidth="1" min="26" max="26"/>
    <col width="38" customWidth="1" min="27" max="27"/>
    <col width="15" customWidth="1" min="28" max="28"/>
    <col width="15" customWidth="1" min="29" max="29"/>
    <col width="14" customWidth="1" min="30" max="30"/>
    <col width="24" customWidth="1" min="31" max="31"/>
    <col width="14" customWidth="1" min="32" max="32"/>
    <col width="22" customWidth="1" min="33" max="33"/>
    <col width="13" customWidth="1" min="34" max="34"/>
    <col width="13" customWidth="1" min="35" max="35"/>
    <col width="25" customWidth="1" min="36" max="36"/>
    <col width="16" customWidth="1" min="37" max="37"/>
    <col width="14" customWidth="1" min="38" max="38"/>
    <col width="32" customWidth="1" min="39" max="39"/>
    <col width="18" customWidth="1" min="40" max="40"/>
    <col width="13" customWidth="1" min="41" max="41"/>
    <col width="13" customWidth="1" min="42" max="42"/>
    <col width="20" customWidth="1" min="43" max="43"/>
    <col width="19" customWidth="1" min="44" max="44"/>
    <col width="27" customWidth="1" min="45" max="45"/>
    <col width="21" customWidth="1" min="46" max="46"/>
    <col width="14" customWidth="1" min="47" max="47"/>
    <col width="27" customWidth="1" min="48" max="48"/>
    <col width="19" customWidth="1" min="49" max="49"/>
    <col width="22" customWidth="1" min="50" max="50"/>
    <col width="16" customWidth="1" min="51" max="51"/>
    <col width="13" customWidth="1" min="52" max="52"/>
    <col width="14" customWidth="1" min="53" max="53"/>
    <col width="24" customWidth="1" min="54" max="54"/>
    <col width="13" customWidth="1" min="55" max="55"/>
    <col width="13" customWidth="1" min="56" max="56"/>
    <col width="52" customWidth="1" min="57" max="57"/>
    <col width="24" customWidth="1" min="58" max="58"/>
    <col width="24" customWidth="1" min="59" max="59"/>
    <col width="20" customWidth="1" min="60" max="60"/>
    <col width="19" customWidth="1" min="61" max="61"/>
    <col width="55" customWidth="1" min="62" max="62"/>
    <col width="13" customWidth="1" min="63" max="63"/>
    <col width="32" customWidth="1" min="64" max="64"/>
    <col width="34" customWidth="1" min="65" max="65"/>
    <col width="24" customWidth="1" min="66" max="66"/>
    <col width="19" customWidth="1" min="67" max="67"/>
    <col width="18" customWidth="1" min="68" max="68"/>
    <col width="45" customWidth="1" min="69" max="69"/>
    <col width="45" customWidth="1" min="70" max="70"/>
    <col width="24" customWidth="1" min="71" max="71"/>
    <col width="75" customWidth="1" min="72" max="72"/>
    <col width="40" customWidth="1" min="73" max="73"/>
    <col width="47" customWidth="1" min="74" max="74"/>
    <col width="120" customWidth="1" min="75" max="75"/>
  </cols>
  <sheetData>
    <row r="1" ht="29" customHeight="1">
      <c r="A1" s="1" t="inlineStr">
        <is>
          <t>Northstar Home Goods — Correspondence Disposition Register</t>
        </is>
      </c>
    </row>
    <row r="2" ht="32" customHeight="1">
      <c r="A2" s="2" t="inlineStr">
        <is>
          <t>One row per written warranty merchandise request received July 1–10, 2026. Correspondence_Status tracks whether the customer response is complete; Downstream_Work_Status separately identifies order requests or referrals that are only prepared, held, pending, or not applicable.</t>
        </is>
      </c>
    </row>
    <row r="3" ht="23" customHeight="1">
      <c r="A3" s="15" t="inlineStr">
        <is>
          <t>CASE, FINAL DISPOSITION, AND RESPONSE TRACKING</t>
        </is>
      </c>
      <c r="V3" s="17" t="inlineStr">
        <is>
          <t>MAILBOX AND REQUEST EVIDENCE</t>
        </is>
      </c>
      <c r="AH3" s="19" t="inlineStr">
        <is>
          <t>ACCOUNT AND ENTITLEMENT EVIDENCE</t>
        </is>
      </c>
      <c r="AU3" s="21" t="inlineStr">
        <is>
          <t>CATALOG AND INVENTORY EVIDENCE</t>
        </is>
      </c>
      <c r="BD3" s="23" t="inlineStr">
        <is>
          <t>ADDRESS / PROOF / CREDIT EVIDENCE</t>
        </is>
      </c>
      <c r="BI3" s="25" t="inlineStr">
        <is>
          <t>FEASIBILITY AND HANDOFF EVIDENCE</t>
        </is>
      </c>
      <c r="BT3" s="27" t="inlineStr">
        <is>
          <t>CONTROLLED EVIDENCE AND JOIN TRACE</t>
        </is>
      </c>
    </row>
    <row r="4" ht="47" customHeight="1">
      <c r="A4" s="29" t="inlineStr">
        <is>
          <t>Case_ID</t>
        </is>
      </c>
      <c r="B4" s="29" t="inlineStr">
        <is>
          <t>Source_Corr_ID</t>
        </is>
      </c>
      <c r="C4" s="29" t="inlineStr">
        <is>
          <t>Received_Date</t>
        </is>
      </c>
      <c r="D4" s="29" t="inlineStr">
        <is>
          <t>Response_Due_Date</t>
        </is>
      </c>
      <c r="E4" s="29" t="inlineStr">
        <is>
          <t>Assigned_Owner</t>
        </is>
      </c>
      <c r="F4" s="29" t="inlineStr">
        <is>
          <t>Exception_Code</t>
        </is>
      </c>
      <c r="G4" s="29" t="inlineStr">
        <is>
          <t>Disposition_Code</t>
        </is>
      </c>
      <c r="H4" s="29" t="inlineStr">
        <is>
          <t>Response_Form</t>
        </is>
      </c>
      <c r="I4" s="29" t="inlineStr">
        <is>
          <t>Latest_Case_Status</t>
        </is>
      </c>
      <c r="J4" s="29" t="inlineStr">
        <is>
          <t>Correspondence_Status</t>
        </is>
      </c>
      <c r="K4" s="29" t="inlineStr">
        <is>
          <t>Downstream_Work_Status</t>
        </is>
      </c>
      <c r="L4" s="29" t="inlineStr">
        <is>
          <t>Response_Tracking_Status</t>
        </is>
      </c>
      <c r="M4" s="29" t="inlineStr">
        <is>
          <t>Response_Date</t>
        </is>
      </c>
      <c r="N4" s="29" t="inlineStr">
        <is>
          <t>Response_Timeliness</t>
        </is>
      </c>
      <c r="O4" s="29" t="inlineStr">
        <is>
          <t>Final_Outcome</t>
        </is>
      </c>
      <c r="P4" s="29" t="inlineStr">
        <is>
          <t>Qty_Approved</t>
        </is>
      </c>
      <c r="Q4" s="29" t="inlineStr">
        <is>
          <t>Import_Row_Eligible</t>
        </is>
      </c>
      <c r="R4" s="29" t="inlineStr">
        <is>
          <t>Next_Action_Owner</t>
        </is>
      </c>
      <c r="S4" s="29" t="inlineStr">
        <is>
          <t>Next_Action</t>
        </is>
      </c>
      <c r="T4" s="29" t="inlineStr">
        <is>
          <t>Correspondence_Evidence</t>
        </is>
      </c>
      <c r="U4" s="29" t="inlineStr">
        <is>
          <t>Closeout_Risk</t>
        </is>
      </c>
      <c r="V4" s="29" t="inlineStr">
        <is>
          <t>Message_ID</t>
        </is>
      </c>
      <c r="W4" s="29" t="inlineStr">
        <is>
          <t>Request_Channel</t>
        </is>
      </c>
      <c r="X4" s="29" t="inlineStr">
        <is>
          <t>Subject</t>
        </is>
      </c>
      <c r="Y4" s="29" t="inlineStr">
        <is>
          <t>Message_Excerpt</t>
        </is>
      </c>
      <c r="Z4" s="29" t="inlineStr">
        <is>
          <t>Requested_Line_ID</t>
        </is>
      </c>
      <c r="AA4" s="29" t="inlineStr">
        <is>
          <t>Requested_Product</t>
        </is>
      </c>
      <c r="AB4" s="29" t="inlineStr">
        <is>
          <t>Requested_SKU</t>
        </is>
      </c>
      <c r="AC4" s="29" t="inlineStr">
        <is>
          <t>Qty_Requested</t>
        </is>
      </c>
      <c r="AD4" s="29" t="inlineStr">
        <is>
          <t>Proof_Status</t>
        </is>
      </c>
      <c r="AE4" s="29" t="inlineStr">
        <is>
          <t>Attachment_Received_Flag</t>
        </is>
      </c>
      <c r="AF4" s="29" t="inlineStr">
        <is>
          <t>Duplicate_Of</t>
        </is>
      </c>
      <c r="AG4" s="29" t="inlineStr">
        <is>
          <t>Unclear_Product_Flag</t>
        </is>
      </c>
      <c r="AH4" s="29" t="inlineStr">
        <is>
          <t>Customer_ID</t>
        </is>
      </c>
      <c r="AI4" s="29" t="inlineStr">
        <is>
          <t>Account_ID</t>
        </is>
      </c>
      <c r="AJ4" s="29" t="inlineStr">
        <is>
          <t>Account_Name</t>
        </is>
      </c>
      <c r="AK4" s="29" t="inlineStr">
        <is>
          <t>Account_Status</t>
        </is>
      </c>
      <c r="AL4" s="29" t="inlineStr">
        <is>
          <t>Contact_Name</t>
        </is>
      </c>
      <c r="AM4" s="29" t="inlineStr">
        <is>
          <t>Contact_Email</t>
        </is>
      </c>
      <c r="AN4" s="29" t="inlineStr">
        <is>
          <t>Preferred_Method</t>
        </is>
      </c>
      <c r="AO4" s="29" t="inlineStr">
        <is>
          <t>Language</t>
        </is>
      </c>
      <c r="AP4" s="29" t="inlineStr">
        <is>
          <t>Warranty_ID</t>
        </is>
      </c>
      <c r="AQ4" s="29" t="inlineStr">
        <is>
          <t>Entitlement_Status</t>
        </is>
      </c>
      <c r="AR4" s="29" t="inlineStr">
        <is>
          <t>Coverage_End_Date</t>
        </is>
      </c>
      <c r="AS4" s="29" t="inlineStr">
        <is>
          <t>Covered_Product_Family</t>
        </is>
      </c>
      <c r="AT4" s="29" t="inlineStr">
        <is>
          <t>Remaining_Allowance</t>
        </is>
      </c>
      <c r="AU4" s="29" t="inlineStr">
        <is>
          <t>Resolved_SKU</t>
        </is>
      </c>
      <c r="AV4" s="29" t="inlineStr">
        <is>
          <t>Resolved_Product_Family</t>
        </is>
      </c>
      <c r="AW4" s="29" t="inlineStr">
        <is>
          <t>Availability_Code</t>
        </is>
      </c>
      <c r="AX4" s="29" t="inlineStr">
        <is>
          <t>Available_To_Promise</t>
        </is>
      </c>
      <c r="AY4" s="29" t="inlineStr">
        <is>
          <t>Backorder_Date</t>
        </is>
      </c>
      <c r="AZ4" s="29" t="inlineStr">
        <is>
          <t>Unit_Price</t>
        </is>
      </c>
      <c r="BA4" s="29" t="inlineStr">
        <is>
          <t>Handling_Fee</t>
        </is>
      </c>
      <c r="BB4" s="29" t="inlineStr">
        <is>
          <t>Internal_Warranty_Value</t>
        </is>
      </c>
      <c r="BC4" s="29" t="inlineStr">
        <is>
          <t>Currency</t>
        </is>
      </c>
      <c r="BD4" s="29" t="inlineStr">
        <is>
          <t>Ship_To_ID</t>
        </is>
      </c>
      <c r="BE4" s="29" t="inlineStr">
        <is>
          <t>Ship_To_Address</t>
        </is>
      </c>
      <c r="BF4" s="29" t="inlineStr">
        <is>
          <t>Address_Validation_Status</t>
        </is>
      </c>
      <c r="BG4" s="29" t="inlineStr">
        <is>
          <t>Country_Serviceability</t>
        </is>
      </c>
      <c r="BH4" s="29" t="inlineStr">
        <is>
          <t>Credit_Status_Code</t>
        </is>
      </c>
      <c r="BI4" s="29" t="inlineStr">
        <is>
          <t>Capability_Status</t>
        </is>
      </c>
      <c r="BJ4" s="29" t="inlineStr">
        <is>
          <t>Capability_Note</t>
        </is>
      </c>
      <c r="BK4" s="29" t="inlineStr">
        <is>
          <t>Route_Code</t>
        </is>
      </c>
      <c r="BL4" s="29" t="inlineStr">
        <is>
          <t>Route_Queue</t>
        </is>
      </c>
      <c r="BM4" s="29" t="inlineStr">
        <is>
          <t>Route_Email</t>
        </is>
      </c>
      <c r="BN4" s="29" t="inlineStr">
        <is>
          <t>Route_SLA_Business_Days</t>
        </is>
      </c>
      <c r="BO4" s="29" t="inlineStr">
        <is>
          <t>Handoff_Days_Open</t>
        </is>
      </c>
      <c r="BP4" s="29" t="inlineStr">
        <is>
          <t>Handoff_Age_Band</t>
        </is>
      </c>
      <c r="BQ4" s="29" t="inlineStr">
        <is>
          <t>Handoff_Status</t>
        </is>
      </c>
      <c r="BR4" s="29" t="inlineStr">
        <is>
          <t>Owner_Note</t>
        </is>
      </c>
      <c r="BS4" s="29" t="inlineStr">
        <is>
          <t>Handoff_Next_Action_Due</t>
        </is>
      </c>
      <c r="BT4" s="29" t="inlineStr">
        <is>
          <t>Response_Clause</t>
        </is>
      </c>
      <c r="BU4" s="29" t="inlineStr">
        <is>
          <t>Approved_Signer</t>
        </is>
      </c>
      <c r="BV4" s="29" t="inlineStr">
        <is>
          <t>Distribution_Record</t>
        </is>
      </c>
      <c r="BW4" s="29" t="inlineStr">
        <is>
          <t>Evidence_Join_Trace</t>
        </is>
      </c>
    </row>
    <row r="5" ht="62" customHeight="1">
      <c r="A5" s="33" t="inlineStr">
        <is>
          <t>MRQ-2026-0710-001</t>
        </is>
      </c>
      <c r="B5" s="33" t="inlineStr">
        <is>
          <t>NHG-MRQ-2026-07-001</t>
        </is>
      </c>
      <c r="C5" s="34" t="n">
        <v>46204</v>
      </c>
      <c r="D5" s="34" t="n">
        <v>46221</v>
      </c>
      <c r="E5" s="33" t="inlineStr">
        <is>
          <t>ALOPEZ</t>
        </is>
      </c>
      <c r="F5" s="33" t="inlineStr">
        <is>
          <t>NONE</t>
        </is>
      </c>
      <c r="G5" s="33" t="inlineStr">
        <is>
          <t>STANDARD_ORDER_PREPARED</t>
        </is>
      </c>
      <c r="H5" s="33" t="inlineStr">
        <is>
          <t>R_STANDARD_ORDER</t>
        </is>
      </c>
      <c r="I5" s="33" t="inlineStr">
        <is>
          <t>Order request prepared</t>
        </is>
      </c>
      <c r="J5" s="9" t="inlineStr">
        <is>
          <t>COMPLETE — dated response packet recorded</t>
        </is>
      </c>
      <c r="K5" s="9" t="inlineStr">
        <is>
          <t>ORDER REQUEST PREPARED — not uploaded or shipped</t>
        </is>
      </c>
      <c r="L5" s="9" t="inlineStr">
        <is>
          <t>RECORDED — R_STANDARD_ORDER — MRQ-2026-0710-001 / NHG-MRQ-2026-07-001</t>
        </is>
      </c>
      <c r="M5" s="34" t="n">
        <v>46213</v>
      </c>
      <c r="N5" s="33" t="inlineStr">
        <is>
          <t>ON TIME</t>
        </is>
      </c>
      <c r="O5" s="9" t="inlineStr">
        <is>
          <t>Standard warranty order request prepared for 2 × WH-FLTR-200; not evidence of shipment or upload.</t>
        </is>
      </c>
      <c r="P5" s="33" t="n">
        <v>2</v>
      </c>
      <c r="Q5" s="33" t="inlineStr">
        <is>
          <t>Y</t>
        </is>
      </c>
      <c r="R5" s="33" t="inlineStr">
        <is>
          <t>Fulfillment import coordinator</t>
        </is>
      </c>
      <c r="S5" s="9" t="inlineStr">
        <is>
          <t>Use R_STANDARD_ORDER; hand prepared request to fulfillment import coordinator.</t>
        </is>
      </c>
      <c r="T5" s="9" t="inlineStr">
        <is>
          <t>Response packet entry dated 2026-07-10</t>
        </is>
      </c>
      <c r="U5" s="33" t="inlineStr">
        <is>
          <t>Low</t>
        </is>
      </c>
      <c r="V5" s="33" t="inlineStr">
        <is>
          <t>MSG-7001</t>
        </is>
      </c>
      <c r="W5" s="33" t="inlineStr">
        <is>
          <t>email</t>
        </is>
      </c>
      <c r="X5" s="9" t="inlineStr">
        <is>
          <t>Need filter replacements under warranty</t>
        </is>
      </c>
      <c r="Y5" s="9" t="inlineStr">
        <is>
          <t>Customer requests two AquaPure filter cartridges under warranty reference W-5501.</t>
        </is>
      </c>
      <c r="Z5" s="33" t="inlineStr">
        <is>
          <t>RL-001</t>
        </is>
      </c>
      <c r="AA5" s="9" t="inlineStr">
        <is>
          <t>two AquaPure filter cartridges</t>
        </is>
      </c>
      <c r="AB5" s="33" t="inlineStr">
        <is>
          <t>WH-FLTR-200</t>
        </is>
      </c>
      <c r="AC5" s="33" t="n">
        <v>2</v>
      </c>
      <c r="AD5" s="33" t="inlineStr">
        <is>
          <t>Received</t>
        </is>
      </c>
      <c r="AE5" s="33" t="inlineStr">
        <is>
          <t>Y</t>
        </is>
      </c>
      <c r="AF5" s="33" t="n"/>
      <c r="AG5" s="33" t="inlineStr">
        <is>
          <t>N</t>
        </is>
      </c>
      <c r="AH5" s="33" t="inlineStr">
        <is>
          <t>CUST-1001</t>
        </is>
      </c>
      <c r="AI5" s="33" t="inlineStr">
        <is>
          <t>ACCT-7701</t>
        </is>
      </c>
      <c r="AJ5" s="33" t="inlineStr">
        <is>
          <t>Maple Townhomes</t>
        </is>
      </c>
      <c r="AK5" s="33" t="inlineStr">
        <is>
          <t>Active</t>
        </is>
      </c>
      <c r="AL5" s="33" t="inlineStr">
        <is>
          <t>Ivy Torres</t>
        </is>
      </c>
      <c r="AM5" s="33" t="inlineStr">
        <is>
          <t>ivy.torres@example.invalid</t>
        </is>
      </c>
      <c r="AN5" s="33" t="inlineStr">
        <is>
          <t>email</t>
        </is>
      </c>
      <c r="AO5" s="33" t="inlineStr">
        <is>
          <t>English</t>
        </is>
      </c>
      <c r="AP5" s="33" t="inlineStr">
        <is>
          <t>W-5501</t>
        </is>
      </c>
      <c r="AQ5" s="33" t="inlineStr">
        <is>
          <t>Active</t>
        </is>
      </c>
      <c r="AR5" s="34" t="n">
        <v>46600</v>
      </c>
      <c r="AS5" s="33" t="inlineStr">
        <is>
          <t>Water Filtration</t>
        </is>
      </c>
      <c r="AT5" s="33" t="n">
        <v>4</v>
      </c>
      <c r="AU5" s="33" t="inlineStr">
        <is>
          <t>WH-FLTR-200</t>
        </is>
      </c>
      <c r="AV5" s="33" t="inlineStr">
        <is>
          <t>Water Filtration</t>
        </is>
      </c>
      <c r="AW5" s="33" t="inlineStr">
        <is>
          <t>AVAILABLE</t>
        </is>
      </c>
      <c r="AX5" s="33" t="n">
        <v>50</v>
      </c>
      <c r="AY5" s="34" t="n"/>
      <c r="AZ5" s="35" t="n">
        <v>24</v>
      </c>
      <c r="BA5" s="35" t="n">
        <v>0</v>
      </c>
      <c r="BB5" s="35" t="n">
        <v>48</v>
      </c>
      <c r="BC5" s="33" t="inlineStr">
        <is>
          <t>USD</t>
        </is>
      </c>
      <c r="BD5" s="33" t="inlineStr">
        <is>
          <t>SHIP-1001</t>
        </is>
      </c>
      <c r="BE5" s="9" t="inlineStr">
        <is>
          <t>101 Northstar Service Rd, Portland, OR 97201, US</t>
        </is>
      </c>
      <c r="BF5" s="33" t="inlineStr">
        <is>
          <t>Validated</t>
        </is>
      </c>
      <c r="BG5" s="33" t="inlineStr">
        <is>
          <t>Serviceable</t>
        </is>
      </c>
      <c r="BH5" s="33" t="inlineStr">
        <is>
          <t>CLEAR</t>
        </is>
      </c>
      <c r="BI5" s="33" t="n"/>
      <c r="BJ5" s="9" t="n"/>
      <c r="BK5" s="33" t="n"/>
      <c r="BL5" s="33" t="n"/>
      <c r="BM5" s="33" t="n"/>
      <c r="BN5" s="33" t="n"/>
      <c r="BO5" s="33" t="n">
        <v>0</v>
      </c>
      <c r="BP5" s="33" t="inlineStr">
        <is>
          <t>N/A — no exception</t>
        </is>
      </c>
      <c r="BQ5" s="9" t="inlineStr">
        <is>
          <t>N/A — standard prepared order</t>
        </is>
      </c>
      <c r="BR5" s="9" t="inlineStr">
        <is>
          <t>No exception owner note required.</t>
        </is>
      </c>
      <c r="BS5" s="34" t="n"/>
      <c r="BT5" s="9" t="inlineStr">
        <is>
          <t>Confirm resolved SKU, approved quantity, no-charge warranty handling, ship-to destination, and order request reference.</t>
        </is>
      </c>
      <c r="BU5" s="33" t="inlineStr">
        <is>
          <t>Priya Nair, Warranty Correspondence Supervisor</t>
        </is>
      </c>
      <c r="BV5" s="9" t="inlineStr">
        <is>
          <t>CaseBridge response packet and disposition register</t>
        </is>
      </c>
      <c r="BW5" s="9" t="inlineStr">
        <is>
          <t>Mailbox_Intake:MRQ-2026-0710-001/NHG-MRQ-2026-07-001 → Requested_Items:RL-001 via Case_ID → Accounts:CUST-1001/ACCT-7701 via Customer_ID/Account_ID → Warranty_Entitlements:W-5501 via Warranty_ID → Catalog:WH-FLTR-200→WH-FLTR-200 → No Exception_Handoff row; controlled Exception_Code=NONE → Rules:NONE→STANDARD_ORDER_PREPARED→R_STANDARD_ORDER → Case_History:Response packet entry dated 2026-07-10</t>
        </is>
      </c>
    </row>
    <row r="6" ht="62" customHeight="1">
      <c r="A6" s="33" t="inlineStr">
        <is>
          <t>MRQ-2026-0710-002</t>
        </is>
      </c>
      <c r="B6" s="33" t="inlineStr">
        <is>
          <t>NHG-MRQ-2026-07-002</t>
        </is>
      </c>
      <c r="C6" s="34" t="n">
        <v>46205</v>
      </c>
      <c r="D6" s="34" t="n">
        <v>46223</v>
      </c>
      <c r="E6" s="33" t="inlineStr">
        <is>
          <t>MCHEN</t>
        </is>
      </c>
      <c r="F6" s="33" t="inlineStr">
        <is>
          <t>SUBSTITUTION_REVIEW</t>
        </is>
      </c>
      <c r="G6" s="33" t="inlineStr">
        <is>
          <t>RESOLVED_STANDARD_SUBSTITUTE</t>
        </is>
      </c>
      <c r="H6" s="33" t="inlineStr">
        <is>
          <t>R_STANDARD_SUBSTITUTE</t>
        </is>
      </c>
      <c r="I6" s="33" t="inlineStr">
        <is>
          <t>Order request prepared</t>
        </is>
      </c>
      <c r="J6" s="9" t="inlineStr">
        <is>
          <t>COMPLETE — dated response packet recorded</t>
        </is>
      </c>
      <c r="K6" s="9" t="inlineStr">
        <is>
          <t>ORDER REQUEST PREPARED — not uploaded or shipped</t>
        </is>
      </c>
      <c r="L6" s="9" t="inlineStr">
        <is>
          <t>RECORDED — R_STANDARD_SUBSTITUTE — MRQ-2026-0710-002 / NHG-MRQ-2026-07-002</t>
        </is>
      </c>
      <c r="M6" s="34" t="n">
        <v>46213</v>
      </c>
      <c r="N6" s="33" t="inlineStr">
        <is>
          <t>ON TIME</t>
        </is>
      </c>
      <c r="O6" s="9" t="inlineStr">
        <is>
          <t>Retired WH-HINGE-510 resolved to approved service replacement WH-HINGE-520; order request prepared.</t>
        </is>
      </c>
      <c r="P6" s="33" t="n">
        <v>1</v>
      </c>
      <c r="Q6" s="33" t="inlineStr">
        <is>
          <t>Y</t>
        </is>
      </c>
      <c r="R6" s="33" t="inlineStr">
        <is>
          <t>Fulfillment import coordinator</t>
        </is>
      </c>
      <c r="S6" s="9" t="inlineStr">
        <is>
          <t>Use R_STANDARD_SUBSTITUTE; explain replacement SKU, then hand prepared request to fulfillment import coordinator.</t>
        </is>
      </c>
      <c r="T6" s="9" t="inlineStr">
        <is>
          <t>Response packet entry dated 2026-07-10</t>
        </is>
      </c>
      <c r="U6" s="33" t="inlineStr">
        <is>
          <t>Medium</t>
        </is>
      </c>
      <c r="V6" s="33" t="inlineStr">
        <is>
          <t>MSG-7002</t>
        </is>
      </c>
      <c r="W6" s="33" t="inlineStr">
        <is>
          <t>web form</t>
        </is>
      </c>
      <c r="X6" s="9" t="inlineStr">
        <is>
          <t>Cabinet hinge broken</t>
        </is>
      </c>
      <c r="Y6" s="9" t="inlineStr">
        <is>
          <t>Customer requests one first-generation soft-close hinge under warranty reference W-5502.</t>
        </is>
      </c>
      <c r="Z6" s="33" t="inlineStr">
        <is>
          <t>RL-002</t>
        </is>
      </c>
      <c r="AA6" s="9" t="inlineStr">
        <is>
          <t>one first-generation soft-close hinge</t>
        </is>
      </c>
      <c r="AB6" s="33" t="inlineStr">
        <is>
          <t>WH-HINGE-510</t>
        </is>
      </c>
      <c r="AC6" s="33" t="n">
        <v>1</v>
      </c>
      <c r="AD6" s="33" t="inlineStr">
        <is>
          <t>Received</t>
        </is>
      </c>
      <c r="AE6" s="33" t="inlineStr">
        <is>
          <t>Y</t>
        </is>
      </c>
      <c r="AF6" s="33" t="n"/>
      <c r="AG6" s="33" t="inlineStr">
        <is>
          <t>N</t>
        </is>
      </c>
      <c r="AH6" s="33" t="inlineStr">
        <is>
          <t>CUST-1002</t>
        </is>
      </c>
      <c r="AI6" s="33" t="inlineStr">
        <is>
          <t>ACCT-7702</t>
        </is>
      </c>
      <c r="AJ6" s="33" t="inlineStr">
        <is>
          <t>North Ridge Lofts</t>
        </is>
      </c>
      <c r="AK6" s="33" t="inlineStr">
        <is>
          <t>Active</t>
        </is>
      </c>
      <c r="AL6" s="33" t="inlineStr">
        <is>
          <t>Liam Patel</t>
        </is>
      </c>
      <c r="AM6" s="33" t="inlineStr">
        <is>
          <t>liam.patel@example.invalid</t>
        </is>
      </c>
      <c r="AN6" s="33" t="inlineStr">
        <is>
          <t>email</t>
        </is>
      </c>
      <c r="AO6" s="33" t="inlineStr">
        <is>
          <t>English</t>
        </is>
      </c>
      <c r="AP6" s="33" t="inlineStr">
        <is>
          <t>W-5502</t>
        </is>
      </c>
      <c r="AQ6" s="33" t="inlineStr">
        <is>
          <t>Active</t>
        </is>
      </c>
      <c r="AR6" s="34" t="n">
        <v>46522</v>
      </c>
      <c r="AS6" s="33" t="inlineStr">
        <is>
          <t>Cabinet Hardware</t>
        </is>
      </c>
      <c r="AT6" s="33" t="n">
        <v>2</v>
      </c>
      <c r="AU6" s="33" t="inlineStr">
        <is>
          <t>WH-HINGE-520</t>
        </is>
      </c>
      <c r="AV6" s="33" t="inlineStr">
        <is>
          <t>Cabinet Hardware</t>
        </is>
      </c>
      <c r="AW6" s="33" t="inlineStr">
        <is>
          <t>AVAILABLE</t>
        </is>
      </c>
      <c r="AX6" s="33" t="n">
        <v>12</v>
      </c>
      <c r="AY6" s="34" t="n"/>
      <c r="AZ6" s="35" t="n">
        <v>14.75</v>
      </c>
      <c r="BA6" s="35" t="n">
        <v>0</v>
      </c>
      <c r="BB6" s="35" t="n">
        <v>14.75</v>
      </c>
      <c r="BC6" s="33" t="inlineStr">
        <is>
          <t>USD</t>
        </is>
      </c>
      <c r="BD6" s="33" t="inlineStr">
        <is>
          <t>SHIP-1002</t>
        </is>
      </c>
      <c r="BE6" s="9" t="inlineStr">
        <is>
          <t>102 Northstar Service Rd, Portland, OR 97202, US</t>
        </is>
      </c>
      <c r="BF6" s="33" t="inlineStr">
        <is>
          <t>Validated</t>
        </is>
      </c>
      <c r="BG6" s="33" t="inlineStr">
        <is>
          <t>Serviceable</t>
        </is>
      </c>
      <c r="BH6" s="33" t="inlineStr">
        <is>
          <t>CLEAR</t>
        </is>
      </c>
      <c r="BI6" s="33" t="n"/>
      <c r="BJ6" s="9" t="n"/>
      <c r="BK6" s="33" t="n"/>
      <c r="BL6" s="33" t="n"/>
      <c r="BM6" s="33" t="n"/>
      <c r="BN6" s="33" t="n"/>
      <c r="BO6" s="33" t="n">
        <v>8</v>
      </c>
      <c r="BP6" s="33" t="inlineStr">
        <is>
          <t>6-10 days</t>
        </is>
      </c>
      <c r="BQ6" s="9" t="inlineStr">
        <is>
          <t>Resolved by approved substitute before close</t>
        </is>
      </c>
      <c r="BR6" s="9" t="inlineStr">
        <is>
          <t>Resolved to approved substitute before final close.</t>
        </is>
      </c>
      <c r="BS6" s="34" t="n">
        <v>46213</v>
      </c>
      <c r="BT6" s="9" t="inlineStr">
        <is>
          <t>Explain the approved substitute SKU and that it is the service replacement for the retired requested item.</t>
        </is>
      </c>
      <c r="BU6" s="33" t="inlineStr">
        <is>
          <t>Priya Nair, Warranty Correspondence Supervisor</t>
        </is>
      </c>
      <c r="BV6" s="9" t="inlineStr">
        <is>
          <t>CaseBridge response packet and disposition register</t>
        </is>
      </c>
      <c r="BW6" s="9" t="inlineStr">
        <is>
          <t>Mailbox_Intake:MRQ-2026-0710-002/NHG-MRQ-2026-07-002 → Requested_Items:RL-002 via Case_ID → Accounts:CUST-1002/ACCT-7702 via Customer_ID/Account_ID → Warranty_Entitlements:W-5502 via Warranty_ID → Catalog:WH-HINGE-510→WH-HINGE-520 → Exception_Handoff:SUBSTITUTION_REVIEW via Case_ID → Rules:SUBSTITUTION_REVIEW→RESOLVED_STANDARD_SUBSTITUTE→R_STANDARD_SUBSTITUTE → Case_History:Response packet entry dated 2026-07-10</t>
        </is>
      </c>
    </row>
    <row r="7" ht="62" customHeight="1">
      <c r="A7" s="33" t="inlineStr">
        <is>
          <t>MRQ-2026-0710-003</t>
        </is>
      </c>
      <c r="B7" s="33" t="inlineStr">
        <is>
          <t>NHG-MRQ-2026-07-003</t>
        </is>
      </c>
      <c r="C7" s="34" t="n">
        <v>46205</v>
      </c>
      <c r="D7" s="34" t="n">
        <v>46219</v>
      </c>
      <c r="E7" s="33" t="inlineStr">
        <is>
          <t>RPATEL</t>
        </is>
      </c>
      <c r="F7" s="33" t="inlineStr">
        <is>
          <t>BACKORDER</t>
        </is>
      </c>
      <c r="G7" s="33" t="inlineStr">
        <is>
          <t>AVAILABILITY_RESPONSE_SENT</t>
        </is>
      </c>
      <c r="H7" s="33" t="inlineStr">
        <is>
          <t>R_BACKORDER_NOTICE</t>
        </is>
      </c>
      <c r="I7" s="33" t="inlineStr">
        <is>
          <t>Closed response sent</t>
        </is>
      </c>
      <c r="J7" s="9" t="inlineStr">
        <is>
          <t>COMPLETE — dated response packet recorded</t>
        </is>
      </c>
      <c r="K7" s="9" t="inlineStr">
        <is>
          <t>NO ORDER REQUEST — backorder response only</t>
        </is>
      </c>
      <c r="L7" s="9" t="inlineStr">
        <is>
          <t>RECORDED — R_BACKORDER_NOTICE — MRQ-2026-0710-003 / NHG-MRQ-2026-07-003</t>
        </is>
      </c>
      <c r="M7" s="34" t="n">
        <v>46213</v>
      </c>
      <c r="N7" s="33" t="inlineStr">
        <is>
          <t>ON TIME</t>
        </is>
      </c>
      <c r="O7" s="9" t="inlineStr">
        <is>
          <t>No import row: WH-LEG-700 unavailable; catalog backorder date 2026-08-03.</t>
        </is>
      </c>
      <c r="P7" s="33" t="n">
        <v>0</v>
      </c>
      <c r="Q7" s="33" t="inlineStr">
        <is>
          <t>N</t>
        </is>
      </c>
      <c r="R7" s="33" t="inlineStr">
        <is>
          <t>Inventory planning → RPATEL for customer update</t>
        </is>
      </c>
      <c r="S7" s="9" t="inlineStr">
        <is>
          <t>Inventory planning monitors availability against the 2026-08-03 catalog backorder date. The named frontline owner provides any required customer update; no import row exists while unavailable.</t>
        </is>
      </c>
      <c r="T7" s="9" t="inlineStr">
        <is>
          <t>Response packet entry dated 2026-07-10</t>
        </is>
      </c>
      <c r="U7" s="33" t="inlineStr">
        <is>
          <t>Medium</t>
        </is>
      </c>
      <c r="V7" s="33" t="inlineStr">
        <is>
          <t>MSG-7003</t>
        </is>
      </c>
      <c r="W7" s="33" t="inlineStr">
        <is>
          <t>email</t>
        </is>
      </c>
      <c r="X7" s="9" t="inlineStr">
        <is>
          <t>Replacement leveling leg</t>
        </is>
      </c>
      <c r="Y7" s="9" t="inlineStr">
        <is>
          <t>Customer requests one leveling leg kit under warranty reference W-5503.</t>
        </is>
      </c>
      <c r="Z7" s="33" t="inlineStr">
        <is>
          <t>RL-003</t>
        </is>
      </c>
      <c r="AA7" s="9" t="inlineStr">
        <is>
          <t>one leveling leg kit</t>
        </is>
      </c>
      <c r="AB7" s="33" t="inlineStr">
        <is>
          <t>WH-LEG-700</t>
        </is>
      </c>
      <c r="AC7" s="33" t="n">
        <v>1</v>
      </c>
      <c r="AD7" s="33" t="inlineStr">
        <is>
          <t>Received</t>
        </is>
      </c>
      <c r="AE7" s="33" t="inlineStr">
        <is>
          <t>Y</t>
        </is>
      </c>
      <c r="AF7" s="33" t="n"/>
      <c r="AG7" s="33" t="inlineStr">
        <is>
          <t>N</t>
        </is>
      </c>
      <c r="AH7" s="33" t="inlineStr">
        <is>
          <t>CUST-1003</t>
        </is>
      </c>
      <c r="AI7" s="33" t="inlineStr">
        <is>
          <t>ACCT-7703</t>
        </is>
      </c>
      <c r="AJ7" s="33" t="inlineStr">
        <is>
          <t>Harbor Unit 4B</t>
        </is>
      </c>
      <c r="AK7" s="33" t="inlineStr">
        <is>
          <t>Active</t>
        </is>
      </c>
      <c r="AL7" s="33" t="inlineStr">
        <is>
          <t>Nora Kim</t>
        </is>
      </c>
      <c r="AM7" s="33" t="inlineStr">
        <is>
          <t>nora.kim@example.invalid</t>
        </is>
      </c>
      <c r="AN7" s="33" t="inlineStr">
        <is>
          <t>email</t>
        </is>
      </c>
      <c r="AO7" s="33" t="inlineStr">
        <is>
          <t>English</t>
        </is>
      </c>
      <c r="AP7" s="33" t="inlineStr">
        <is>
          <t>W-5503</t>
        </is>
      </c>
      <c r="AQ7" s="33" t="inlineStr">
        <is>
          <t>Active</t>
        </is>
      </c>
      <c r="AR7" s="34" t="n">
        <v>46640</v>
      </c>
      <c r="AS7" s="33" t="inlineStr">
        <is>
          <t>Utility Hardware</t>
        </is>
      </c>
      <c r="AT7" s="33" t="n">
        <v>2</v>
      </c>
      <c r="AU7" s="33" t="inlineStr">
        <is>
          <t>WH-LEG-700</t>
        </is>
      </c>
      <c r="AV7" s="33" t="inlineStr">
        <is>
          <t>Utility Hardware</t>
        </is>
      </c>
      <c r="AW7" s="33" t="inlineStr">
        <is>
          <t>BACKORDER</t>
        </is>
      </c>
      <c r="AX7" s="33" t="n">
        <v>0</v>
      </c>
      <c r="AY7" s="34" t="n">
        <v>46237</v>
      </c>
      <c r="AZ7" s="35" t="n">
        <v>11</v>
      </c>
      <c r="BA7" s="35" t="n">
        <v>0</v>
      </c>
      <c r="BB7" s="35" t="n"/>
      <c r="BC7" s="33" t="inlineStr">
        <is>
          <t>USD</t>
        </is>
      </c>
      <c r="BD7" s="33" t="inlineStr">
        <is>
          <t>SHIP-1003</t>
        </is>
      </c>
      <c r="BE7" s="9" t="inlineStr">
        <is>
          <t>103 Northstar Service Rd, Portland, OR 97203, US</t>
        </is>
      </c>
      <c r="BF7" s="33" t="inlineStr">
        <is>
          <t>Validated</t>
        </is>
      </c>
      <c r="BG7" s="33" t="inlineStr">
        <is>
          <t>Serviceable</t>
        </is>
      </c>
      <c r="BH7" s="33" t="inlineStr">
        <is>
          <t>CLEAR</t>
        </is>
      </c>
      <c r="BI7" s="33" t="n"/>
      <c r="BJ7" s="9" t="n"/>
      <c r="BK7" s="33" t="n"/>
      <c r="BL7" s="33" t="n"/>
      <c r="BM7" s="33" t="n"/>
      <c r="BN7" s="33" t="n"/>
      <c r="BO7" s="33" t="n">
        <v>8</v>
      </c>
      <c r="BP7" s="33" t="inlineStr">
        <is>
          <t>6-10 days</t>
        </is>
      </c>
      <c r="BQ7" s="9" t="inlineStr">
        <is>
          <t>OPEN — inventory availability follow-up</t>
        </is>
      </c>
      <c r="BR7" s="9" t="inlineStr">
        <is>
          <t>Preserve BACKORDER reason in final register.</t>
        </is>
      </c>
      <c r="BS7" s="34" t="n">
        <v>46213</v>
      </c>
      <c r="BT7" s="9" t="inlineStr">
        <is>
          <t>State current unavailability and the catalog backorder date; do not create an import row.</t>
        </is>
      </c>
      <c r="BU7" s="33" t="inlineStr">
        <is>
          <t>Priya Nair, Warranty Correspondence Supervisor</t>
        </is>
      </c>
      <c r="BV7" s="9" t="inlineStr">
        <is>
          <t>CaseBridge response packet and disposition register</t>
        </is>
      </c>
      <c r="BW7" s="9" t="inlineStr">
        <is>
          <t>Mailbox_Intake:MRQ-2026-0710-003/NHG-MRQ-2026-07-003 → Requested_Items:RL-003 via Case_ID → Accounts:CUST-1003/ACCT-7703 via Customer_ID/Account_ID → Warranty_Entitlements:W-5503 via Warranty_ID → Catalog:WH-LEG-700→WH-LEG-700 → Exception_Handoff:BACKORDER via Case_ID → Rules:BACKORDER→AVAILABILITY_RESPONSE_SENT→R_BACKORDER_NOTICE → Case_History:Response packet entry dated 2026-07-10</t>
        </is>
      </c>
    </row>
    <row r="8" ht="62" customHeight="1">
      <c r="A8" s="33" t="inlineStr">
        <is>
          <t>MRQ-2026-0710-004</t>
        </is>
      </c>
      <c r="B8" s="33" t="inlineStr">
        <is>
          <t>NHG-MRQ-2026-07-004</t>
        </is>
      </c>
      <c r="C8" s="34" t="n">
        <v>46206</v>
      </c>
      <c r="D8" s="34" t="n">
        <v>46225</v>
      </c>
      <c r="E8" s="33" t="inlineStr">
        <is>
          <t>JPARK</t>
        </is>
      </c>
      <c r="F8" s="33" t="inlineStr">
        <is>
          <t>EXPIRED_ENTITLEMENT</t>
        </is>
      </c>
      <c r="G8" s="33" t="inlineStr">
        <is>
          <t>INELIGIBLE_RESPONSE_SENT</t>
        </is>
      </c>
      <c r="H8" s="33" t="inlineStr">
        <is>
          <t>R_INELIGIBLE</t>
        </is>
      </c>
      <c r="I8" s="33" t="inlineStr">
        <is>
          <t>Closed response sent</t>
        </is>
      </c>
      <c r="J8" s="9" t="inlineStr">
        <is>
          <t>COMPLETE — dated response packet recorded</t>
        </is>
      </c>
      <c r="K8" s="9" t="inlineStr">
        <is>
          <t>NO ORDER REQUEST — ineligible response only</t>
        </is>
      </c>
      <c r="L8" s="9" t="inlineStr">
        <is>
          <t>RECORDED — R_INELIGIBLE — MRQ-2026-0710-004 / NHG-MRQ-2026-07-004</t>
        </is>
      </c>
      <c r="M8" s="34" t="n">
        <v>46213</v>
      </c>
      <c r="N8" s="33" t="inlineStr">
        <is>
          <t>ON TIME</t>
        </is>
      </c>
      <c r="O8" s="9" t="inlineStr">
        <is>
          <t>Ineligible: warranty expired 2026-06-30, before receipt.</t>
        </is>
      </c>
      <c r="P8" s="33" t="n">
        <v>0</v>
      </c>
      <c r="Q8" s="33" t="inlineStr">
        <is>
          <t>N</t>
        </is>
      </c>
      <c r="R8" s="33" t="inlineStr">
        <is>
          <t>Customer</t>
        </is>
      </c>
      <c r="S8" s="9" t="inlineStr">
        <is>
          <t>Use R_INELIGIBLE; state entitlement expired before receipt.</t>
        </is>
      </c>
      <c r="T8" s="9" t="inlineStr">
        <is>
          <t>Response packet entry dated 2026-07-10</t>
        </is>
      </c>
      <c r="U8" s="33" t="inlineStr">
        <is>
          <t>Medium</t>
        </is>
      </c>
      <c r="V8" s="33" t="inlineStr">
        <is>
          <t>MSG-7004</t>
        </is>
      </c>
      <c r="W8" s="33" t="inlineStr">
        <is>
          <t>letter</t>
        </is>
      </c>
      <c r="X8" s="9" t="inlineStr">
        <is>
          <t>Warranty knob request</t>
        </is>
      </c>
      <c r="Y8" s="9" t="inlineStr">
        <is>
          <t>Customer requests two oven knobs under warranty reference W-5504.</t>
        </is>
      </c>
      <c r="Z8" s="33" t="inlineStr">
        <is>
          <t>RL-004</t>
        </is>
      </c>
      <c r="AA8" s="9" t="inlineStr">
        <is>
          <t>two oven knobs</t>
        </is>
      </c>
      <c r="AB8" s="33" t="inlineStr">
        <is>
          <t>WH-KNOB-110</t>
        </is>
      </c>
      <c r="AC8" s="33" t="n">
        <v>2</v>
      </c>
      <c r="AD8" s="33" t="inlineStr">
        <is>
          <t>Received</t>
        </is>
      </c>
      <c r="AE8" s="33" t="inlineStr">
        <is>
          <t>Y</t>
        </is>
      </c>
      <c r="AF8" s="33" t="n"/>
      <c r="AG8" s="33" t="inlineStr">
        <is>
          <t>N</t>
        </is>
      </c>
      <c r="AH8" s="33" t="inlineStr">
        <is>
          <t>CUST-1004</t>
        </is>
      </c>
      <c r="AI8" s="33" t="inlineStr">
        <is>
          <t>ACCT-7704</t>
        </is>
      </c>
      <c r="AJ8" s="33" t="inlineStr">
        <is>
          <t>Cedar Glen Rentals</t>
        </is>
      </c>
      <c r="AK8" s="33" t="inlineStr">
        <is>
          <t>Active</t>
        </is>
      </c>
      <c r="AL8" s="33" t="inlineStr">
        <is>
          <t>Seth Walker</t>
        </is>
      </c>
      <c r="AM8" s="33" t="inlineStr">
        <is>
          <t>seth.walker@example.invalid</t>
        </is>
      </c>
      <c r="AN8" s="33" t="inlineStr">
        <is>
          <t>mail</t>
        </is>
      </c>
      <c r="AO8" s="33" t="inlineStr">
        <is>
          <t>English</t>
        </is>
      </c>
      <c r="AP8" s="33" t="inlineStr">
        <is>
          <t>W-5504</t>
        </is>
      </c>
      <c r="AQ8" s="33" t="inlineStr">
        <is>
          <t>Expired</t>
        </is>
      </c>
      <c r="AR8" s="34" t="n">
        <v>46203</v>
      </c>
      <c r="AS8" s="33" t="inlineStr">
        <is>
          <t>Cooking Hardware</t>
        </is>
      </c>
      <c r="AT8" s="33" t="n">
        <v>2</v>
      </c>
      <c r="AU8" s="33" t="inlineStr">
        <is>
          <t>WH-KNOB-110</t>
        </is>
      </c>
      <c r="AV8" s="33" t="inlineStr">
        <is>
          <t>Cooking Hardware</t>
        </is>
      </c>
      <c r="AW8" s="33" t="inlineStr">
        <is>
          <t>AVAILABLE</t>
        </is>
      </c>
      <c r="AX8" s="33" t="n">
        <v>40</v>
      </c>
      <c r="AY8" s="34" t="n"/>
      <c r="AZ8" s="35" t="n">
        <v>9.5</v>
      </c>
      <c r="BA8" s="35" t="n">
        <v>0</v>
      </c>
      <c r="BB8" s="35" t="n"/>
      <c r="BC8" s="33" t="inlineStr">
        <is>
          <t>USD</t>
        </is>
      </c>
      <c r="BD8" s="33" t="inlineStr">
        <is>
          <t>SHIP-1004</t>
        </is>
      </c>
      <c r="BE8" s="9" t="inlineStr">
        <is>
          <t>104 Northstar Service Rd, Portland, OR 97204, US</t>
        </is>
      </c>
      <c r="BF8" s="33" t="inlineStr">
        <is>
          <t>Validated</t>
        </is>
      </c>
      <c r="BG8" s="33" t="inlineStr">
        <is>
          <t>Serviceable</t>
        </is>
      </c>
      <c r="BH8" s="33" t="inlineStr">
        <is>
          <t>CLEAR</t>
        </is>
      </c>
      <c r="BI8" s="33" t="n"/>
      <c r="BJ8" s="9" t="n"/>
      <c r="BK8" s="33" t="n"/>
      <c r="BL8" s="33" t="n"/>
      <c r="BM8" s="33" t="n"/>
      <c r="BN8" s="33" t="n"/>
      <c r="BO8" s="33" t="n">
        <v>7</v>
      </c>
      <c r="BP8" s="33" t="inlineStr">
        <is>
          <t>6-10 days</t>
        </is>
      </c>
      <c r="BQ8" s="9" t="inlineStr">
        <is>
          <t>Open for final response or route</t>
        </is>
      </c>
      <c r="BR8" s="9" t="inlineStr">
        <is>
          <t>Preserve EXPIRED_ENTITLEMENT reason in final register.</t>
        </is>
      </c>
      <c r="BS8" s="34" t="n">
        <v>46213</v>
      </c>
      <c r="BT8" s="9" t="inlineStr">
        <is>
          <t>State the entitlement or product-family reason the request cannot be fulfilled.</t>
        </is>
      </c>
      <c r="BU8" s="33" t="inlineStr">
        <is>
          <t>Priya Nair, Warranty Correspondence Supervisor</t>
        </is>
      </c>
      <c r="BV8" s="9" t="inlineStr">
        <is>
          <t>CaseBridge response packet and disposition register</t>
        </is>
      </c>
      <c r="BW8" s="9" t="inlineStr">
        <is>
          <t>Mailbox_Intake:MRQ-2026-0710-004/NHG-MRQ-2026-07-004 → Requested_Items:RL-004 via Case_ID → Accounts:CUST-1004/ACCT-7704 via Customer_ID/Account_ID → Warranty_Entitlements:W-5504 via Warranty_ID → Catalog:WH-KNOB-110→WH-KNOB-110 → Exception_Handoff:EXPIRED_ENTITLEMENT via Case_ID → Rules:EXPIRED_ENTITLEMENT→INELIGIBLE_RESPONSE_SENT→R_INELIGIBLE → Case_History:Response packet entry dated 2026-07-10</t>
        </is>
      </c>
    </row>
    <row r="9" ht="62" customHeight="1">
      <c r="A9" s="33" t="inlineStr">
        <is>
          <t>MRQ-2026-0710-005</t>
        </is>
      </c>
      <c r="B9" s="33" t="inlineStr">
        <is>
          <t>NHG-MRQ-2026-07-005</t>
        </is>
      </c>
      <c r="C9" s="34" t="n">
        <v>46206</v>
      </c>
      <c r="D9" s="34" t="n">
        <v>46228</v>
      </c>
      <c r="E9" s="33" t="inlineStr">
        <is>
          <t>ALOPEZ</t>
        </is>
      </c>
      <c r="F9" s="33" t="inlineStr">
        <is>
          <t>SPECIAL_FEASIBILITY</t>
        </is>
      </c>
      <c r="G9" s="33" t="inlineStr">
        <is>
          <t>SPECIAL_ROUTE_PREPARED</t>
        </is>
      </c>
      <c r="H9" s="33" t="inlineStr">
        <is>
          <t>R_SPECIAL_ACK</t>
        </is>
      </c>
      <c r="I9" s="33" t="inlineStr">
        <is>
          <t>Routed feasibility request</t>
        </is>
      </c>
      <c r="J9" s="9" t="inlineStr">
        <is>
          <t>COMPLETE — dated response packet recorded</t>
        </is>
      </c>
      <c r="K9" s="9" t="inlineStr">
        <is>
          <t>REFERRAL PREPARED — feasibility decision pending</t>
        </is>
      </c>
      <c r="L9" s="9" t="inlineStr">
        <is>
          <t>RECORDED — R_SPECIAL_ACK — MRQ-2026-0710-005 / NHG-MRQ-2026-07-005</t>
        </is>
      </c>
      <c r="M9" s="34" t="n">
        <v>46213</v>
      </c>
      <c r="N9" s="33" t="inlineStr">
        <is>
          <t>ON TIME</t>
        </is>
      </c>
      <c r="O9" s="9" t="inlineStr">
        <is>
          <t>SPECIAL_ROUTE_PREPARED: referral sent to Product Config Team; feasibility remains undecided and no standard order row is permitted.</t>
        </is>
      </c>
      <c r="P9" s="33" t="n">
        <v>0</v>
      </c>
      <c r="Q9" s="33" t="inlineStr">
        <is>
          <t>N</t>
        </is>
      </c>
      <c r="R9" s="33" t="inlineStr">
        <is>
          <t>Product Config Team</t>
        </is>
      </c>
      <c r="S9" s="9" t="inlineStr">
        <is>
          <t>Product Config Team reviews the referred panel dimensions and finish request for feasibility (5-business-day route SLA). ALOPEZ remains the frontline correspondence owner and must not describe the referral as approval.</t>
        </is>
      </c>
      <c r="T9" s="9" t="inlineStr">
        <is>
          <t>Response packet entry dated 2026-07-10</t>
        </is>
      </c>
      <c r="U9" s="33" t="inlineStr">
        <is>
          <t>Medium</t>
        </is>
      </c>
      <c r="V9" s="33" t="inlineStr">
        <is>
          <t>MSG-7005</t>
        </is>
      </c>
      <c r="W9" s="33" t="inlineStr">
        <is>
          <t>email</t>
        </is>
      </c>
      <c r="X9" s="9" t="inlineStr">
        <is>
          <t>Can warranty replace custom walnut panel?</t>
        </is>
      </c>
      <c r="Y9" s="9" t="inlineStr">
        <is>
          <t>Customer requests walnut custom cabinet panel under warranty reference W-5505.</t>
        </is>
      </c>
      <c r="Z9" s="33" t="inlineStr">
        <is>
          <t>RL-005</t>
        </is>
      </c>
      <c r="AA9" s="9" t="inlineStr">
        <is>
          <t>walnut custom cabinet panel</t>
        </is>
      </c>
      <c r="AB9" s="33" t="inlineStr">
        <is>
          <t>SP-CUSTOM-PANEL</t>
        </is>
      </c>
      <c r="AC9" s="33" t="n">
        <v>1</v>
      </c>
      <c r="AD9" s="33" t="inlineStr">
        <is>
          <t>Received</t>
        </is>
      </c>
      <c r="AE9" s="33" t="inlineStr">
        <is>
          <t>Y</t>
        </is>
      </c>
      <c r="AF9" s="33" t="n"/>
      <c r="AG9" s="33" t="inlineStr">
        <is>
          <t>N</t>
        </is>
      </c>
      <c r="AH9" s="33" t="inlineStr">
        <is>
          <t>CUST-1005</t>
        </is>
      </c>
      <c r="AI9" s="33" t="inlineStr">
        <is>
          <t>ACCT-7705</t>
        </is>
      </c>
      <c r="AJ9" s="33" t="inlineStr">
        <is>
          <t>Valley Commons</t>
        </is>
      </c>
      <c r="AK9" s="33" t="inlineStr">
        <is>
          <t>Active</t>
        </is>
      </c>
      <c r="AL9" s="33" t="inlineStr">
        <is>
          <t>Marisol Vega</t>
        </is>
      </c>
      <c r="AM9" s="33" t="inlineStr">
        <is>
          <t>marisol.vega@example.invalid</t>
        </is>
      </c>
      <c r="AN9" s="33" t="inlineStr">
        <is>
          <t>email</t>
        </is>
      </c>
      <c r="AO9" s="33" t="inlineStr">
        <is>
          <t>English</t>
        </is>
      </c>
      <c r="AP9" s="33" t="inlineStr">
        <is>
          <t>W-5505</t>
        </is>
      </c>
      <c r="AQ9" s="33" t="inlineStr">
        <is>
          <t>Active</t>
        </is>
      </c>
      <c r="AR9" s="34" t="n">
        <v>46569</v>
      </c>
      <c r="AS9" s="33" t="inlineStr">
        <is>
          <t>Custom Panels</t>
        </is>
      </c>
      <c r="AT9" s="33" t="n">
        <v>1</v>
      </c>
      <c r="AU9" s="33" t="inlineStr">
        <is>
          <t>SP-CUSTOM-PANEL</t>
        </is>
      </c>
      <c r="AV9" s="33" t="inlineStr">
        <is>
          <t>Custom Panels</t>
        </is>
      </c>
      <c r="AW9" s="33" t="n"/>
      <c r="AX9" s="33" t="n"/>
      <c r="AY9" s="34" t="n"/>
      <c r="AZ9" s="35" t="n">
        <v>0</v>
      </c>
      <c r="BA9" s="35" t="n">
        <v>0</v>
      </c>
      <c r="BB9" s="35" t="n"/>
      <c r="BC9" s="33" t="inlineStr">
        <is>
          <t>USD</t>
        </is>
      </c>
      <c r="BD9" s="33" t="inlineStr">
        <is>
          <t>SHIP-1005</t>
        </is>
      </c>
      <c r="BE9" s="9" t="inlineStr">
        <is>
          <t>105 Northstar Service Rd, Portland, OR 97205, US</t>
        </is>
      </c>
      <c r="BF9" s="33" t="inlineStr">
        <is>
          <t>Validated</t>
        </is>
      </c>
      <c r="BG9" s="33" t="inlineStr">
        <is>
          <t>Serviceable</t>
        </is>
      </c>
      <c r="BH9" s="33" t="inlineStr">
        <is>
          <t>CLEAR</t>
        </is>
      </c>
      <c r="BI9" s="33" t="inlineStr">
        <is>
          <t>Open</t>
        </is>
      </c>
      <c r="BJ9" s="9" t="inlineStr">
        <is>
          <t>We referred the panel dimensions and finish request to Product Config for feasibility review.</t>
        </is>
      </c>
      <c r="BK9" s="33" t="inlineStr">
        <is>
          <t>RTE-CUSTOM-PANEL</t>
        </is>
      </c>
      <c r="BL9" s="33" t="inlineStr">
        <is>
          <t>Product Config Team</t>
        </is>
      </c>
      <c r="BM9" s="33" t="inlineStr">
        <is>
          <t>product-config@example.invalid</t>
        </is>
      </c>
      <c r="BN9" s="33" t="n">
        <v>5</v>
      </c>
      <c r="BO9" s="33" t="n">
        <v>7</v>
      </c>
      <c r="BP9" s="33" t="inlineStr">
        <is>
          <t>6-10 days</t>
        </is>
      </c>
      <c r="BQ9" s="9" t="inlineStr">
        <is>
          <t>ROUTED — feasibility decision pending with Product Config Team</t>
        </is>
      </c>
      <c r="BR9" s="9" t="inlineStr">
        <is>
          <t>Preserve SPECIAL_FEASIBILITY reason in final register.</t>
        </is>
      </c>
      <c r="BS9" s="34" t="n">
        <v>46213</v>
      </c>
      <c r="BT9" s="9" t="inlineStr">
        <is>
          <t>Acknowledge referral to the owner queue and state that feasibility has not been decided by the correspondence clerk.</t>
        </is>
      </c>
      <c r="BU9" s="33" t="inlineStr">
        <is>
          <t>Priya Nair, Warranty Correspondence Supervisor</t>
        </is>
      </c>
      <c r="BV9" s="9" t="inlineStr">
        <is>
          <t>CaseBridge response packet and disposition register</t>
        </is>
      </c>
      <c r="BW9" s="9" t="inlineStr">
        <is>
          <t>Mailbox_Intake:MRQ-2026-0710-005/NHG-MRQ-2026-07-005 → Requested_Items:RL-005 via Case_ID → Accounts:CUST-1005/ACCT-7705 via Customer_ID/Account_ID → Warranty_Entitlements:W-5505 via Warranty_ID → Catalog:SP-CUSTOM-PANEL→SP-CUSTOM-PANEL → Exception_Handoff:SPECIAL_FEASIBILITY via Case_ID → Rules:SPECIAL_FEASIBILITY→SPECIAL_ROUTE_PREPARED→R_SPECIAL_ACK → Case_History:Response packet entry dated 2026-07-10</t>
        </is>
      </c>
    </row>
    <row r="10" ht="62" customHeight="1">
      <c r="A10" s="33" t="inlineStr">
        <is>
          <t>MRQ-2026-0710-006</t>
        </is>
      </c>
      <c r="B10" s="33" t="inlineStr">
        <is>
          <t>NHG-MRQ-2026-07-006</t>
        </is>
      </c>
      <c r="C10" s="34" t="n">
        <v>46207</v>
      </c>
      <c r="D10" s="34" t="n">
        <v>46221</v>
      </c>
      <c r="E10" s="33" t="inlineStr">
        <is>
          <t>MCHEN</t>
        </is>
      </c>
      <c r="F10" s="33" t="inlineStr">
        <is>
          <t>CREDIT_HOLD</t>
        </is>
      </c>
      <c r="G10" s="33" t="inlineStr">
        <is>
          <t>HELD_CREDIT_RELEASE_REQUIRED</t>
        </is>
      </c>
      <c r="H10" s="33" t="inlineStr">
        <is>
          <t>R_CREDIT_HOLD</t>
        </is>
      </c>
      <c r="I10" s="33" t="inlineStr">
        <is>
          <t>Held with customer or account action</t>
        </is>
      </c>
      <c r="J10" s="9" t="inlineStr">
        <is>
          <t>COMPLETE — dated response packet recorded</t>
        </is>
      </c>
      <c r="K10" s="9" t="inlineStr">
        <is>
          <t>HELD — prerequisite pending; no order request</t>
        </is>
      </c>
      <c r="L10" s="9" t="inlineStr">
        <is>
          <t>RECORDED — R_CREDIT_HOLD — MRQ-2026-0710-006 / NHG-MRQ-2026-07-006</t>
        </is>
      </c>
      <c r="M10" s="34" t="n">
        <v>46213</v>
      </c>
      <c r="N10" s="33" t="inlineStr">
        <is>
          <t>ON TIME</t>
        </is>
      </c>
      <c r="O10" s="9" t="inlineStr">
        <is>
          <t>HELD_CREDIT_RELEASE_REQUIRED: case remains held; credit release has not been granted.</t>
        </is>
      </c>
      <c r="P10" s="33" t="n">
        <v>0</v>
      </c>
      <c r="Q10" s="33" t="inlineStr">
        <is>
          <t>N</t>
        </is>
      </c>
      <c r="R10" s="33" t="inlineStr">
        <is>
          <t>Credit desk → MCHEN after release</t>
        </is>
      </c>
      <c r="S10" s="9" t="inlineStr">
        <is>
          <t>Credit desk must post the account release note. After release, MCHEN rechecks eligibility and may prepare the order request; no import row is permitted while the hold remains open.</t>
        </is>
      </c>
      <c r="T10" s="9" t="inlineStr">
        <is>
          <t>Response packet entry dated 2026-07-10</t>
        </is>
      </c>
      <c r="U10" s="33" t="inlineStr">
        <is>
          <t>Medium</t>
        </is>
      </c>
      <c r="V10" s="33" t="inlineStr">
        <is>
          <t>MSG-7006</t>
        </is>
      </c>
      <c r="W10" s="33" t="inlineStr">
        <is>
          <t>email</t>
        </is>
      </c>
      <c r="X10" s="9" t="inlineStr">
        <is>
          <t>Door shelf cracked</t>
        </is>
      </c>
      <c r="Y10" s="9" t="inlineStr">
        <is>
          <t>Customer requests one refrigerator door shelf bin under warranty reference W-5506.</t>
        </is>
      </c>
      <c r="Z10" s="33" t="inlineStr">
        <is>
          <t>RL-006</t>
        </is>
      </c>
      <c r="AA10" s="9" t="inlineStr">
        <is>
          <t>one refrigerator door shelf bin</t>
        </is>
      </c>
      <c r="AB10" s="33" t="inlineStr">
        <is>
          <t>WH-SHELF-310</t>
        </is>
      </c>
      <c r="AC10" s="33" t="n">
        <v>1</v>
      </c>
      <c r="AD10" s="33" t="inlineStr">
        <is>
          <t>Received</t>
        </is>
      </c>
      <c r="AE10" s="33" t="inlineStr">
        <is>
          <t>Y</t>
        </is>
      </c>
      <c r="AF10" s="33" t="n"/>
      <c r="AG10" s="33" t="inlineStr">
        <is>
          <t>N</t>
        </is>
      </c>
      <c r="AH10" s="33" t="inlineStr">
        <is>
          <t>CUST-1006</t>
        </is>
      </c>
      <c r="AI10" s="33" t="inlineStr">
        <is>
          <t>ACCT-7706</t>
        </is>
      </c>
      <c r="AJ10" s="33" t="inlineStr">
        <is>
          <t>Riverside Bungalows</t>
        </is>
      </c>
      <c r="AK10" s="33" t="inlineStr">
        <is>
          <t>Active</t>
        </is>
      </c>
      <c r="AL10" s="33" t="inlineStr">
        <is>
          <t>Tom Becker</t>
        </is>
      </c>
      <c r="AM10" s="33" t="inlineStr">
        <is>
          <t>tom.becker@example.invalid</t>
        </is>
      </c>
      <c r="AN10" s="33" t="inlineStr">
        <is>
          <t>email</t>
        </is>
      </c>
      <c r="AO10" s="33" t="inlineStr">
        <is>
          <t>English</t>
        </is>
      </c>
      <c r="AP10" s="33" t="inlineStr">
        <is>
          <t>W-5506</t>
        </is>
      </c>
      <c r="AQ10" s="33" t="inlineStr">
        <is>
          <t>Active</t>
        </is>
      </c>
      <c r="AR10" s="34" t="n">
        <v>46711</v>
      </c>
      <c r="AS10" s="33" t="inlineStr">
        <is>
          <t>Refrigeration Storage</t>
        </is>
      </c>
      <c r="AT10" s="33" t="n">
        <v>2</v>
      </c>
      <c r="AU10" s="33" t="inlineStr">
        <is>
          <t>WH-SHELF-310</t>
        </is>
      </c>
      <c r="AV10" s="33" t="inlineStr">
        <is>
          <t>Refrigeration Storage</t>
        </is>
      </c>
      <c r="AW10" s="33" t="inlineStr">
        <is>
          <t>AVAILABLE</t>
        </is>
      </c>
      <c r="AX10" s="33" t="n">
        <v>18</v>
      </c>
      <c r="AY10" s="34" t="n"/>
      <c r="AZ10" s="35" t="n">
        <v>32</v>
      </c>
      <c r="BA10" s="35" t="n">
        <v>0</v>
      </c>
      <c r="BB10" s="35" t="n"/>
      <c r="BC10" s="33" t="inlineStr">
        <is>
          <t>USD</t>
        </is>
      </c>
      <c r="BD10" s="33" t="inlineStr">
        <is>
          <t>SHIP-1006</t>
        </is>
      </c>
      <c r="BE10" s="9" t="inlineStr">
        <is>
          <t>106 Northstar Service Rd, Portland, OR 97206, US</t>
        </is>
      </c>
      <c r="BF10" s="33" t="inlineStr">
        <is>
          <t>Validated</t>
        </is>
      </c>
      <c r="BG10" s="33" t="inlineStr">
        <is>
          <t>Serviceable</t>
        </is>
      </c>
      <c r="BH10" s="33" t="inlineStr">
        <is>
          <t>CH-30</t>
        </is>
      </c>
      <c r="BI10" s="33" t="n"/>
      <c r="BJ10" s="9" t="n"/>
      <c r="BK10" s="33" t="n"/>
      <c r="BL10" s="33" t="n"/>
      <c r="BM10" s="33" t="n"/>
      <c r="BN10" s="33" t="n"/>
      <c r="BO10" s="33" t="n">
        <v>6</v>
      </c>
      <c r="BP10" s="33" t="inlineStr">
        <is>
          <t>6-10 days</t>
        </is>
      </c>
      <c r="BQ10" s="9" t="inlineStr">
        <is>
          <t>HELD — credit release pending</t>
        </is>
      </c>
      <c r="BR10" s="9" t="inlineStr">
        <is>
          <t>Preserve CREDIT_HOLD reason in final register.</t>
        </is>
      </c>
      <c r="BS10" s="34" t="n">
        <v>46213</v>
      </c>
      <c r="BT10" s="9" t="inlineStr">
        <is>
          <t>State that order preparation is held until the credit desk releases the restriction.</t>
        </is>
      </c>
      <c r="BU10" s="33" t="inlineStr">
        <is>
          <t>Priya Nair, Warranty Correspondence Supervisor</t>
        </is>
      </c>
      <c r="BV10" s="9" t="inlineStr">
        <is>
          <t>CaseBridge response packet and disposition register</t>
        </is>
      </c>
      <c r="BW10" s="9" t="inlineStr">
        <is>
          <t>Mailbox_Intake:MRQ-2026-0710-006/NHG-MRQ-2026-07-006 → Requested_Items:RL-006 via Case_ID → Accounts:CUST-1006/ACCT-7706 via Customer_ID/Account_ID → Warranty_Entitlements:W-5506 via Warranty_ID → Catalog:WH-SHELF-310→WH-SHELF-310 → Exception_Handoff:CREDIT_HOLD via Case_ID → Rules:CREDIT_HOLD→HELD_CREDIT_RELEASE_REQUIRED→R_CREDIT_HOLD → Case_History:Response packet entry dated 2026-07-10</t>
        </is>
      </c>
    </row>
    <row r="11" ht="62" customHeight="1">
      <c r="A11" s="33" t="inlineStr">
        <is>
          <t>MRQ-2026-0710-007</t>
        </is>
      </c>
      <c r="B11" s="33" t="inlineStr">
        <is>
          <t>NHG-MRQ-2026-07-007</t>
        </is>
      </c>
      <c r="C11" s="34" t="n">
        <v>46208</v>
      </c>
      <c r="D11" s="34" t="n">
        <v>46222</v>
      </c>
      <c r="E11" s="33" t="inlineStr">
        <is>
          <t>RPATEL</t>
        </is>
      </c>
      <c r="F11" s="33" t="inlineStr">
        <is>
          <t>MISSING_PROOF</t>
        </is>
      </c>
      <c r="G11" s="33" t="inlineStr">
        <is>
          <t>HELD_CUSTOMER_PROOF_REQUIRED</t>
        </is>
      </c>
      <c r="H11" s="33" t="inlineStr">
        <is>
          <t>R_MISSING_PROOF</t>
        </is>
      </c>
      <c r="I11" s="33" t="inlineStr">
        <is>
          <t>Held with customer or account action</t>
        </is>
      </c>
      <c r="J11" s="9" t="inlineStr">
        <is>
          <t>COMPLETE — dated response packet recorded</t>
        </is>
      </c>
      <c r="K11" s="9" t="inlineStr">
        <is>
          <t>HELD — prerequisite pending; no order request</t>
        </is>
      </c>
      <c r="L11" s="9" t="inlineStr">
        <is>
          <t>RECORDED — R_MISSING_PROOF — MRQ-2026-0710-007 / NHG-MRQ-2026-07-007</t>
        </is>
      </c>
      <c r="M11" s="34" t="n">
        <v>46213</v>
      </c>
      <c r="N11" s="33" t="inlineStr">
        <is>
          <t>ON TIME</t>
        </is>
      </c>
      <c r="O11" s="9" t="inlineStr">
        <is>
          <t>HELD_CUSTOMER_PROOF_REQUIRED: case remains held until acceptable proof is received.</t>
        </is>
      </c>
      <c r="P11" s="33" t="n">
        <v>0</v>
      </c>
      <c r="Q11" s="33" t="inlineStr">
        <is>
          <t>N</t>
        </is>
      </c>
      <c r="R11" s="33" t="inlineStr">
        <is>
          <t>Customer → RPATEL after proof</t>
        </is>
      </c>
      <c r="S11" s="9" t="inlineStr">
        <is>
          <t>Customer supplies the missing photo or warranty proof. RPATEL then validates the evidence and reopens the merchandise request; no import row is permitted before proof is accepted.</t>
        </is>
      </c>
      <c r="T11" s="9" t="inlineStr">
        <is>
          <t>Response packet entry dated 2026-07-10</t>
        </is>
      </c>
      <c r="U11" s="33" t="inlineStr">
        <is>
          <t>Low</t>
        </is>
      </c>
      <c r="V11" s="33" t="inlineStr">
        <is>
          <t>MSG-7007</t>
        </is>
      </c>
      <c r="W11" s="33" t="inlineStr">
        <is>
          <t>web form</t>
        </is>
      </c>
      <c r="X11" s="9" t="inlineStr">
        <is>
          <t>Filter replacement</t>
        </is>
      </c>
      <c r="Y11" s="9" t="inlineStr">
        <is>
          <t>Customer requests one filter cartridge under warranty reference W-5507.</t>
        </is>
      </c>
      <c r="Z11" s="33" t="inlineStr">
        <is>
          <t>RL-007</t>
        </is>
      </c>
      <c r="AA11" s="9" t="inlineStr">
        <is>
          <t>one filter cartridge</t>
        </is>
      </c>
      <c r="AB11" s="33" t="inlineStr">
        <is>
          <t>WH-FLTR-200</t>
        </is>
      </c>
      <c r="AC11" s="33" t="n">
        <v>1</v>
      </c>
      <c r="AD11" s="33" t="inlineStr">
        <is>
          <t>Missing</t>
        </is>
      </c>
      <c r="AE11" s="33" t="inlineStr">
        <is>
          <t>N</t>
        </is>
      </c>
      <c r="AF11" s="33" t="n"/>
      <c r="AG11" s="33" t="inlineStr">
        <is>
          <t>N</t>
        </is>
      </c>
      <c r="AH11" s="33" t="inlineStr">
        <is>
          <t>CUST-1007</t>
        </is>
      </c>
      <c r="AI11" s="33" t="inlineStr">
        <is>
          <t>ACCT-7707</t>
        </is>
      </c>
      <c r="AJ11" s="33" t="inlineStr">
        <is>
          <t>Juniper House</t>
        </is>
      </c>
      <c r="AK11" s="33" t="inlineStr">
        <is>
          <t>Active</t>
        </is>
      </c>
      <c r="AL11" s="33" t="inlineStr">
        <is>
          <t>Adele Morgan</t>
        </is>
      </c>
      <c r="AM11" s="33" t="inlineStr">
        <is>
          <t>adele.morgan@example.invalid</t>
        </is>
      </c>
      <c r="AN11" s="33" t="inlineStr">
        <is>
          <t>email</t>
        </is>
      </c>
      <c r="AO11" s="33" t="inlineStr">
        <is>
          <t>English</t>
        </is>
      </c>
      <c r="AP11" s="33" t="inlineStr">
        <is>
          <t>W-5507</t>
        </is>
      </c>
      <c r="AQ11" s="33" t="inlineStr">
        <is>
          <t>Active</t>
        </is>
      </c>
      <c r="AR11" s="34" t="n">
        <v>46672</v>
      </c>
      <c r="AS11" s="33" t="inlineStr">
        <is>
          <t>Water Filtration</t>
        </is>
      </c>
      <c r="AT11" s="33" t="n">
        <v>2</v>
      </c>
      <c r="AU11" s="33" t="inlineStr">
        <is>
          <t>WH-FLTR-200</t>
        </is>
      </c>
      <c r="AV11" s="33" t="inlineStr">
        <is>
          <t>Water Filtration</t>
        </is>
      </c>
      <c r="AW11" s="33" t="inlineStr">
        <is>
          <t>AVAILABLE</t>
        </is>
      </c>
      <c r="AX11" s="33" t="n">
        <v>50</v>
      </c>
      <c r="AY11" s="34" t="n"/>
      <c r="AZ11" s="35" t="n">
        <v>24</v>
      </c>
      <c r="BA11" s="35" t="n">
        <v>0</v>
      </c>
      <c r="BB11" s="35" t="n"/>
      <c r="BC11" s="33" t="inlineStr">
        <is>
          <t>USD</t>
        </is>
      </c>
      <c r="BD11" s="33" t="inlineStr">
        <is>
          <t>SHIP-1007</t>
        </is>
      </c>
      <c r="BE11" s="9" t="inlineStr">
        <is>
          <t>107 Northstar Service Rd, Portland, OR 97207, US</t>
        </is>
      </c>
      <c r="BF11" s="33" t="inlineStr">
        <is>
          <t>Validated</t>
        </is>
      </c>
      <c r="BG11" s="33" t="inlineStr">
        <is>
          <t>Serviceable</t>
        </is>
      </c>
      <c r="BH11" s="33" t="inlineStr">
        <is>
          <t>CLEAR</t>
        </is>
      </c>
      <c r="BI11" s="33" t="n"/>
      <c r="BJ11" s="9" t="n"/>
      <c r="BK11" s="33" t="n"/>
      <c r="BL11" s="33" t="n"/>
      <c r="BM11" s="33" t="n"/>
      <c r="BN11" s="33" t="n"/>
      <c r="BO11" s="33" t="n">
        <v>5</v>
      </c>
      <c r="BP11" s="33" t="inlineStr">
        <is>
          <t>3-5 days</t>
        </is>
      </c>
      <c r="BQ11" s="9" t="inlineStr">
        <is>
          <t>HELD — customer proof pending</t>
        </is>
      </c>
      <c r="BR11" s="9" t="inlineStr">
        <is>
          <t>Preserve MISSING_PROOF reason in final register.</t>
        </is>
      </c>
      <c r="BS11" s="34" t="n">
        <v>46213</v>
      </c>
      <c r="BT11" s="9" t="inlineStr">
        <is>
          <t>Request the missing proof needed to reopen the merchandise request.</t>
        </is>
      </c>
      <c r="BU11" s="33" t="inlineStr">
        <is>
          <t>Priya Nair, Warranty Correspondence Supervisor</t>
        </is>
      </c>
      <c r="BV11" s="9" t="inlineStr">
        <is>
          <t>CaseBridge response packet and disposition register</t>
        </is>
      </c>
      <c r="BW11" s="9" t="inlineStr">
        <is>
          <t>Mailbox_Intake:MRQ-2026-0710-007/NHG-MRQ-2026-07-007 → Requested_Items:RL-007 via Case_ID → Accounts:CUST-1007/ACCT-7707 via Customer_ID/Account_ID → Warranty_Entitlements:W-5507 via Warranty_ID → Catalog:WH-FLTR-200→WH-FLTR-200 → Exception_Handoff:MISSING_PROOF via Case_ID → Rules:MISSING_PROOF→HELD_CUSTOMER_PROOF_REQUIRED→R_MISSING_PROOF → Case_History:Response packet entry dated 2026-07-10</t>
        </is>
      </c>
    </row>
    <row r="12" ht="62" customHeight="1">
      <c r="A12" s="33" t="inlineStr">
        <is>
          <t>MRQ-2026-0710-008</t>
        </is>
      </c>
      <c r="B12" s="33" t="inlineStr">
        <is>
          <t>NHG-MRQ-2026-07-008</t>
        </is>
      </c>
      <c r="C12" s="34" t="n">
        <v>46208</v>
      </c>
      <c r="D12" s="34" t="n">
        <v>46224</v>
      </c>
      <c r="E12" s="33" t="inlineStr">
        <is>
          <t>JPARK</t>
        </is>
      </c>
      <c r="F12" s="33" t="inlineStr">
        <is>
          <t>INVALID_ADDRESS</t>
        </is>
      </c>
      <c r="G12" s="33" t="inlineStr">
        <is>
          <t>HELD_ADDRESS_CORRECTION_REQUIRED</t>
        </is>
      </c>
      <c r="H12" s="33" t="inlineStr">
        <is>
          <t>R_ADDRESS_FIX</t>
        </is>
      </c>
      <c r="I12" s="33" t="inlineStr">
        <is>
          <t>Held with customer or account action</t>
        </is>
      </c>
      <c r="J12" s="9" t="inlineStr">
        <is>
          <t>COMPLETE — dated response packet recorded</t>
        </is>
      </c>
      <c r="K12" s="9" t="inlineStr">
        <is>
          <t>HELD — prerequisite pending; no order request</t>
        </is>
      </c>
      <c r="L12" s="9" t="inlineStr">
        <is>
          <t>RECORDED — R_ADDRESS_FIX — MRQ-2026-0710-008 / NHG-MRQ-2026-07-008</t>
        </is>
      </c>
      <c r="M12" s="34" t="n">
        <v>46213</v>
      </c>
      <c r="N12" s="33" t="inlineStr">
        <is>
          <t>ON TIME</t>
        </is>
      </c>
      <c r="O12" s="9" t="inlineStr">
        <is>
          <t>HELD_ADDRESS_CORRECTION_REQUIRED: case remains held until the address is corrected and revalidated.</t>
        </is>
      </c>
      <c r="P12" s="33" t="n">
        <v>0</v>
      </c>
      <c r="Q12" s="33" t="inlineStr">
        <is>
          <t>N</t>
        </is>
      </c>
      <c r="R12" s="33" t="inlineStr">
        <is>
          <t>Customer → JPARK after correction</t>
        </is>
      </c>
      <c r="S12" s="9" t="inlineStr">
        <is>
          <t>Customer confirms the missing unit number. JPARK updates and revalidates the serviceable ship-to address before any fulfillment preparation.</t>
        </is>
      </c>
      <c r="T12" s="9" t="inlineStr">
        <is>
          <t>Response packet entry dated 2026-07-10</t>
        </is>
      </c>
      <c r="U12" s="33" t="inlineStr">
        <is>
          <t>Low</t>
        </is>
      </c>
      <c r="V12" s="33" t="inlineStr">
        <is>
          <t>MSG-7008</t>
        </is>
      </c>
      <c r="W12" s="33" t="inlineStr">
        <is>
          <t>email</t>
        </is>
      </c>
      <c r="X12" s="9" t="inlineStr">
        <is>
          <t>Gasket replacement</t>
        </is>
      </c>
      <c r="Y12" s="9" t="inlineStr">
        <is>
          <t>Customer requests dryer door gasket under warranty reference W-5508.</t>
        </is>
      </c>
      <c r="Z12" s="33" t="inlineStr">
        <is>
          <t>RL-008</t>
        </is>
      </c>
      <c r="AA12" s="9" t="inlineStr">
        <is>
          <t>dryer door gasket</t>
        </is>
      </c>
      <c r="AB12" s="33" t="inlineStr">
        <is>
          <t>WH-GASK-410</t>
        </is>
      </c>
      <c r="AC12" s="33" t="n">
        <v>1</v>
      </c>
      <c r="AD12" s="33" t="inlineStr">
        <is>
          <t>Received</t>
        </is>
      </c>
      <c r="AE12" s="33" t="inlineStr">
        <is>
          <t>Y</t>
        </is>
      </c>
      <c r="AF12" s="33" t="n"/>
      <c r="AG12" s="33" t="inlineStr">
        <is>
          <t>N</t>
        </is>
      </c>
      <c r="AH12" s="33" t="inlineStr">
        <is>
          <t>CUST-1008</t>
        </is>
      </c>
      <c r="AI12" s="33" t="inlineStr">
        <is>
          <t>ACCT-7708</t>
        </is>
      </c>
      <c r="AJ12" s="33" t="inlineStr">
        <is>
          <t>Westline Suites</t>
        </is>
      </c>
      <c r="AK12" s="33" t="inlineStr">
        <is>
          <t>Active</t>
        </is>
      </c>
      <c r="AL12" s="33" t="inlineStr">
        <is>
          <t>Priya Shah</t>
        </is>
      </c>
      <c r="AM12" s="33" t="inlineStr">
        <is>
          <t>priya.shah@example.invalid</t>
        </is>
      </c>
      <c r="AN12" s="33" t="inlineStr">
        <is>
          <t>email</t>
        </is>
      </c>
      <c r="AO12" s="33" t="inlineStr">
        <is>
          <t>English</t>
        </is>
      </c>
      <c r="AP12" s="33" t="inlineStr">
        <is>
          <t>W-5508</t>
        </is>
      </c>
      <c r="AQ12" s="33" t="inlineStr">
        <is>
          <t>Active</t>
        </is>
      </c>
      <c r="AR12" s="34" t="n">
        <v>46611</v>
      </c>
      <c r="AS12" s="33" t="inlineStr">
        <is>
          <t>Laundry Hardware</t>
        </is>
      </c>
      <c r="AT12" s="33" t="n">
        <v>2</v>
      </c>
      <c r="AU12" s="33" t="inlineStr">
        <is>
          <t>WH-GASK-410</t>
        </is>
      </c>
      <c r="AV12" s="33" t="inlineStr">
        <is>
          <t>Laundry Hardware</t>
        </is>
      </c>
      <c r="AW12" s="33" t="inlineStr">
        <is>
          <t>AVAILABLE</t>
        </is>
      </c>
      <c r="AX12" s="33" t="n">
        <v>7</v>
      </c>
      <c r="AY12" s="34" t="n"/>
      <c r="AZ12" s="35" t="n">
        <v>18.25</v>
      </c>
      <c r="BA12" s="35" t="n">
        <v>0</v>
      </c>
      <c r="BB12" s="35" t="n"/>
      <c r="BC12" s="33" t="inlineStr">
        <is>
          <t>USD</t>
        </is>
      </c>
      <c r="BD12" s="33" t="inlineStr">
        <is>
          <t>SHIP-1008</t>
        </is>
      </c>
      <c r="BE12" s="9" t="inlineStr">
        <is>
          <t>108 Northstar Service Rd, Portland, OR 97208, US</t>
        </is>
      </c>
      <c r="BF12" s="33" t="inlineStr">
        <is>
          <t>Invalid</t>
        </is>
      </c>
      <c r="BG12" s="33" t="inlineStr">
        <is>
          <t>Serviceable</t>
        </is>
      </c>
      <c r="BH12" s="33" t="inlineStr">
        <is>
          <t>CLEAR</t>
        </is>
      </c>
      <c r="BI12" s="33" t="n"/>
      <c r="BJ12" s="9" t="n"/>
      <c r="BK12" s="33" t="n"/>
      <c r="BL12" s="33" t="n"/>
      <c r="BM12" s="33" t="n"/>
      <c r="BN12" s="33" t="n"/>
      <c r="BO12" s="33" t="n">
        <v>5</v>
      </c>
      <c r="BP12" s="33" t="inlineStr">
        <is>
          <t>3-5 days</t>
        </is>
      </c>
      <c r="BQ12" s="9" t="inlineStr">
        <is>
          <t>HELD — corrected ship-to address pending</t>
        </is>
      </c>
      <c r="BR12" s="9" t="inlineStr">
        <is>
          <t>Preserve INVALID_ADDRESS reason in final register.</t>
        </is>
      </c>
      <c r="BS12" s="34" t="n">
        <v>46213</v>
      </c>
      <c r="BT12" s="9" t="inlineStr">
        <is>
          <t>Ask the customer to confirm a corrected serviceable ship-to address before fulfillment.</t>
        </is>
      </c>
      <c r="BU12" s="33" t="inlineStr">
        <is>
          <t>Priya Nair, Warranty Correspondence Supervisor</t>
        </is>
      </c>
      <c r="BV12" s="9" t="inlineStr">
        <is>
          <t>CaseBridge response packet and disposition register</t>
        </is>
      </c>
      <c r="BW12" s="9" t="inlineStr">
        <is>
          <t>Mailbox_Intake:MRQ-2026-0710-008/NHG-MRQ-2026-07-008 → Requested_Items:RL-008 via Case_ID → Accounts:CUST-1008/ACCT-7708 via Customer_ID/Account_ID → Warranty_Entitlements:W-5508 via Warranty_ID → Catalog:WH-GASK-410→WH-GASK-410 → Exception_Handoff:INVALID_ADDRESS via Case_ID → Rules:INVALID_ADDRESS→HELD_ADDRESS_CORRECTION_REQUIRED→R_ADDRESS_FIX → Case_History:Response packet entry dated 2026-07-10</t>
        </is>
      </c>
    </row>
    <row r="13" ht="62" customHeight="1">
      <c r="A13" s="33" t="inlineStr">
        <is>
          <t>MRQ-2026-0710-009</t>
        </is>
      </c>
      <c r="B13" s="33" t="inlineStr">
        <is>
          <t>NHG-MRQ-2026-07-009</t>
        </is>
      </c>
      <c r="C13" s="34" t="n">
        <v>46209</v>
      </c>
      <c r="D13" s="34" t="n">
        <v>46223</v>
      </c>
      <c r="E13" s="33" t="inlineStr">
        <is>
          <t>ALOPEZ</t>
        </is>
      </c>
      <c r="F13" s="33" t="inlineStr">
        <is>
          <t>DISCONTINUED_NO_REPLACEMENT</t>
        </is>
      </c>
      <c r="G13" s="33" t="inlineStr">
        <is>
          <t>UNAVAILABLE_RESPONSE_SENT</t>
        </is>
      </c>
      <c r="H13" s="33" t="inlineStr">
        <is>
          <t>R_UNAVAILABLE</t>
        </is>
      </c>
      <c r="I13" s="33" t="inlineStr">
        <is>
          <t>Closed response sent</t>
        </is>
      </c>
      <c r="J13" s="9" t="inlineStr">
        <is>
          <t>COMPLETE — dated response packet recorded</t>
        </is>
      </c>
      <c r="K13" s="9" t="inlineStr">
        <is>
          <t>NO ORDER REQUEST — unavailable response only</t>
        </is>
      </c>
      <c r="L13" s="9" t="inlineStr">
        <is>
          <t>RECORDED — R_UNAVAILABLE — MRQ-2026-0710-009 / NHG-MRQ-2026-07-009</t>
        </is>
      </c>
      <c r="M13" s="34" t="n">
        <v>46213</v>
      </c>
      <c r="N13" s="33" t="inlineStr">
        <is>
          <t>ON TIME</t>
        </is>
      </c>
      <c r="O13" s="9" t="inlineStr">
        <is>
          <t>Unavailable: WH-TRAY-125 is discontinued with no approved replacement.</t>
        </is>
      </c>
      <c r="P13" s="33" t="n">
        <v>0</v>
      </c>
      <c r="Q13" s="33" t="inlineStr">
        <is>
          <t>N</t>
        </is>
      </c>
      <c r="R13" s="33" t="inlineStr">
        <is>
          <t>Customer</t>
        </is>
      </c>
      <c r="S13" s="9" t="inlineStr">
        <is>
          <t>Use R_UNAVAILABLE; close unless the customer supplies new evidence.</t>
        </is>
      </c>
      <c r="T13" s="9" t="inlineStr">
        <is>
          <t>Response packet entry dated 2026-07-10</t>
        </is>
      </c>
      <c r="U13" s="33" t="inlineStr">
        <is>
          <t>Low</t>
        </is>
      </c>
      <c r="V13" s="33" t="inlineStr">
        <is>
          <t>MSG-7009</t>
        </is>
      </c>
      <c r="W13" s="33" t="inlineStr">
        <is>
          <t>email</t>
        </is>
      </c>
      <c r="X13" s="9" t="inlineStr">
        <is>
          <t>Legacy tray request</t>
        </is>
      </c>
      <c r="Y13" s="9" t="inlineStr">
        <is>
          <t>Customer requests legacy coffee drip tray under warranty reference W-5509.</t>
        </is>
      </c>
      <c r="Z13" s="33" t="inlineStr">
        <is>
          <t>RL-009</t>
        </is>
      </c>
      <c r="AA13" s="9" t="inlineStr">
        <is>
          <t>legacy coffee drip tray</t>
        </is>
      </c>
      <c r="AB13" s="33" t="inlineStr">
        <is>
          <t>WH-TRAY-125</t>
        </is>
      </c>
      <c r="AC13" s="33" t="n">
        <v>1</v>
      </c>
      <c r="AD13" s="33" t="inlineStr">
        <is>
          <t>Received</t>
        </is>
      </c>
      <c r="AE13" s="33" t="inlineStr">
        <is>
          <t>Y</t>
        </is>
      </c>
      <c r="AF13" s="33" t="n"/>
      <c r="AG13" s="33" t="inlineStr">
        <is>
          <t>N</t>
        </is>
      </c>
      <c r="AH13" s="33" t="inlineStr">
        <is>
          <t>CUST-1009</t>
        </is>
      </c>
      <c r="AI13" s="33" t="inlineStr">
        <is>
          <t>ACCT-7709</t>
        </is>
      </c>
      <c r="AJ13" s="33" t="inlineStr">
        <is>
          <t>Aspen Terrace</t>
        </is>
      </c>
      <c r="AK13" s="33" t="inlineStr">
        <is>
          <t>Active</t>
        </is>
      </c>
      <c r="AL13" s="33" t="inlineStr">
        <is>
          <t>Owen Price</t>
        </is>
      </c>
      <c r="AM13" s="33" t="inlineStr">
        <is>
          <t>owen.price@example.invalid</t>
        </is>
      </c>
      <c r="AN13" s="33" t="inlineStr">
        <is>
          <t>email</t>
        </is>
      </c>
      <c r="AO13" s="33" t="inlineStr">
        <is>
          <t>English</t>
        </is>
      </c>
      <c r="AP13" s="33" t="inlineStr">
        <is>
          <t>W-5509</t>
        </is>
      </c>
      <c r="AQ13" s="33" t="inlineStr">
        <is>
          <t>Active</t>
        </is>
      </c>
      <c r="AR13" s="34" t="n">
        <v>46478</v>
      </c>
      <c r="AS13" s="33" t="inlineStr">
        <is>
          <t>Coffee System Accessories</t>
        </is>
      </c>
      <c r="AT13" s="33" t="n">
        <v>1</v>
      </c>
      <c r="AU13" s="33" t="inlineStr">
        <is>
          <t>WH-TRAY-125</t>
        </is>
      </c>
      <c r="AV13" s="33" t="inlineStr">
        <is>
          <t>Coffee System Accessories</t>
        </is>
      </c>
      <c r="AW13" s="33" t="n"/>
      <c r="AX13" s="33" t="n"/>
      <c r="AY13" s="34" t="n"/>
      <c r="AZ13" s="35" t="n">
        <v>0</v>
      </c>
      <c r="BA13" s="35" t="n">
        <v>0</v>
      </c>
      <c r="BB13" s="35" t="n"/>
      <c r="BC13" s="33" t="inlineStr">
        <is>
          <t>USD</t>
        </is>
      </c>
      <c r="BD13" s="33" t="inlineStr">
        <is>
          <t>SHIP-1009</t>
        </is>
      </c>
      <c r="BE13" s="9" t="inlineStr">
        <is>
          <t>109 Northstar Service Rd, Portland, OR 97209, US</t>
        </is>
      </c>
      <c r="BF13" s="33" t="inlineStr">
        <is>
          <t>Validated</t>
        </is>
      </c>
      <c r="BG13" s="33" t="inlineStr">
        <is>
          <t>Serviceable</t>
        </is>
      </c>
      <c r="BH13" s="33" t="inlineStr">
        <is>
          <t>CLEAR</t>
        </is>
      </c>
      <c r="BI13" s="33" t="n"/>
      <c r="BJ13" s="9" t="n"/>
      <c r="BK13" s="33" t="n"/>
      <c r="BL13" s="33" t="n"/>
      <c r="BM13" s="33" t="n"/>
      <c r="BN13" s="33" t="n"/>
      <c r="BO13" s="33" t="n">
        <v>4</v>
      </c>
      <c r="BP13" s="33" t="inlineStr">
        <is>
          <t>3-5 days</t>
        </is>
      </c>
      <c r="BQ13" s="9" t="inlineStr">
        <is>
          <t>Open for final response or route</t>
        </is>
      </c>
      <c r="BR13" s="9" t="inlineStr">
        <is>
          <t>Preserve DISCONTINUED_NO_REPLACEMENT reason in final register.</t>
        </is>
      </c>
      <c r="BS13" s="34" t="n">
        <v>46213</v>
      </c>
      <c r="BT13" s="9" t="inlineStr">
        <is>
          <t>Explain discontinued or unavailable status and close unless new evidence is supplied.</t>
        </is>
      </c>
      <c r="BU13" s="33" t="inlineStr">
        <is>
          <t>Priya Nair, Warranty Correspondence Supervisor</t>
        </is>
      </c>
      <c r="BV13" s="9" t="inlineStr">
        <is>
          <t>CaseBridge response packet and disposition register</t>
        </is>
      </c>
      <c r="BW13" s="9" t="inlineStr">
        <is>
          <t>Mailbox_Intake:MRQ-2026-0710-009/NHG-MRQ-2026-07-009 → Requested_Items:RL-009 via Case_ID → Accounts:CUST-1009/ACCT-7709 via Customer_ID/Account_ID → Warranty_Entitlements:W-5509 via Warranty_ID → Catalog:WH-TRAY-125→WH-TRAY-125 → Exception_Handoff:DISCONTINUED_NO_REPLACEMENT via Case_ID → Rules:DISCONTINUED_NO_REPLACEMENT→UNAVAILABLE_RESPONSE_SENT→R_UNAVAILABLE → Case_History:Response packet entry dated 2026-07-10</t>
        </is>
      </c>
    </row>
    <row r="14" ht="62" customHeight="1">
      <c r="A14" s="33" t="inlineStr">
        <is>
          <t>MRQ-2026-0710-010</t>
        </is>
      </c>
      <c r="B14" s="33" t="inlineStr">
        <is>
          <t>NHG-MRQ-2026-07-010</t>
        </is>
      </c>
      <c r="C14" s="34" t="n">
        <v>46209</v>
      </c>
      <c r="D14" s="34" t="n">
        <v>46221</v>
      </c>
      <c r="E14" s="33" t="inlineStr">
        <is>
          <t>MCHEN</t>
        </is>
      </c>
      <c r="F14" s="33" t="inlineStr">
        <is>
          <t>DUPLICATE_REQUEST</t>
        </is>
      </c>
      <c r="G14" s="33" t="inlineStr">
        <is>
          <t>DUPLICATE_CLOSED</t>
        </is>
      </c>
      <c r="H14" s="33" t="inlineStr">
        <is>
          <t>R_DUPLICATE</t>
        </is>
      </c>
      <c r="I14" s="33" t="inlineStr">
        <is>
          <t>Closed response sent</t>
        </is>
      </c>
      <c r="J14" s="9" t="inlineStr">
        <is>
          <t>COMPLETE — dated response packet recorded</t>
        </is>
      </c>
      <c r="K14" s="9" t="inlineStr">
        <is>
          <t>NO ORDER REQUEST — duplicate correspondence closed</t>
        </is>
      </c>
      <c r="L14" s="9" t="inlineStr">
        <is>
          <t>RECORDED — R_DUPLICATE — MRQ-2026-0710-010 / NHG-MRQ-2026-07-010</t>
        </is>
      </c>
      <c r="M14" s="34" t="n">
        <v>46213</v>
      </c>
      <c r="N14" s="33" t="inlineStr">
        <is>
          <t>ON TIME</t>
        </is>
      </c>
      <c r="O14" s="9" t="inlineStr">
        <is>
          <t>Duplicate closed; original case is MRQ-2026-0710-001.</t>
        </is>
      </c>
      <c r="P14" s="33" t="n">
        <v>0</v>
      </c>
      <c r="Q14" s="33" t="inlineStr">
        <is>
          <t>N</t>
        </is>
      </c>
      <c r="R14" s="33" t="inlineStr">
        <is>
          <t>Customer</t>
        </is>
      </c>
      <c r="S14" s="9" t="inlineStr">
        <is>
          <t>Use R_DUPLICATE; reference MRQ-2026-0710-001 and close the duplicate.</t>
        </is>
      </c>
      <c r="T14" s="9" t="inlineStr">
        <is>
          <t>Response packet entry dated 2026-07-10</t>
        </is>
      </c>
      <c r="U14" s="33" t="inlineStr">
        <is>
          <t>Low</t>
        </is>
      </c>
      <c r="V14" s="33" t="inlineStr">
        <is>
          <t>MSG-7010</t>
        </is>
      </c>
      <c r="W14" s="33" t="inlineStr">
        <is>
          <t>email</t>
        </is>
      </c>
      <c r="X14" s="9" t="inlineStr">
        <is>
          <t>Checking on filter request</t>
        </is>
      </c>
      <c r="Y14" s="9" t="inlineStr">
        <is>
          <t>Customer requests duplicate request for two filters under warranty reference W-5501.</t>
        </is>
      </c>
      <c r="Z14" s="33" t="inlineStr">
        <is>
          <t>RL-010</t>
        </is>
      </c>
      <c r="AA14" s="9" t="inlineStr">
        <is>
          <t>duplicate request for two filters</t>
        </is>
      </c>
      <c r="AB14" s="33" t="inlineStr">
        <is>
          <t>WH-FLTR-200</t>
        </is>
      </c>
      <c r="AC14" s="33" t="n">
        <v>2</v>
      </c>
      <c r="AD14" s="33" t="inlineStr">
        <is>
          <t>Received</t>
        </is>
      </c>
      <c r="AE14" s="33" t="inlineStr">
        <is>
          <t>Y</t>
        </is>
      </c>
      <c r="AF14" s="33" t="inlineStr">
        <is>
          <t>MRQ-2026-0710-001</t>
        </is>
      </c>
      <c r="AG14" s="33" t="inlineStr">
        <is>
          <t>N</t>
        </is>
      </c>
      <c r="AH14" s="33" t="inlineStr">
        <is>
          <t>CUST-1001</t>
        </is>
      </c>
      <c r="AI14" s="33" t="inlineStr">
        <is>
          <t>ACCT-7701</t>
        </is>
      </c>
      <c r="AJ14" s="33" t="inlineStr">
        <is>
          <t>Maple Townhomes</t>
        </is>
      </c>
      <c r="AK14" s="33" t="inlineStr">
        <is>
          <t>Active</t>
        </is>
      </c>
      <c r="AL14" s="33" t="inlineStr">
        <is>
          <t>Ivy Torres</t>
        </is>
      </c>
      <c r="AM14" s="33" t="inlineStr">
        <is>
          <t>ivy.torres@example.invalid</t>
        </is>
      </c>
      <c r="AN14" s="33" t="inlineStr">
        <is>
          <t>email</t>
        </is>
      </c>
      <c r="AO14" s="33" t="inlineStr">
        <is>
          <t>English</t>
        </is>
      </c>
      <c r="AP14" s="33" t="inlineStr">
        <is>
          <t>W-5501</t>
        </is>
      </c>
      <c r="AQ14" s="33" t="inlineStr">
        <is>
          <t>Active</t>
        </is>
      </c>
      <c r="AR14" s="34" t="n">
        <v>46600</v>
      </c>
      <c r="AS14" s="33" t="inlineStr">
        <is>
          <t>Water Filtration</t>
        </is>
      </c>
      <c r="AT14" s="33" t="n">
        <v>4</v>
      </c>
      <c r="AU14" s="33" t="inlineStr">
        <is>
          <t>WH-FLTR-200</t>
        </is>
      </c>
      <c r="AV14" s="33" t="inlineStr">
        <is>
          <t>Water Filtration</t>
        </is>
      </c>
      <c r="AW14" s="33" t="inlineStr">
        <is>
          <t>AVAILABLE</t>
        </is>
      </c>
      <c r="AX14" s="33" t="n">
        <v>50</v>
      </c>
      <c r="AY14" s="34" t="n"/>
      <c r="AZ14" s="35" t="n">
        <v>24</v>
      </c>
      <c r="BA14" s="35" t="n">
        <v>0</v>
      </c>
      <c r="BB14" s="35" t="n"/>
      <c r="BC14" s="33" t="inlineStr">
        <is>
          <t>USD</t>
        </is>
      </c>
      <c r="BD14" s="33" t="inlineStr">
        <is>
          <t>SHIP-1001</t>
        </is>
      </c>
      <c r="BE14" s="9" t="inlineStr">
        <is>
          <t>101 Northstar Service Rd, Portland, OR 97201, US</t>
        </is>
      </c>
      <c r="BF14" s="33" t="inlineStr">
        <is>
          <t>Validated</t>
        </is>
      </c>
      <c r="BG14" s="33" t="inlineStr">
        <is>
          <t>Serviceable</t>
        </is>
      </c>
      <c r="BH14" s="33" t="inlineStr">
        <is>
          <t>CLEAR</t>
        </is>
      </c>
      <c r="BI14" s="33" t="n"/>
      <c r="BJ14" s="9" t="n"/>
      <c r="BK14" s="33" t="n"/>
      <c r="BL14" s="33" t="n"/>
      <c r="BM14" s="33" t="n"/>
      <c r="BN14" s="33" t="n"/>
      <c r="BO14" s="33" t="n">
        <v>4</v>
      </c>
      <c r="BP14" s="33" t="inlineStr">
        <is>
          <t>3-5 days</t>
        </is>
      </c>
      <c r="BQ14" s="9" t="inlineStr">
        <is>
          <t>Open for final response or route</t>
        </is>
      </c>
      <c r="BR14" s="9" t="inlineStr">
        <is>
          <t>Preserve DUPLICATE_REQUEST reason in final register.</t>
        </is>
      </c>
      <c r="BS14" s="34" t="n">
        <v>46213</v>
      </c>
      <c r="BT14" s="9" t="inlineStr">
        <is>
          <t>Reference the original case and close the duplicate correspondence.</t>
        </is>
      </c>
      <c r="BU14" s="33" t="inlineStr">
        <is>
          <t>Priya Nair, Warranty Correspondence Supervisor</t>
        </is>
      </c>
      <c r="BV14" s="9" t="inlineStr">
        <is>
          <t>CaseBridge response packet and disposition register</t>
        </is>
      </c>
      <c r="BW14" s="9" t="inlineStr">
        <is>
          <t>Mailbox_Intake:MRQ-2026-0710-010/NHG-MRQ-2026-07-010 → Requested_Items:RL-010 via Case_ID → Accounts:CUST-1001/ACCT-7701 via Customer_ID/Account_ID → Warranty_Entitlements:W-5501 via Warranty_ID → Catalog:WH-FLTR-200→WH-FLTR-200 → Exception_Handoff:DUPLICATE_REQUEST via Case_ID → Rules:DUPLICATE_REQUEST→DUPLICATE_CLOSED→R_DUPLICATE → Case_History:Response packet entry dated 2026-07-10</t>
        </is>
      </c>
    </row>
    <row r="15" ht="62" customHeight="1">
      <c r="A15" s="33" t="inlineStr">
        <is>
          <t>MRQ-2026-0710-011</t>
        </is>
      </c>
      <c r="B15" s="33" t="inlineStr">
        <is>
          <t>NHG-MRQ-2026-07-011</t>
        </is>
      </c>
      <c r="C15" s="34" t="n">
        <v>46210</v>
      </c>
      <c r="D15" s="34" t="n">
        <v>46227</v>
      </c>
      <c r="E15" s="33" t="inlineStr">
        <is>
          <t>RPATEL</t>
        </is>
      </c>
      <c r="F15" s="33" t="inlineStr">
        <is>
          <t>NONE</t>
        </is>
      </c>
      <c r="G15" s="33" t="inlineStr">
        <is>
          <t>STANDARD_ORDER_PREPARED</t>
        </is>
      </c>
      <c r="H15" s="33" t="inlineStr">
        <is>
          <t>R_STANDARD_ORDER</t>
        </is>
      </c>
      <c r="I15" s="33" t="inlineStr">
        <is>
          <t>Order request prepared</t>
        </is>
      </c>
      <c r="J15" s="9" t="inlineStr">
        <is>
          <t>COMPLETE — dated response packet recorded</t>
        </is>
      </c>
      <c r="K15" s="9" t="inlineStr">
        <is>
          <t>ORDER REQUEST PREPARED — not uploaded or shipped</t>
        </is>
      </c>
      <c r="L15" s="9" t="inlineStr">
        <is>
          <t>RECORDED — R_STANDARD_ORDER — MRQ-2026-0710-011 / NHG-MRQ-2026-07-011</t>
        </is>
      </c>
      <c r="M15" s="34" t="n">
        <v>46213</v>
      </c>
      <c r="N15" s="33" t="inlineStr">
        <is>
          <t>ON TIME</t>
        </is>
      </c>
      <c r="O15" s="9" t="inlineStr">
        <is>
          <t>Standard warranty order request prepared for 4 × WH-KNOB-110; not evidence of shipment or upload.</t>
        </is>
      </c>
      <c r="P15" s="33" t="n">
        <v>4</v>
      </c>
      <c r="Q15" s="33" t="inlineStr">
        <is>
          <t>Y</t>
        </is>
      </c>
      <c r="R15" s="33" t="inlineStr">
        <is>
          <t>Fulfillment import coordinator</t>
        </is>
      </c>
      <c r="S15" s="9" t="inlineStr">
        <is>
          <t>Use R_STANDARD_ORDER; hand prepared request to fulfillment import coordinator.</t>
        </is>
      </c>
      <c r="T15" s="9" t="inlineStr">
        <is>
          <t>Response packet entry dated 2026-07-10</t>
        </is>
      </c>
      <c r="U15" s="33" t="inlineStr">
        <is>
          <t>Low</t>
        </is>
      </c>
      <c r="V15" s="33" t="inlineStr">
        <is>
          <t>MSG-7011</t>
        </is>
      </c>
      <c r="W15" s="33" t="inlineStr">
        <is>
          <t>email</t>
        </is>
      </c>
      <c r="X15" s="9" t="inlineStr">
        <is>
          <t>Dealer warranty knob request</t>
        </is>
      </c>
      <c r="Y15" s="9" t="inlineStr">
        <is>
          <t>Customer requests four brushed steel oven knobs under warranty reference W-5510.</t>
        </is>
      </c>
      <c r="Z15" s="33" t="inlineStr">
        <is>
          <t>RL-011</t>
        </is>
      </c>
      <c r="AA15" s="9" t="inlineStr">
        <is>
          <t>four brushed steel oven knobs</t>
        </is>
      </c>
      <c r="AB15" s="33" t="inlineStr">
        <is>
          <t>WH-KNOB-110</t>
        </is>
      </c>
      <c r="AC15" s="33" t="n">
        <v>4</v>
      </c>
      <c r="AD15" s="33" t="inlineStr">
        <is>
          <t>Received</t>
        </is>
      </c>
      <c r="AE15" s="33" t="inlineStr">
        <is>
          <t>Y</t>
        </is>
      </c>
      <c r="AF15" s="33" t="n"/>
      <c r="AG15" s="33" t="inlineStr">
        <is>
          <t>N</t>
        </is>
      </c>
      <c r="AH15" s="33" t="inlineStr">
        <is>
          <t>CUST-1010</t>
        </is>
      </c>
      <c r="AI15" s="33" t="inlineStr">
        <is>
          <t>ACCT-7710</t>
        </is>
      </c>
      <c r="AJ15" s="33" t="inlineStr">
        <is>
          <t>Oak &amp; Finch LLC</t>
        </is>
      </c>
      <c r="AK15" s="33" t="inlineStr">
        <is>
          <t>Active</t>
        </is>
      </c>
      <c r="AL15" s="33" t="inlineStr">
        <is>
          <t>Reena Das</t>
        </is>
      </c>
      <c r="AM15" s="33" t="inlineStr">
        <is>
          <t>reena.das@example.invalid</t>
        </is>
      </c>
      <c r="AN15" s="33" t="inlineStr">
        <is>
          <t>email</t>
        </is>
      </c>
      <c r="AO15" s="33" t="inlineStr">
        <is>
          <t>English</t>
        </is>
      </c>
      <c r="AP15" s="33" t="inlineStr">
        <is>
          <t>W-5510</t>
        </is>
      </c>
      <c r="AQ15" s="33" t="inlineStr">
        <is>
          <t>Active</t>
        </is>
      </c>
      <c r="AR15" s="34" t="n">
        <v>46448</v>
      </c>
      <c r="AS15" s="33" t="inlineStr">
        <is>
          <t>Cooking Hardware</t>
        </is>
      </c>
      <c r="AT15" s="33" t="n">
        <v>6</v>
      </c>
      <c r="AU15" s="33" t="inlineStr">
        <is>
          <t>WH-KNOB-110</t>
        </is>
      </c>
      <c r="AV15" s="33" t="inlineStr">
        <is>
          <t>Cooking Hardware</t>
        </is>
      </c>
      <c r="AW15" s="33" t="inlineStr">
        <is>
          <t>AVAILABLE</t>
        </is>
      </c>
      <c r="AX15" s="33" t="n">
        <v>40</v>
      </c>
      <c r="AY15" s="34" t="n"/>
      <c r="AZ15" s="35" t="n">
        <v>9.5</v>
      </c>
      <c r="BA15" s="35" t="n">
        <v>0</v>
      </c>
      <c r="BB15" s="35" t="n">
        <v>38</v>
      </c>
      <c r="BC15" s="33" t="inlineStr">
        <is>
          <t>USD</t>
        </is>
      </c>
      <c r="BD15" s="33" t="inlineStr">
        <is>
          <t>SHIP-1010</t>
        </is>
      </c>
      <c r="BE15" s="9" t="inlineStr">
        <is>
          <t>110 Northstar Service Rd, Portland, OR 97210, US</t>
        </is>
      </c>
      <c r="BF15" s="33" t="inlineStr">
        <is>
          <t>Validated</t>
        </is>
      </c>
      <c r="BG15" s="33" t="inlineStr">
        <is>
          <t>Serviceable</t>
        </is>
      </c>
      <c r="BH15" s="33" t="inlineStr">
        <is>
          <t>CLEAR</t>
        </is>
      </c>
      <c r="BI15" s="33" t="n"/>
      <c r="BJ15" s="9" t="n"/>
      <c r="BK15" s="33" t="n"/>
      <c r="BL15" s="33" t="n"/>
      <c r="BM15" s="33" t="n"/>
      <c r="BN15" s="33" t="n"/>
      <c r="BO15" s="33" t="n">
        <v>0</v>
      </c>
      <c r="BP15" s="33" t="inlineStr">
        <is>
          <t>N/A — no exception</t>
        </is>
      </c>
      <c r="BQ15" s="9" t="inlineStr">
        <is>
          <t>N/A — standard prepared order</t>
        </is>
      </c>
      <c r="BR15" s="9" t="inlineStr">
        <is>
          <t>No exception owner note required.</t>
        </is>
      </c>
      <c r="BS15" s="34" t="n"/>
      <c r="BT15" s="9" t="inlineStr">
        <is>
          <t>Confirm resolved SKU, approved quantity, no-charge warranty handling, ship-to destination, and order request reference.</t>
        </is>
      </c>
      <c r="BU15" s="33" t="inlineStr">
        <is>
          <t>Priya Nair, Warranty Correspondence Supervisor</t>
        </is>
      </c>
      <c r="BV15" s="9" t="inlineStr">
        <is>
          <t>CaseBridge response packet and disposition register</t>
        </is>
      </c>
      <c r="BW15" s="9" t="inlineStr">
        <is>
          <t>Mailbox_Intake:MRQ-2026-0710-011/NHG-MRQ-2026-07-011 → Requested_Items:RL-011 via Case_ID → Accounts:CUST-1010/ACCT-7710 via Customer_ID/Account_ID → Warranty_Entitlements:W-5510 via Warranty_ID → Catalog:WH-KNOB-110→WH-KNOB-110 → No Exception_Handoff row; controlled Exception_Code=NONE → Rules:NONE→STANDARD_ORDER_PREPARED→R_STANDARD_ORDER → Case_History:Response packet entry dated 2026-07-10</t>
        </is>
      </c>
    </row>
    <row r="16" ht="62" customHeight="1">
      <c r="A16" s="33" t="inlineStr">
        <is>
          <t>MRQ-2026-0710-012</t>
        </is>
      </c>
      <c r="B16" s="33" t="inlineStr">
        <is>
          <t>NHG-MRQ-2026-07-012</t>
        </is>
      </c>
      <c r="C16" s="34" t="n">
        <v>46210</v>
      </c>
      <c r="D16" s="34" t="n">
        <v>46226</v>
      </c>
      <c r="E16" s="33" t="inlineStr">
        <is>
          <t>JPARK</t>
        </is>
      </c>
      <c r="F16" s="33" t="inlineStr">
        <is>
          <t>QTY_CAP_PARTIAL</t>
        </is>
      </c>
      <c r="G16" s="33" t="inlineStr">
        <is>
          <t>PARTIAL_STANDARD_ORDER_PREPARED</t>
        </is>
      </c>
      <c r="H16" s="33" t="inlineStr">
        <is>
          <t>R_PARTIAL_STANDARD</t>
        </is>
      </c>
      <c r="I16" s="33" t="inlineStr">
        <is>
          <t>Order request prepared</t>
        </is>
      </c>
      <c r="J16" s="9" t="inlineStr">
        <is>
          <t>COMPLETE — dated response packet recorded</t>
        </is>
      </c>
      <c r="K16" s="9" t="inlineStr">
        <is>
          <t>ORDER REQUEST PREPARED — not uploaded or shipped</t>
        </is>
      </c>
      <c r="L16" s="9" t="inlineStr">
        <is>
          <t>RECORDED — R_PARTIAL_STANDARD — MRQ-2026-0710-012 / NHG-MRQ-2026-07-012</t>
        </is>
      </c>
      <c r="M16" s="34" t="n">
        <v>46213</v>
      </c>
      <c r="N16" s="33" t="inlineStr">
        <is>
          <t>ON TIME</t>
        </is>
      </c>
      <c r="O16" s="9" t="inlineStr">
        <is>
          <t>Partial order request prepared for 1 of 3; remaining 2 exceeds allowance.</t>
        </is>
      </c>
      <c r="P16" s="33" t="n">
        <v>1</v>
      </c>
      <c r="Q16" s="33" t="inlineStr">
        <is>
          <t>Y</t>
        </is>
      </c>
      <c r="R16" s="33" t="inlineStr">
        <is>
          <t>Fulfillment import coordinator</t>
        </is>
      </c>
      <c r="S16" s="9" t="inlineStr">
        <is>
          <t>Use R_PARTIAL_STANDARD; confirm approved quantity 1 and explain unapproved remainder 2.</t>
        </is>
      </c>
      <c r="T16" s="9" t="inlineStr">
        <is>
          <t>Response packet entry dated 2026-07-10</t>
        </is>
      </c>
      <c r="U16" s="33" t="inlineStr">
        <is>
          <t>Low</t>
        </is>
      </c>
      <c r="V16" s="33" t="inlineStr">
        <is>
          <t>MSG-7012</t>
        </is>
      </c>
      <c r="W16" s="33" t="inlineStr">
        <is>
          <t>web form</t>
        </is>
      </c>
      <c r="X16" s="9" t="inlineStr">
        <is>
          <t>Shelf bins cracked</t>
        </is>
      </c>
      <c r="Y16" s="9" t="inlineStr">
        <is>
          <t>Customer requests three refrigerator shelf bins under warranty reference W-5511.</t>
        </is>
      </c>
      <c r="Z16" s="33" t="inlineStr">
        <is>
          <t>RL-012</t>
        </is>
      </c>
      <c r="AA16" s="9" t="inlineStr">
        <is>
          <t>three refrigerator shelf bins</t>
        </is>
      </c>
      <c r="AB16" s="33" t="inlineStr">
        <is>
          <t>WH-SHELF-310</t>
        </is>
      </c>
      <c r="AC16" s="33" t="n">
        <v>3</v>
      </c>
      <c r="AD16" s="33" t="inlineStr">
        <is>
          <t>Received</t>
        </is>
      </c>
      <c r="AE16" s="33" t="inlineStr">
        <is>
          <t>Y</t>
        </is>
      </c>
      <c r="AF16" s="33" t="n"/>
      <c r="AG16" s="33" t="inlineStr">
        <is>
          <t>N</t>
        </is>
      </c>
      <c r="AH16" s="33" t="inlineStr">
        <is>
          <t>CUST-1011</t>
        </is>
      </c>
      <c r="AI16" s="33" t="inlineStr">
        <is>
          <t>ACCT-7711</t>
        </is>
      </c>
      <c r="AJ16" s="33" t="inlineStr">
        <is>
          <t>Bluebird Lane</t>
        </is>
      </c>
      <c r="AK16" s="33" t="inlineStr">
        <is>
          <t>Active</t>
        </is>
      </c>
      <c r="AL16" s="33" t="inlineStr">
        <is>
          <t>Caleb Stone</t>
        </is>
      </c>
      <c r="AM16" s="33" t="inlineStr">
        <is>
          <t>caleb.stone@example.invalid</t>
        </is>
      </c>
      <c r="AN16" s="33" t="inlineStr">
        <is>
          <t>email</t>
        </is>
      </c>
      <c r="AO16" s="33" t="inlineStr">
        <is>
          <t>English</t>
        </is>
      </c>
      <c r="AP16" s="33" t="inlineStr">
        <is>
          <t>W-5511</t>
        </is>
      </c>
      <c r="AQ16" s="33" t="inlineStr">
        <is>
          <t>Active</t>
        </is>
      </c>
      <c r="AR16" s="34" t="n">
        <v>46722</v>
      </c>
      <c r="AS16" s="33" t="inlineStr">
        <is>
          <t>Refrigeration Storage</t>
        </is>
      </c>
      <c r="AT16" s="33" t="n">
        <v>1</v>
      </c>
      <c r="AU16" s="33" t="inlineStr">
        <is>
          <t>WH-SHELF-310</t>
        </is>
      </c>
      <c r="AV16" s="33" t="inlineStr">
        <is>
          <t>Refrigeration Storage</t>
        </is>
      </c>
      <c r="AW16" s="33" t="inlineStr">
        <is>
          <t>AVAILABLE</t>
        </is>
      </c>
      <c r="AX16" s="33" t="n">
        <v>18</v>
      </c>
      <c r="AY16" s="34" t="n"/>
      <c r="AZ16" s="35" t="n">
        <v>32</v>
      </c>
      <c r="BA16" s="35" t="n">
        <v>0</v>
      </c>
      <c r="BB16" s="35" t="n">
        <v>32</v>
      </c>
      <c r="BC16" s="33" t="inlineStr">
        <is>
          <t>USD</t>
        </is>
      </c>
      <c r="BD16" s="33" t="inlineStr">
        <is>
          <t>SHIP-1011</t>
        </is>
      </c>
      <c r="BE16" s="9" t="inlineStr">
        <is>
          <t>111 Northstar Service Rd, Portland, OR 97211, US</t>
        </is>
      </c>
      <c r="BF16" s="33" t="inlineStr">
        <is>
          <t>Validated</t>
        </is>
      </c>
      <c r="BG16" s="33" t="inlineStr">
        <is>
          <t>Serviceable</t>
        </is>
      </c>
      <c r="BH16" s="33" t="inlineStr">
        <is>
          <t>CLEAR</t>
        </is>
      </c>
      <c r="BI16" s="33" t="n"/>
      <c r="BJ16" s="9" t="n"/>
      <c r="BK16" s="33" t="n"/>
      <c r="BL16" s="33" t="n"/>
      <c r="BM16" s="33" t="n"/>
      <c r="BN16" s="33" t="n"/>
      <c r="BO16" s="33" t="n">
        <v>3</v>
      </c>
      <c r="BP16" s="33" t="inlineStr">
        <is>
          <t>3-5 days</t>
        </is>
      </c>
      <c r="BQ16" s="9" t="inlineStr">
        <is>
          <t>Open for final response or route</t>
        </is>
      </c>
      <c r="BR16" s="9" t="inlineStr">
        <is>
          <t>Preserve QTY_CAP_PARTIAL reason in final register.</t>
        </is>
      </c>
      <c r="BS16" s="34" t="n">
        <v>46213</v>
      </c>
      <c r="BT16" s="9" t="inlineStr">
        <is>
          <t>Confirm only the quantity allowed by the remaining warranty allowance and explain the unapproved remainder.</t>
        </is>
      </c>
      <c r="BU16" s="33" t="inlineStr">
        <is>
          <t>Priya Nair, Warranty Correspondence Supervisor</t>
        </is>
      </c>
      <c r="BV16" s="9" t="inlineStr">
        <is>
          <t>CaseBridge response packet and disposition register</t>
        </is>
      </c>
      <c r="BW16" s="9" t="inlineStr">
        <is>
          <t>Mailbox_Intake:MRQ-2026-0710-012/NHG-MRQ-2026-07-012 → Requested_Items:RL-012 via Case_ID → Accounts:CUST-1011/ACCT-7711 via Customer_ID/Account_ID → Warranty_Entitlements:W-5511 via Warranty_ID → Catalog:WH-SHELF-310→WH-SHELF-310 → Exception_Handoff:QTY_CAP_PARTIAL via Case_ID → Rules:QTY_CAP_PARTIAL→PARTIAL_STANDARD_ORDER_PREPARED→R_PARTIAL_STANDARD → Case_History:Response packet entry dated 2026-07-10</t>
        </is>
      </c>
    </row>
    <row r="17" ht="62" customHeight="1">
      <c r="A17" s="33" t="inlineStr">
        <is>
          <t>MRQ-2026-0710-013</t>
        </is>
      </c>
      <c r="B17" s="33" t="inlineStr">
        <is>
          <t>NHG-MRQ-2026-07-013</t>
        </is>
      </c>
      <c r="C17" s="34" t="n">
        <v>46211</v>
      </c>
      <c r="D17" s="34" t="n">
        <v>46231</v>
      </c>
      <c r="E17" s="33" t="inlineStr">
        <is>
          <t>ALOPEZ</t>
        </is>
      </c>
      <c r="F17" s="33" t="inlineStr">
        <is>
          <t>SPECIAL_FEASIBILITY</t>
        </is>
      </c>
      <c r="G17" s="33" t="inlineStr">
        <is>
          <t>SPECIAL_ROUTE_PREPARED</t>
        </is>
      </c>
      <c r="H17" s="33" t="inlineStr">
        <is>
          <t>R_SPECIAL_ACK</t>
        </is>
      </c>
      <c r="I17" s="33" t="inlineStr">
        <is>
          <t>Routed feasibility request</t>
        </is>
      </c>
      <c r="J17" s="9" t="inlineStr">
        <is>
          <t>COMPLETE — dated response packet recorded</t>
        </is>
      </c>
      <c r="K17" s="9" t="inlineStr">
        <is>
          <t>REFERRAL PREPARED — feasibility decision pending</t>
        </is>
      </c>
      <c r="L17" s="9" t="inlineStr">
        <is>
          <t>RECORDED — R_SPECIAL_ACK — MRQ-2026-0710-013 / NHG-MRQ-2026-07-013</t>
        </is>
      </c>
      <c r="M17" s="34" t="n">
        <v>46213</v>
      </c>
      <c r="N17" s="33" t="inlineStr">
        <is>
          <t>ON TIME</t>
        </is>
      </c>
      <c r="O17" s="9" t="inlineStr">
        <is>
          <t>SPECIAL_ROUTE_PREPARED: referral sent to Service Engineering Intake; feasibility remains undecided and no standard order row is permitted.</t>
        </is>
      </c>
      <c r="P17" s="33" t="n">
        <v>0</v>
      </c>
      <c r="Q17" s="33" t="inlineStr">
        <is>
          <t>N</t>
        </is>
      </c>
      <c r="R17" s="33" t="inlineStr">
        <is>
          <t>Service Engineering Intake</t>
        </is>
      </c>
      <c r="S17" s="9" t="inlineStr">
        <is>
          <t>Service Engineering Intake holds the adapter-kit referral until the 2026-07-15 blackout lifts, then performs feasibility review (7-business-day route SLA). ALOPEZ remains the frontline correspondence owner and must not describe the referral as approval.</t>
        </is>
      </c>
      <c r="T17" s="9" t="inlineStr">
        <is>
          <t>Response packet entry dated 2026-07-10</t>
        </is>
      </c>
      <c r="U17" s="33" t="inlineStr">
        <is>
          <t>Low</t>
        </is>
      </c>
      <c r="V17" s="33" t="inlineStr">
        <is>
          <t>MSG-7013</t>
        </is>
      </c>
      <c r="W17" s="33" t="inlineStr">
        <is>
          <t>email</t>
        </is>
      </c>
      <c r="X17" s="9" t="inlineStr">
        <is>
          <t>Adapter kit feasibility</t>
        </is>
      </c>
      <c r="Y17" s="9" t="inlineStr">
        <is>
          <t>Customer requests two adapter kits for noncatalog mount under warranty reference W-5512.</t>
        </is>
      </c>
      <c r="Z17" s="33" t="inlineStr">
        <is>
          <t>RL-013</t>
        </is>
      </c>
      <c r="AA17" s="9" t="inlineStr">
        <is>
          <t>two adapter kits for noncatalog mount</t>
        </is>
      </c>
      <c r="AB17" s="33" t="inlineStr">
        <is>
          <t>SP-ADAPT-KIT</t>
        </is>
      </c>
      <c r="AC17" s="33" t="n">
        <v>2</v>
      </c>
      <c r="AD17" s="33" t="inlineStr">
        <is>
          <t>Received</t>
        </is>
      </c>
      <c r="AE17" s="33" t="inlineStr">
        <is>
          <t>Y</t>
        </is>
      </c>
      <c r="AF17" s="33" t="n"/>
      <c r="AG17" s="33" t="inlineStr">
        <is>
          <t>N</t>
        </is>
      </c>
      <c r="AH17" s="33" t="inlineStr">
        <is>
          <t>CUST-1012</t>
        </is>
      </c>
      <c r="AI17" s="33" t="inlineStr">
        <is>
          <t>ACCT-7712</t>
        </is>
      </c>
      <c r="AJ17" s="33" t="inlineStr">
        <is>
          <t>Linden Place HOA</t>
        </is>
      </c>
      <c r="AK17" s="33" t="inlineStr">
        <is>
          <t>Active</t>
        </is>
      </c>
      <c r="AL17" s="33" t="inlineStr">
        <is>
          <t>Dana Russo</t>
        </is>
      </c>
      <c r="AM17" s="33" t="inlineStr">
        <is>
          <t>dana.russo@example.invalid</t>
        </is>
      </c>
      <c r="AN17" s="33" t="inlineStr">
        <is>
          <t>email</t>
        </is>
      </c>
      <c r="AO17" s="33" t="inlineStr">
        <is>
          <t>English</t>
        </is>
      </c>
      <c r="AP17" s="33" t="inlineStr">
        <is>
          <t>W-5512</t>
        </is>
      </c>
      <c r="AQ17" s="33" t="inlineStr">
        <is>
          <t>Active</t>
        </is>
      </c>
      <c r="AR17" s="34" t="n">
        <v>46438</v>
      </c>
      <c r="AS17" s="33" t="inlineStr">
        <is>
          <t>Adapter Kits</t>
        </is>
      </c>
      <c r="AT17" s="33" t="n">
        <v>2</v>
      </c>
      <c r="AU17" s="33" t="inlineStr">
        <is>
          <t>SP-ADAPT-KIT</t>
        </is>
      </c>
      <c r="AV17" s="33" t="inlineStr">
        <is>
          <t>Adapter Kits</t>
        </is>
      </c>
      <c r="AW17" s="33" t="n"/>
      <c r="AX17" s="33" t="n"/>
      <c r="AY17" s="34" t="n"/>
      <c r="AZ17" s="35" t="n">
        <v>0</v>
      </c>
      <c r="BA17" s="35" t="n">
        <v>0</v>
      </c>
      <c r="BB17" s="35" t="n"/>
      <c r="BC17" s="33" t="inlineStr">
        <is>
          <t>USD</t>
        </is>
      </c>
      <c r="BD17" s="33" t="inlineStr">
        <is>
          <t>SHIP-1012</t>
        </is>
      </c>
      <c r="BE17" s="9" t="inlineStr">
        <is>
          <t>112 Northstar Service Rd, Portland, OR 97212, US</t>
        </is>
      </c>
      <c r="BF17" s="33" t="inlineStr">
        <is>
          <t>Validated</t>
        </is>
      </c>
      <c r="BG17" s="33" t="inlineStr">
        <is>
          <t>Serviceable</t>
        </is>
      </c>
      <c r="BH17" s="33" t="inlineStr">
        <is>
          <t>CLEAR</t>
        </is>
      </c>
      <c r="BI17" s="33" t="inlineStr">
        <is>
          <t>Limited</t>
        </is>
      </c>
      <c r="BJ17" s="9" t="inlineStr">
        <is>
          <t>We referred the adapter kit request to Service Engineering Intake for feasibility review.</t>
        </is>
      </c>
      <c r="BK17" s="33" t="inlineStr">
        <is>
          <t>RTE-ENG-ADAPT</t>
        </is>
      </c>
      <c r="BL17" s="33" t="inlineStr">
        <is>
          <t>Service Engineering Intake</t>
        </is>
      </c>
      <c r="BM17" s="33" t="inlineStr">
        <is>
          <t>service-engineering@example.invalid</t>
        </is>
      </c>
      <c r="BN17" s="33" t="n">
        <v>7</v>
      </c>
      <c r="BO17" s="33" t="n">
        <v>2</v>
      </c>
      <c r="BP17" s="33" t="inlineStr">
        <is>
          <t>0-2 days</t>
        </is>
      </c>
      <c r="BQ17" s="9" t="inlineStr">
        <is>
          <t>ROUTED — held for 2026-07-15 blackout, then feasibility review</t>
        </is>
      </c>
      <c r="BR17" s="9" t="inlineStr">
        <is>
          <t>Preserve SPECIAL_FEASIBILITY reason in final register.</t>
        </is>
      </c>
      <c r="BS17" s="34" t="n">
        <v>46213</v>
      </c>
      <c r="BT17" s="9" t="inlineStr">
        <is>
          <t>Acknowledge referral to the owner queue and state that feasibility has not been decided by the correspondence clerk.</t>
        </is>
      </c>
      <c r="BU17" s="33" t="inlineStr">
        <is>
          <t>Priya Nair, Warranty Correspondence Supervisor</t>
        </is>
      </c>
      <c r="BV17" s="9" t="inlineStr">
        <is>
          <t>CaseBridge response packet and disposition register</t>
        </is>
      </c>
      <c r="BW17" s="9" t="inlineStr">
        <is>
          <t>Mailbox_Intake:MRQ-2026-0710-013/NHG-MRQ-2026-07-013 → Requested_Items:RL-013 via Case_ID → Accounts:CUST-1012/ACCT-7712 via Customer_ID/Account_ID → Warranty_Entitlements:W-5512 via Warranty_ID → Catalog:SP-ADAPT-KIT→SP-ADAPT-KIT → Exception_Handoff:SPECIAL_FEASIBILITY via Case_ID → Rules:SPECIAL_FEASIBILITY→SPECIAL_ROUTE_PREPARED→R_SPECIAL_ACK → Case_History:Response packet entry dated 2026-07-10</t>
        </is>
      </c>
    </row>
    <row r="18" ht="62" customHeight="1">
      <c r="A18" s="33" t="inlineStr">
        <is>
          <t>MRQ-2026-0710-014</t>
        </is>
      </c>
      <c r="B18" s="33" t="inlineStr">
        <is>
          <t>NHG-MRQ-2026-07-014</t>
        </is>
      </c>
      <c r="C18" s="34" t="n">
        <v>46211</v>
      </c>
      <c r="D18" s="34" t="n">
        <v>46223</v>
      </c>
      <c r="E18" s="33" t="inlineStr">
        <is>
          <t>MCHEN</t>
        </is>
      </c>
      <c r="F18" s="33" t="inlineStr">
        <is>
          <t>UNCLEAR_PRODUCT</t>
        </is>
      </c>
      <c r="G18" s="33" t="inlineStr">
        <is>
          <t>HELD_PRODUCT_CLARIFICATION_REQUIRED</t>
        </is>
      </c>
      <c r="H18" s="33" t="inlineStr">
        <is>
          <t>R_CLARIFICATION</t>
        </is>
      </c>
      <c r="I18" s="33" t="inlineStr">
        <is>
          <t>Held with customer or account action</t>
        </is>
      </c>
      <c r="J18" s="9" t="inlineStr">
        <is>
          <t>COMPLETE — dated response packet recorded</t>
        </is>
      </c>
      <c r="K18" s="9" t="inlineStr">
        <is>
          <t>HELD — prerequisite pending; no order request</t>
        </is>
      </c>
      <c r="L18" s="9" t="inlineStr">
        <is>
          <t>RECORDED — R_CLARIFICATION — MRQ-2026-0710-014 / NHG-MRQ-2026-07-014</t>
        </is>
      </c>
      <c r="M18" s="34" t="n">
        <v>46213</v>
      </c>
      <c r="N18" s="33" t="inlineStr">
        <is>
          <t>ON TIME</t>
        </is>
      </c>
      <c r="O18" s="9" t="inlineStr">
        <is>
          <t>HELD_PRODUCT_CLARIFICATION_REQUIRED: case remains held because the requested product is unresolved.</t>
        </is>
      </c>
      <c r="P18" s="33" t="n">
        <v>0</v>
      </c>
      <c r="Q18" s="33" t="inlineStr">
        <is>
          <t>N</t>
        </is>
      </c>
      <c r="R18" s="33" t="inlineStr">
        <is>
          <t>Customer → MCHEN after identification</t>
        </is>
      </c>
      <c r="S18" s="9" t="inlineStr">
        <is>
          <t>Customer provides model, part location, dimensions, and/or a clear photo. MCHEN identifies the product, rejoins catalog and entitlement evidence, and reapplies the controlled disposition rules.</t>
        </is>
      </c>
      <c r="T18" s="9" t="inlineStr">
        <is>
          <t>Response packet entry dated 2026-07-10</t>
        </is>
      </c>
      <c r="U18" s="33" t="inlineStr">
        <is>
          <t>Low</t>
        </is>
      </c>
      <c r="V18" s="33" t="inlineStr">
        <is>
          <t>MSG-7014</t>
        </is>
      </c>
      <c r="W18" s="33" t="inlineStr">
        <is>
          <t>email</t>
        </is>
      </c>
      <c r="X18" s="9" t="inlineStr">
        <is>
          <t>Not sure which clip broke</t>
        </is>
      </c>
      <c r="Y18" s="9" t="inlineStr">
        <is>
          <t>Customer requests small gray clip from lower drawer under warranty reference W-5513.</t>
        </is>
      </c>
      <c r="Z18" s="33" t="inlineStr">
        <is>
          <t>RL-014</t>
        </is>
      </c>
      <c r="AA18" s="9" t="inlineStr">
        <is>
          <t>small gray clip from lower drawer</t>
        </is>
      </c>
      <c r="AB18" s="33" t="n"/>
      <c r="AC18" s="33" t="n">
        <v>1</v>
      </c>
      <c r="AD18" s="33" t="inlineStr">
        <is>
          <t>Received</t>
        </is>
      </c>
      <c r="AE18" s="33" t="inlineStr">
        <is>
          <t>Y</t>
        </is>
      </c>
      <c r="AF18" s="33" t="n"/>
      <c r="AG18" s="33" t="inlineStr">
        <is>
          <t>Y</t>
        </is>
      </c>
      <c r="AH18" s="33" t="inlineStr">
        <is>
          <t>CUST-1013</t>
        </is>
      </c>
      <c r="AI18" s="33" t="inlineStr">
        <is>
          <t>ACCT-7713</t>
        </is>
      </c>
      <c r="AJ18" s="33" t="inlineStr">
        <is>
          <t>Ridgeview Unit 12</t>
        </is>
      </c>
      <c r="AK18" s="33" t="inlineStr">
        <is>
          <t>Active</t>
        </is>
      </c>
      <c r="AL18" s="33" t="inlineStr">
        <is>
          <t>Ellis Quinn</t>
        </is>
      </c>
      <c r="AM18" s="33" t="inlineStr">
        <is>
          <t>ellis.quinn@example.invalid</t>
        </is>
      </c>
      <c r="AN18" s="33" t="inlineStr">
        <is>
          <t>email</t>
        </is>
      </c>
      <c r="AO18" s="33" t="inlineStr">
        <is>
          <t>English</t>
        </is>
      </c>
      <c r="AP18" s="33" t="inlineStr">
        <is>
          <t>W-5513</t>
        </is>
      </c>
      <c r="AQ18" s="33" t="inlineStr">
        <is>
          <t>Active</t>
        </is>
      </c>
      <c r="AR18" s="34" t="n">
        <v>46583</v>
      </c>
      <c r="AS18" s="33" t="inlineStr">
        <is>
          <t>General Hardware</t>
        </is>
      </c>
      <c r="AT18" s="33" t="n">
        <v>2</v>
      </c>
      <c r="AU18" s="33" t="n"/>
      <c r="AV18" s="33" t="n"/>
      <c r="AW18" s="33" t="n"/>
      <c r="AX18" s="33" t="n"/>
      <c r="AY18" s="34" t="n"/>
      <c r="AZ18" s="35" t="n"/>
      <c r="BA18" s="35" t="n"/>
      <c r="BB18" s="35" t="n"/>
      <c r="BC18" s="33" t="n"/>
      <c r="BD18" s="33" t="inlineStr">
        <is>
          <t>SHIP-1013</t>
        </is>
      </c>
      <c r="BE18" s="9" t="inlineStr">
        <is>
          <t>113 Northstar Service Rd, Portland, OR 97213, US</t>
        </is>
      </c>
      <c r="BF18" s="33" t="inlineStr">
        <is>
          <t>Validated</t>
        </is>
      </c>
      <c r="BG18" s="33" t="inlineStr">
        <is>
          <t>Serviceable</t>
        </is>
      </c>
      <c r="BH18" s="33" t="inlineStr">
        <is>
          <t>CLEAR</t>
        </is>
      </c>
      <c r="BI18" s="33" t="n"/>
      <c r="BJ18" s="9" t="n"/>
      <c r="BK18" s="33" t="n"/>
      <c r="BL18" s="33" t="n"/>
      <c r="BM18" s="33" t="n"/>
      <c r="BN18" s="33" t="n"/>
      <c r="BO18" s="33" t="n">
        <v>2</v>
      </c>
      <c r="BP18" s="33" t="inlineStr">
        <is>
          <t>0-2 days</t>
        </is>
      </c>
      <c r="BQ18" s="9" t="inlineStr">
        <is>
          <t>HELD — product identification pending</t>
        </is>
      </c>
      <c r="BR18" s="9" t="inlineStr">
        <is>
          <t>Preserve UNCLEAR_PRODUCT reason in final register.</t>
        </is>
      </c>
      <c r="BS18" s="34" t="n">
        <v>46213</v>
      </c>
      <c r="BT18" s="9" t="inlineStr">
        <is>
          <t>Ask for product identification details and preserve the source correspondence reference.</t>
        </is>
      </c>
      <c r="BU18" s="33" t="inlineStr">
        <is>
          <t>Priya Nair, Warranty Correspondence Supervisor</t>
        </is>
      </c>
      <c r="BV18" s="9" t="inlineStr">
        <is>
          <t>CaseBridge response packet and disposition register</t>
        </is>
      </c>
      <c r="BW18" s="9" t="inlineStr">
        <is>
          <t>Mailbox_Intake:MRQ-2026-0710-014/NHG-MRQ-2026-07-014 → Requested_Items:RL-014 via Case_ID → Accounts:CUST-1013/ACCT-7713 via Customer_ID/Account_ID → Warranty_Entitlements:W-5513 via Warranty_ID → Catalog:N/A (product unresolved) → Exception_Handoff:UNCLEAR_PRODUCT via Case_ID → Rules:UNCLEAR_PRODUCT→HELD_PRODUCT_CLARIFICATION_REQUIRED→R_CLARIFICATION → Case_History:Response packet entry dated 2026-07-10</t>
        </is>
      </c>
    </row>
    <row r="19" ht="62" customHeight="1">
      <c r="A19" s="33" t="inlineStr">
        <is>
          <t>MRQ-2026-0710-015</t>
        </is>
      </c>
      <c r="B19" s="33" t="inlineStr">
        <is>
          <t>NHG-MRQ-2026-07-015</t>
        </is>
      </c>
      <c r="C19" s="34" t="n">
        <v>46212</v>
      </c>
      <c r="D19" s="34" t="n">
        <v>46229</v>
      </c>
      <c r="E19" s="33" t="inlineStr">
        <is>
          <t>RPATEL</t>
        </is>
      </c>
      <c r="F19" s="33" t="inlineStr">
        <is>
          <t>NONE</t>
        </is>
      </c>
      <c r="G19" s="33" t="inlineStr">
        <is>
          <t>STANDARD_ORDER_PREPARED</t>
        </is>
      </c>
      <c r="H19" s="33" t="inlineStr">
        <is>
          <t>R_STANDARD_ORDER</t>
        </is>
      </c>
      <c r="I19" s="33" t="inlineStr">
        <is>
          <t>Order request prepared</t>
        </is>
      </c>
      <c r="J19" s="9" t="inlineStr">
        <is>
          <t>COMPLETE — dated response packet recorded</t>
        </is>
      </c>
      <c r="K19" s="9" t="inlineStr">
        <is>
          <t>ORDER REQUEST PREPARED — not uploaded or shipped</t>
        </is>
      </c>
      <c r="L19" s="9" t="inlineStr">
        <is>
          <t>RECORDED — R_STANDARD_ORDER — MRQ-2026-0710-015 / NHG-MRQ-2026-07-015</t>
        </is>
      </c>
      <c r="M19" s="34" t="n">
        <v>46213</v>
      </c>
      <c r="N19" s="33" t="inlineStr">
        <is>
          <t>ON TIME</t>
        </is>
      </c>
      <c r="O19" s="9" t="inlineStr">
        <is>
          <t>Standard warranty order request prepared for 1 × WH-GASK-410; not evidence of shipment or upload.</t>
        </is>
      </c>
      <c r="P19" s="33" t="n">
        <v>1</v>
      </c>
      <c r="Q19" s="33" t="inlineStr">
        <is>
          <t>Y</t>
        </is>
      </c>
      <c r="R19" s="33" t="inlineStr">
        <is>
          <t>Fulfillment import coordinator</t>
        </is>
      </c>
      <c r="S19" s="9" t="inlineStr">
        <is>
          <t>Use R_STANDARD_ORDER; hand prepared request to fulfillment import coordinator.</t>
        </is>
      </c>
      <c r="T19" s="9" t="inlineStr">
        <is>
          <t>Response packet entry dated 2026-07-10</t>
        </is>
      </c>
      <c r="U19" s="33" t="inlineStr">
        <is>
          <t>Low</t>
        </is>
      </c>
      <c r="V19" s="33" t="inlineStr">
        <is>
          <t>MSG-7015</t>
        </is>
      </c>
      <c r="W19" s="33" t="inlineStr">
        <is>
          <t>email</t>
        </is>
      </c>
      <c r="X19" s="9" t="inlineStr">
        <is>
          <t>Hotel dryer gasket</t>
        </is>
      </c>
      <c r="Y19" s="9" t="inlineStr">
        <is>
          <t>Customer requests one dryer gasket under warranty reference W-5514.</t>
        </is>
      </c>
      <c r="Z19" s="33" t="inlineStr">
        <is>
          <t>RL-015</t>
        </is>
      </c>
      <c r="AA19" s="9" t="inlineStr">
        <is>
          <t>one dryer gasket</t>
        </is>
      </c>
      <c r="AB19" s="33" t="inlineStr">
        <is>
          <t>WH-GASK-410</t>
        </is>
      </c>
      <c r="AC19" s="33" t="n">
        <v>1</v>
      </c>
      <c r="AD19" s="33" t="inlineStr">
        <is>
          <t>Received</t>
        </is>
      </c>
      <c r="AE19" s="33" t="inlineStr">
        <is>
          <t>Y</t>
        </is>
      </c>
      <c r="AF19" s="33" t="n"/>
      <c r="AG19" s="33" t="inlineStr">
        <is>
          <t>N</t>
        </is>
      </c>
      <c r="AH19" s="33" t="inlineStr">
        <is>
          <t>CUST-1014</t>
        </is>
      </c>
      <c r="AI19" s="33" t="inlineStr">
        <is>
          <t>ACCT-7714</t>
        </is>
      </c>
      <c r="AJ19" s="33" t="inlineStr">
        <is>
          <t>Parkside Hotel</t>
        </is>
      </c>
      <c r="AK19" s="33" t="inlineStr">
        <is>
          <t>Active</t>
        </is>
      </c>
      <c r="AL19" s="33" t="inlineStr">
        <is>
          <t>Mei Lin</t>
        </is>
      </c>
      <c r="AM19" s="33" t="inlineStr">
        <is>
          <t>mei.lin@example.invalid</t>
        </is>
      </c>
      <c r="AN19" s="33" t="inlineStr">
        <is>
          <t>email</t>
        </is>
      </c>
      <c r="AO19" s="33" t="inlineStr">
        <is>
          <t>English</t>
        </is>
      </c>
      <c r="AP19" s="33" t="inlineStr">
        <is>
          <t>W-5514</t>
        </is>
      </c>
      <c r="AQ19" s="33" t="inlineStr">
        <is>
          <t>Active</t>
        </is>
      </c>
      <c r="AR19" s="34" t="n">
        <v>46397</v>
      </c>
      <c r="AS19" s="33" t="inlineStr">
        <is>
          <t>Laundry Hardware</t>
        </is>
      </c>
      <c r="AT19" s="33" t="n">
        <v>3</v>
      </c>
      <c r="AU19" s="33" t="inlineStr">
        <is>
          <t>WH-GASK-410</t>
        </is>
      </c>
      <c r="AV19" s="33" t="inlineStr">
        <is>
          <t>Laundry Hardware</t>
        </is>
      </c>
      <c r="AW19" s="33" t="inlineStr">
        <is>
          <t>AVAILABLE</t>
        </is>
      </c>
      <c r="AX19" s="33" t="n">
        <v>7</v>
      </c>
      <c r="AY19" s="34" t="n"/>
      <c r="AZ19" s="35" t="n">
        <v>18.25</v>
      </c>
      <c r="BA19" s="35" t="n">
        <v>0</v>
      </c>
      <c r="BB19" s="35" t="n">
        <v>18.25</v>
      </c>
      <c r="BC19" s="33" t="inlineStr">
        <is>
          <t>USD</t>
        </is>
      </c>
      <c r="BD19" s="33" t="inlineStr">
        <is>
          <t>SHIP-1014</t>
        </is>
      </c>
      <c r="BE19" s="9" t="inlineStr">
        <is>
          <t>114 Northstar Service Rd, Portland, OR 97214, US</t>
        </is>
      </c>
      <c r="BF19" s="33" t="inlineStr">
        <is>
          <t>Validated</t>
        </is>
      </c>
      <c r="BG19" s="33" t="inlineStr">
        <is>
          <t>Serviceable</t>
        </is>
      </c>
      <c r="BH19" s="33" t="inlineStr">
        <is>
          <t>CLEAR</t>
        </is>
      </c>
      <c r="BI19" s="33" t="n"/>
      <c r="BJ19" s="9" t="n"/>
      <c r="BK19" s="33" t="n"/>
      <c r="BL19" s="33" t="n"/>
      <c r="BM19" s="33" t="n"/>
      <c r="BN19" s="33" t="n"/>
      <c r="BO19" s="33" t="n">
        <v>0</v>
      </c>
      <c r="BP19" s="33" t="inlineStr">
        <is>
          <t>N/A — no exception</t>
        </is>
      </c>
      <c r="BQ19" s="9" t="inlineStr">
        <is>
          <t>N/A — standard prepared order</t>
        </is>
      </c>
      <c r="BR19" s="9" t="inlineStr">
        <is>
          <t>No exception owner note required.</t>
        </is>
      </c>
      <c r="BS19" s="34" t="n"/>
      <c r="BT19" s="9" t="inlineStr">
        <is>
          <t>Confirm resolved SKU, approved quantity, no-charge warranty handling, ship-to destination, and order request reference.</t>
        </is>
      </c>
      <c r="BU19" s="33" t="inlineStr">
        <is>
          <t>Priya Nair, Warranty Correspondence Supervisor</t>
        </is>
      </c>
      <c r="BV19" s="9" t="inlineStr">
        <is>
          <t>CaseBridge response packet and disposition register</t>
        </is>
      </c>
      <c r="BW19" s="9" t="inlineStr">
        <is>
          <t>Mailbox_Intake:MRQ-2026-0710-015/NHG-MRQ-2026-07-015 → Requested_Items:RL-015 via Case_ID → Accounts:CUST-1014/ACCT-7714 via Customer_ID/Account_ID → Warranty_Entitlements:W-5514 via Warranty_ID → Catalog:WH-GASK-410→WH-GASK-410 → No Exception_Handoff row; controlled Exception_Code=NONE → Rules:NONE→STANDARD_ORDER_PREPARED→R_STANDARD_ORDER → Case_History:Response packet entry dated 2026-07-10</t>
        </is>
      </c>
    </row>
    <row r="20" ht="62" customHeight="1">
      <c r="A20" s="33" t="inlineStr">
        <is>
          <t>MRQ-2026-0710-016</t>
        </is>
      </c>
      <c r="B20" s="33" t="inlineStr">
        <is>
          <t>NHG-MRQ-2026-07-016</t>
        </is>
      </c>
      <c r="C20" s="34" t="n">
        <v>46212</v>
      </c>
      <c r="D20" s="34" t="n">
        <v>46222</v>
      </c>
      <c r="E20" s="33" t="inlineStr">
        <is>
          <t>JPARK</t>
        </is>
      </c>
      <c r="F20" s="33" t="inlineStr">
        <is>
          <t>FAMILY_NOT_COVERED</t>
        </is>
      </c>
      <c r="G20" s="33" t="inlineStr">
        <is>
          <t>INELIGIBLE_RESPONSE_SENT</t>
        </is>
      </c>
      <c r="H20" s="33" t="inlineStr">
        <is>
          <t>R_INELIGIBLE</t>
        </is>
      </c>
      <c r="I20" s="33" t="inlineStr">
        <is>
          <t>Closed response sent</t>
        </is>
      </c>
      <c r="J20" s="9" t="inlineStr">
        <is>
          <t>COMPLETE — dated response packet recorded</t>
        </is>
      </c>
      <c r="K20" s="9" t="inlineStr">
        <is>
          <t>NO ORDER REQUEST — ineligible response only</t>
        </is>
      </c>
      <c r="L20" s="9" t="inlineStr">
        <is>
          <t>RECORDED — R_INELIGIBLE — MRQ-2026-0710-016 / NHG-MRQ-2026-07-016</t>
        </is>
      </c>
      <c r="M20" s="34" t="n">
        <v>46213</v>
      </c>
      <c r="N20" s="33" t="inlineStr">
        <is>
          <t>ON TIME</t>
        </is>
      </c>
      <c r="O20" s="9" t="inlineStr">
        <is>
          <t>Ineligible: requested family Appliance Electrical is not covered by warranty family Cooking Hardware.</t>
        </is>
      </c>
      <c r="P20" s="33" t="n">
        <v>0</v>
      </c>
      <c r="Q20" s="33" t="inlineStr">
        <is>
          <t>N</t>
        </is>
      </c>
      <c r="R20" s="33" t="inlineStr">
        <is>
          <t>Customer</t>
        </is>
      </c>
      <c r="S20" s="9" t="inlineStr">
        <is>
          <t>Use R_INELIGIBLE; state the product-family mismatch.</t>
        </is>
      </c>
      <c r="T20" s="9" t="inlineStr">
        <is>
          <t>Response packet entry dated 2026-07-10</t>
        </is>
      </c>
      <c r="U20" s="33" t="inlineStr">
        <is>
          <t>Low</t>
        </is>
      </c>
      <c r="V20" s="33" t="inlineStr">
        <is>
          <t>MSG-7016</t>
        </is>
      </c>
      <c r="W20" s="33" t="inlineStr">
        <is>
          <t>email</t>
        </is>
      </c>
      <c r="X20" s="9" t="inlineStr">
        <is>
          <t>Motor request under knob warranty</t>
        </is>
      </c>
      <c r="Y20" s="9" t="inlineStr">
        <is>
          <t>Customer requests convection fan motor under warranty reference W-5515.</t>
        </is>
      </c>
      <c r="Z20" s="33" t="inlineStr">
        <is>
          <t>RL-016</t>
        </is>
      </c>
      <c r="AA20" s="9" t="inlineStr">
        <is>
          <t>convection fan motor</t>
        </is>
      </c>
      <c r="AB20" s="33" t="inlineStr">
        <is>
          <t>WH-MOTOR-660</t>
        </is>
      </c>
      <c r="AC20" s="33" t="n">
        <v>1</v>
      </c>
      <c r="AD20" s="33" t="inlineStr">
        <is>
          <t>Received</t>
        </is>
      </c>
      <c r="AE20" s="33" t="inlineStr">
        <is>
          <t>Y</t>
        </is>
      </c>
      <c r="AF20" s="33" t="n"/>
      <c r="AG20" s="33" t="inlineStr">
        <is>
          <t>N</t>
        </is>
      </c>
      <c r="AH20" s="33" t="inlineStr">
        <is>
          <t>CUST-1015</t>
        </is>
      </c>
      <c r="AI20" s="33" t="inlineStr">
        <is>
          <t>ACCT-7715</t>
        </is>
      </c>
      <c r="AJ20" s="33" t="inlineStr">
        <is>
          <t>Mason Row</t>
        </is>
      </c>
      <c r="AK20" s="33" t="inlineStr">
        <is>
          <t>Active</t>
        </is>
      </c>
      <c r="AL20" s="33" t="inlineStr">
        <is>
          <t>Hugo Marin</t>
        </is>
      </c>
      <c r="AM20" s="33" t="inlineStr">
        <is>
          <t>hugo.marin@example.invalid</t>
        </is>
      </c>
      <c r="AN20" s="33" t="inlineStr">
        <is>
          <t>email</t>
        </is>
      </c>
      <c r="AO20" s="33" t="inlineStr">
        <is>
          <t>English</t>
        </is>
      </c>
      <c r="AP20" s="33" t="inlineStr">
        <is>
          <t>W-5515</t>
        </is>
      </c>
      <c r="AQ20" s="33" t="inlineStr">
        <is>
          <t>Active</t>
        </is>
      </c>
      <c r="AR20" s="34" t="n">
        <v>46556</v>
      </c>
      <c r="AS20" s="33" t="inlineStr">
        <is>
          <t>Cooking Hardware</t>
        </is>
      </c>
      <c r="AT20" s="33" t="n">
        <v>1</v>
      </c>
      <c r="AU20" s="33" t="inlineStr">
        <is>
          <t>WH-MOTOR-660</t>
        </is>
      </c>
      <c r="AV20" s="33" t="inlineStr">
        <is>
          <t>Appliance Electrical</t>
        </is>
      </c>
      <c r="AW20" s="33" t="inlineStr">
        <is>
          <t>AVAILABLE</t>
        </is>
      </c>
      <c r="AX20" s="33" t="n">
        <v>4</v>
      </c>
      <c r="AY20" s="34" t="n"/>
      <c r="AZ20" s="35" t="n">
        <v>88</v>
      </c>
      <c r="BA20" s="35" t="n">
        <v>0</v>
      </c>
      <c r="BB20" s="35" t="n"/>
      <c r="BC20" s="33" t="inlineStr">
        <is>
          <t>USD</t>
        </is>
      </c>
      <c r="BD20" s="33" t="inlineStr">
        <is>
          <t>SHIP-1015</t>
        </is>
      </c>
      <c r="BE20" s="9" t="inlineStr">
        <is>
          <t>115 Northstar Service Rd, Portland, OR 97215, US</t>
        </is>
      </c>
      <c r="BF20" s="33" t="inlineStr">
        <is>
          <t>Validated</t>
        </is>
      </c>
      <c r="BG20" s="33" t="inlineStr">
        <is>
          <t>Serviceable</t>
        </is>
      </c>
      <c r="BH20" s="33" t="inlineStr">
        <is>
          <t>CLEAR</t>
        </is>
      </c>
      <c r="BI20" s="33" t="n"/>
      <c r="BJ20" s="9" t="n"/>
      <c r="BK20" s="33" t="n"/>
      <c r="BL20" s="33" t="n"/>
      <c r="BM20" s="33" t="n"/>
      <c r="BN20" s="33" t="n"/>
      <c r="BO20" s="33" t="n">
        <v>1</v>
      </c>
      <c r="BP20" s="33" t="inlineStr">
        <is>
          <t>0-2 days</t>
        </is>
      </c>
      <c r="BQ20" s="9" t="inlineStr">
        <is>
          <t>Open for final response or route</t>
        </is>
      </c>
      <c r="BR20" s="9" t="inlineStr">
        <is>
          <t>Preserve FAMILY_NOT_COVERED reason in final register.</t>
        </is>
      </c>
      <c r="BS20" s="34" t="n">
        <v>46213</v>
      </c>
      <c r="BT20" s="9" t="inlineStr">
        <is>
          <t>State the entitlement or product-family reason the request cannot be fulfilled.</t>
        </is>
      </c>
      <c r="BU20" s="33" t="inlineStr">
        <is>
          <t>Priya Nair, Warranty Correspondence Supervisor</t>
        </is>
      </c>
      <c r="BV20" s="9" t="inlineStr">
        <is>
          <t>CaseBridge response packet and disposition register</t>
        </is>
      </c>
      <c r="BW20" s="9" t="inlineStr">
        <is>
          <t>Mailbox_Intake:MRQ-2026-0710-016/NHG-MRQ-2026-07-016 → Requested_Items:RL-016 via Case_ID → Accounts:CUST-1015/ACCT-7715 via Customer_ID/Account_ID → Warranty_Entitlements:W-5515 via Warranty_ID → Catalog:WH-MOTOR-660→WH-MOTOR-660 → Exception_Handoff:FAMILY_NOT_COVERED via Case_ID → Rules:FAMILY_NOT_COVERED→INELIGIBLE_RESPONSE_SENT→R_INELIGIBLE → Case_History:Response packet entry dated 2026-07-10</t>
        </is>
      </c>
    </row>
    <row r="21" ht="62" customHeight="1">
      <c r="A21" s="33" t="inlineStr">
        <is>
          <t>MRQ-2026-0710-017</t>
        </is>
      </c>
      <c r="B21" s="33" t="inlineStr">
        <is>
          <t>NHG-MRQ-2026-07-017</t>
        </is>
      </c>
      <c r="C21" s="34" t="n">
        <v>46212</v>
      </c>
      <c r="D21" s="34" t="n">
        <v>46230</v>
      </c>
      <c r="E21" s="33" t="inlineStr">
        <is>
          <t>ALOPEZ</t>
        </is>
      </c>
      <c r="F21" s="33" t="inlineStr">
        <is>
          <t>BACKORDER</t>
        </is>
      </c>
      <c r="G21" s="33" t="inlineStr">
        <is>
          <t>AVAILABILITY_RESPONSE_SENT</t>
        </is>
      </c>
      <c r="H21" s="33" t="inlineStr">
        <is>
          <t>R_BACKORDER_NOTICE</t>
        </is>
      </c>
      <c r="I21" s="33" t="inlineStr">
        <is>
          <t>Closed response sent</t>
        </is>
      </c>
      <c r="J21" s="9" t="inlineStr">
        <is>
          <t>COMPLETE — dated response packet recorded</t>
        </is>
      </c>
      <c r="K21" s="9" t="inlineStr">
        <is>
          <t>NO ORDER REQUEST — backorder response only</t>
        </is>
      </c>
      <c r="L21" s="9" t="inlineStr">
        <is>
          <t>RECORDED — R_BACKORDER_NOTICE — MRQ-2026-0710-017 / NHG-MRQ-2026-07-017</t>
        </is>
      </c>
      <c r="M21" s="34" t="n">
        <v>46213</v>
      </c>
      <c r="N21" s="33" t="inlineStr">
        <is>
          <t>ON TIME</t>
        </is>
      </c>
      <c r="O21" s="9" t="inlineStr">
        <is>
          <t>No import row: WH-LEG-700 unavailable; catalog backorder date 2026-08-03.</t>
        </is>
      </c>
      <c r="P21" s="33" t="n">
        <v>0</v>
      </c>
      <c r="Q21" s="33" t="inlineStr">
        <is>
          <t>N</t>
        </is>
      </c>
      <c r="R21" s="33" t="inlineStr">
        <is>
          <t>Inventory planning → ALOPEZ for customer update</t>
        </is>
      </c>
      <c r="S21" s="9" t="inlineStr">
        <is>
          <t>Inventory planning monitors availability against the 2026-08-03 catalog backorder date. The named frontline owner provides any required customer update; no import row exists while unavailable.</t>
        </is>
      </c>
      <c r="T21" s="9" t="inlineStr">
        <is>
          <t>Response packet entry dated 2026-07-10</t>
        </is>
      </c>
      <c r="U21" s="33" t="inlineStr">
        <is>
          <t>Low</t>
        </is>
      </c>
      <c r="V21" s="33" t="inlineStr">
        <is>
          <t>MSG-7017</t>
        </is>
      </c>
      <c r="W21" s="33" t="inlineStr">
        <is>
          <t>web form</t>
        </is>
      </c>
      <c r="X21" s="9" t="inlineStr">
        <is>
          <t>Two leveling kits</t>
        </is>
      </c>
      <c r="Y21" s="9" t="inlineStr">
        <is>
          <t>Customer requests two leveling leg kits under warranty reference W-5516.</t>
        </is>
      </c>
      <c r="Z21" s="33" t="inlineStr">
        <is>
          <t>RL-017</t>
        </is>
      </c>
      <c r="AA21" s="9" t="inlineStr">
        <is>
          <t>two leveling leg kits</t>
        </is>
      </c>
      <c r="AB21" s="33" t="inlineStr">
        <is>
          <t>WH-LEG-700</t>
        </is>
      </c>
      <c r="AC21" s="33" t="n">
        <v>2</v>
      </c>
      <c r="AD21" s="33" t="inlineStr">
        <is>
          <t>Received</t>
        </is>
      </c>
      <c r="AE21" s="33" t="inlineStr">
        <is>
          <t>Y</t>
        </is>
      </c>
      <c r="AF21" s="33" t="n"/>
      <c r="AG21" s="33" t="inlineStr">
        <is>
          <t>N</t>
        </is>
      </c>
      <c r="AH21" s="33" t="inlineStr">
        <is>
          <t>CUST-1016</t>
        </is>
      </c>
      <c r="AI21" s="33" t="inlineStr">
        <is>
          <t>ACCT-7716</t>
        </is>
      </c>
      <c r="AJ21" s="33" t="inlineStr">
        <is>
          <t>Pineview Lodge</t>
        </is>
      </c>
      <c r="AK21" s="33" t="inlineStr">
        <is>
          <t>Active</t>
        </is>
      </c>
      <c r="AL21" s="33" t="inlineStr">
        <is>
          <t>Ruth Allen</t>
        </is>
      </c>
      <c r="AM21" s="33" t="inlineStr">
        <is>
          <t>ruth.allen@example.invalid</t>
        </is>
      </c>
      <c r="AN21" s="33" t="inlineStr">
        <is>
          <t>email</t>
        </is>
      </c>
      <c r="AO21" s="33" t="inlineStr">
        <is>
          <t>English</t>
        </is>
      </c>
      <c r="AP21" s="33" t="inlineStr">
        <is>
          <t>W-5516</t>
        </is>
      </c>
      <c r="AQ21" s="33" t="inlineStr">
        <is>
          <t>Active</t>
        </is>
      </c>
      <c r="AR21" s="34" t="n">
        <v>46632</v>
      </c>
      <c r="AS21" s="33" t="inlineStr">
        <is>
          <t>Utility Hardware</t>
        </is>
      </c>
      <c r="AT21" s="33" t="n">
        <v>2</v>
      </c>
      <c r="AU21" s="33" t="inlineStr">
        <is>
          <t>WH-LEG-700</t>
        </is>
      </c>
      <c r="AV21" s="33" t="inlineStr">
        <is>
          <t>Utility Hardware</t>
        </is>
      </c>
      <c r="AW21" s="33" t="inlineStr">
        <is>
          <t>BACKORDER</t>
        </is>
      </c>
      <c r="AX21" s="33" t="n">
        <v>0</v>
      </c>
      <c r="AY21" s="34" t="n">
        <v>46237</v>
      </c>
      <c r="AZ21" s="35" t="n">
        <v>11</v>
      </c>
      <c r="BA21" s="35" t="n">
        <v>0</v>
      </c>
      <c r="BB21" s="35" t="n"/>
      <c r="BC21" s="33" t="inlineStr">
        <is>
          <t>USD</t>
        </is>
      </c>
      <c r="BD21" s="33" t="inlineStr">
        <is>
          <t>SHIP-1016</t>
        </is>
      </c>
      <c r="BE21" s="9" t="inlineStr">
        <is>
          <t>116 Northstar Service Rd, Portland, OR 97216, US</t>
        </is>
      </c>
      <c r="BF21" s="33" t="inlineStr">
        <is>
          <t>Validated</t>
        </is>
      </c>
      <c r="BG21" s="33" t="inlineStr">
        <is>
          <t>Serviceable</t>
        </is>
      </c>
      <c r="BH21" s="33" t="inlineStr">
        <is>
          <t>CLEAR</t>
        </is>
      </c>
      <c r="BI21" s="33" t="n"/>
      <c r="BJ21" s="9" t="n"/>
      <c r="BK21" s="33" t="n"/>
      <c r="BL21" s="33" t="n"/>
      <c r="BM21" s="33" t="n"/>
      <c r="BN21" s="33" t="n"/>
      <c r="BO21" s="33" t="n">
        <v>1</v>
      </c>
      <c r="BP21" s="33" t="inlineStr">
        <is>
          <t>0-2 days</t>
        </is>
      </c>
      <c r="BQ21" s="9" t="inlineStr">
        <is>
          <t>OPEN — inventory availability follow-up</t>
        </is>
      </c>
      <c r="BR21" s="9" t="inlineStr">
        <is>
          <t>Preserve BACKORDER reason in final register.</t>
        </is>
      </c>
      <c r="BS21" s="34" t="n">
        <v>46213</v>
      </c>
      <c r="BT21" s="9" t="inlineStr">
        <is>
          <t>State current unavailability and the catalog backorder date; do not create an import row.</t>
        </is>
      </c>
      <c r="BU21" s="33" t="inlineStr">
        <is>
          <t>Priya Nair, Warranty Correspondence Supervisor</t>
        </is>
      </c>
      <c r="BV21" s="9" t="inlineStr">
        <is>
          <t>CaseBridge response packet and disposition register</t>
        </is>
      </c>
      <c r="BW21" s="9" t="inlineStr">
        <is>
          <t>Mailbox_Intake:MRQ-2026-0710-017/NHG-MRQ-2026-07-017 → Requested_Items:RL-017 via Case_ID → Accounts:CUST-1016/ACCT-7716 via Customer_ID/Account_ID → Warranty_Entitlements:W-5516 via Warranty_ID → Catalog:WH-LEG-700→WH-LEG-700 → Exception_Handoff:BACKORDER via Case_ID → Rules:BACKORDER→AVAILABILITY_RESPONSE_SENT→R_BACKORDER_NOTICE → Case_History:Response packet entry dated 2026-07-10</t>
        </is>
      </c>
    </row>
    <row r="22" ht="62" customHeight="1">
      <c r="A22" s="33" t="inlineStr">
        <is>
          <t>MRQ-2026-0710-018</t>
        </is>
      </c>
      <c r="B22" s="33" t="inlineStr">
        <is>
          <t>NHG-MRQ-2026-07-018</t>
        </is>
      </c>
      <c r="C22" s="34" t="n">
        <v>46213</v>
      </c>
      <c r="D22" s="34" t="n">
        <v>46234</v>
      </c>
      <c r="E22" s="33" t="inlineStr">
        <is>
          <t>MCHEN</t>
        </is>
      </c>
      <c r="F22" s="33" t="inlineStr">
        <is>
          <t>SPECIAL_NONSTARTER</t>
        </is>
      </c>
      <c r="G22" s="33" t="inlineStr">
        <is>
          <t>SPECIAL_UNAVAILABLE_RESPONSE_SENT</t>
        </is>
      </c>
      <c r="H22" s="33" t="inlineStr">
        <is>
          <t>R_SPECIAL_UNAVAILABLE</t>
        </is>
      </c>
      <c r="I22" s="33" t="inlineStr">
        <is>
          <t>Closed response sent</t>
        </is>
      </c>
      <c r="J22" s="9" t="inlineStr">
        <is>
          <t>COMPLETE — dated response packet recorded</t>
        </is>
      </c>
      <c r="K22" s="9" t="inlineStr">
        <is>
          <t>NO REFERRAL — special-product category blocked</t>
        </is>
      </c>
      <c r="L22" s="9" t="inlineStr">
        <is>
          <t>RECORDED — R_SPECIAL_UNAVAILABLE — MRQ-2026-0710-018 / NHG-MRQ-2026-07-018</t>
        </is>
      </c>
      <c r="M22" s="34" t="n">
        <v>46213</v>
      </c>
      <c r="N22" s="33" t="inlineStr">
        <is>
          <t>ON TIME</t>
        </is>
      </c>
      <c r="O22" s="9" t="inlineStr">
        <is>
          <t>No referral opened: Finish matching is blocked (Q3 finish-match freeze).</t>
        </is>
      </c>
      <c r="P22" s="33" t="n">
        <v>0</v>
      </c>
      <c r="Q22" s="33" t="inlineStr">
        <is>
          <t>N</t>
        </is>
      </c>
      <c r="R22" s="33" t="inlineStr">
        <is>
          <t>Customer</t>
        </is>
      </c>
      <c r="S22" s="9" t="inlineStr">
        <is>
          <t>Use R_SPECIAL_UNAVAILABLE; state Q3 category block; do not open a feasibility referral.</t>
        </is>
      </c>
      <c r="T22" s="9" t="inlineStr">
        <is>
          <t>Response packet entry dated 2026-07-10</t>
        </is>
      </c>
      <c r="U22" s="33" t="inlineStr">
        <is>
          <t>Low</t>
        </is>
      </c>
      <c r="V22" s="33" t="inlineStr">
        <is>
          <t>MSG-7018</t>
        </is>
      </c>
      <c r="W22" s="33" t="inlineStr">
        <is>
          <t>email</t>
        </is>
      </c>
      <c r="X22" s="9" t="inlineStr">
        <is>
          <t>Finish match special request</t>
        </is>
      </c>
      <c r="Y22" s="9" t="inlineStr">
        <is>
          <t>Customer requests custom finish match for replacement panel under warranty reference W-5517.</t>
        </is>
      </c>
      <c r="Z22" s="33" t="inlineStr">
        <is>
          <t>RL-018</t>
        </is>
      </c>
      <c r="AA22" s="9" t="inlineStr">
        <is>
          <t>custom finish match for replacement panel</t>
        </is>
      </c>
      <c r="AB22" s="33" t="inlineStr">
        <is>
          <t>SP-FINISH-MATCH</t>
        </is>
      </c>
      <c r="AC22" s="33" t="n">
        <v>1</v>
      </c>
      <c r="AD22" s="33" t="inlineStr">
        <is>
          <t>Received</t>
        </is>
      </c>
      <c r="AE22" s="33" t="inlineStr">
        <is>
          <t>Y</t>
        </is>
      </c>
      <c r="AF22" s="33" t="n"/>
      <c r="AG22" s="33" t="inlineStr">
        <is>
          <t>N</t>
        </is>
      </c>
      <c r="AH22" s="33" t="inlineStr">
        <is>
          <t>CUST-1017</t>
        </is>
      </c>
      <c r="AI22" s="33" t="inlineStr">
        <is>
          <t>ACCT-7717</t>
        </is>
      </c>
      <c r="AJ22" s="33" t="inlineStr">
        <is>
          <t>Stone Mill Co-op</t>
        </is>
      </c>
      <c r="AK22" s="33" t="inlineStr">
        <is>
          <t>Active</t>
        </is>
      </c>
      <c r="AL22" s="33" t="inlineStr">
        <is>
          <t>Noah Bennett</t>
        </is>
      </c>
      <c r="AM22" s="33" t="inlineStr">
        <is>
          <t>noah.bennett@example.invalid</t>
        </is>
      </c>
      <c r="AN22" s="33" t="inlineStr">
        <is>
          <t>email</t>
        </is>
      </c>
      <c r="AO22" s="33" t="inlineStr">
        <is>
          <t>English</t>
        </is>
      </c>
      <c r="AP22" s="33" t="inlineStr">
        <is>
          <t>W-5517</t>
        </is>
      </c>
      <c r="AQ22" s="33" t="inlineStr">
        <is>
          <t>Active</t>
        </is>
      </c>
      <c r="AR22" s="34" t="n">
        <v>46500</v>
      </c>
      <c r="AS22" s="33" t="inlineStr">
        <is>
          <t>Finish Matching</t>
        </is>
      </c>
      <c r="AT22" s="33" t="n">
        <v>1</v>
      </c>
      <c r="AU22" s="33" t="inlineStr">
        <is>
          <t>SP-FINISH-MATCH</t>
        </is>
      </c>
      <c r="AV22" s="33" t="inlineStr">
        <is>
          <t>Finish Matching</t>
        </is>
      </c>
      <c r="AW22" s="33" t="n"/>
      <c r="AX22" s="33" t="n"/>
      <c r="AY22" s="34" t="n"/>
      <c r="AZ22" s="35" t="n">
        <v>0</v>
      </c>
      <c r="BA22" s="35" t="n">
        <v>0</v>
      </c>
      <c r="BB22" s="35" t="n"/>
      <c r="BC22" s="33" t="inlineStr">
        <is>
          <t>USD</t>
        </is>
      </c>
      <c r="BD22" s="33" t="inlineStr">
        <is>
          <t>SHIP-1017</t>
        </is>
      </c>
      <c r="BE22" s="9" t="inlineStr">
        <is>
          <t>117 Northstar Service Rd, Portland, OR 97217, US</t>
        </is>
      </c>
      <c r="BF22" s="33" t="inlineStr">
        <is>
          <t>Validated</t>
        </is>
      </c>
      <c r="BG22" s="33" t="inlineStr">
        <is>
          <t>Serviceable</t>
        </is>
      </c>
      <c r="BH22" s="33" t="inlineStr">
        <is>
          <t>CLEAR</t>
        </is>
      </c>
      <c r="BI22" s="33" t="inlineStr">
        <is>
          <t>Blocked</t>
        </is>
      </c>
      <c r="BJ22" s="9" t="inlineStr">
        <is>
          <t>Finish-match feasibility is blocked for Q3; no referral is opened.</t>
        </is>
      </c>
      <c r="BK22" s="33" t="n"/>
      <c r="BL22" s="33" t="n"/>
      <c r="BM22" s="33" t="n"/>
      <c r="BN22" s="33" t="n"/>
      <c r="BO22" s="33" t="n">
        <v>0</v>
      </c>
      <c r="BP22" s="33" t="inlineStr">
        <is>
          <t>0-2 days</t>
        </is>
      </c>
      <c r="BQ22" s="9" t="inlineStr">
        <is>
          <t>Open for final response or route</t>
        </is>
      </c>
      <c r="BR22" s="9" t="inlineStr">
        <is>
          <t>Preserve SPECIAL_NONSTARTER reason in final register.</t>
        </is>
      </c>
      <c r="BS22" s="34" t="n">
        <v>46213</v>
      </c>
      <c r="BT22" s="9" t="inlineStr">
        <is>
          <t>State that the special-product category is blocked and no feasibility referral is opened.</t>
        </is>
      </c>
      <c r="BU22" s="33" t="inlineStr">
        <is>
          <t>Priya Nair, Warranty Correspondence Supervisor</t>
        </is>
      </c>
      <c r="BV22" s="9" t="inlineStr">
        <is>
          <t>CaseBridge response packet and disposition register</t>
        </is>
      </c>
      <c r="BW22" s="9" t="inlineStr">
        <is>
          <t>Mailbox_Intake:MRQ-2026-0710-018/NHG-MRQ-2026-07-018 → Requested_Items:RL-018 via Case_ID → Accounts:CUST-1017/ACCT-7717 via Customer_ID/Account_ID → Warranty_Entitlements:W-5517 via Warranty_ID → Catalog:SP-FINISH-MATCH→SP-FINISH-MATCH → Exception_Handoff:SPECIAL_NONSTARTER via Case_ID → Rules:SPECIAL_NONSTARTER→SPECIAL_UNAVAILABLE_RESPONSE_SENT→R_SPECIAL_UNAVAILABLE → Case_History:Response packet entry dated 2026-07-10</t>
        </is>
      </c>
    </row>
    <row r="26" ht="25" customHeight="1">
      <c r="A26" s="36" t="inlineStr">
        <is>
          <t>Final Exceptions by Category and Aging Band</t>
        </is>
      </c>
    </row>
    <row r="27" ht="30" customHeight="1">
      <c r="A27" s="37" t="inlineStr">
        <is>
          <t>Native chart source: the 15 exception-coded register rows and their handoff aging bands as of 2026-07-10. The 3 rows with Exception_Code=NONE are not included.</t>
        </is>
      </c>
    </row>
    <row r="28">
      <c r="A28" s="38" t="inlineStr">
        <is>
          <t>Exception Category</t>
        </is>
      </c>
      <c r="B28" s="38" t="inlineStr">
        <is>
          <t>0–2 Days</t>
        </is>
      </c>
      <c r="C28" s="38" t="inlineStr">
        <is>
          <t>3–5 Days</t>
        </is>
      </c>
      <c r="D28" s="38" t="inlineStr">
        <is>
          <t>6–10 Days</t>
        </is>
      </c>
      <c r="E28" s="38" t="inlineStr">
        <is>
          <t>Total</t>
        </is>
      </c>
    </row>
    <row r="29">
      <c r="A29" t="inlineStr">
        <is>
          <t>BACKORDER</t>
        </is>
      </c>
      <c r="B29" t="n">
        <v>1</v>
      </c>
      <c r="C29" t="n">
        <v>0</v>
      </c>
      <c r="D29" t="n">
        <v>1</v>
      </c>
      <c r="E29" t="n">
        <v>2</v>
      </c>
    </row>
    <row r="30">
      <c r="A30" t="inlineStr">
        <is>
          <t>CREDIT_HOLD</t>
        </is>
      </c>
      <c r="B30" t="n">
        <v>0</v>
      </c>
      <c r="C30" t="n">
        <v>0</v>
      </c>
      <c r="D30" t="n">
        <v>1</v>
      </c>
      <c r="E30" t="n">
        <v>1</v>
      </c>
    </row>
    <row r="31">
      <c r="A31" t="inlineStr">
        <is>
          <t>DISCONTINUED_NO_REPLACEMENT</t>
        </is>
      </c>
      <c r="B31" t="n">
        <v>0</v>
      </c>
      <c r="C31" t="n">
        <v>1</v>
      </c>
      <c r="D31" t="n">
        <v>0</v>
      </c>
      <c r="E31" t="n">
        <v>1</v>
      </c>
    </row>
    <row r="32">
      <c r="A32" t="inlineStr">
        <is>
          <t>DUPLICATE_REQUEST</t>
        </is>
      </c>
      <c r="B32" t="n">
        <v>0</v>
      </c>
      <c r="C32" t="n">
        <v>1</v>
      </c>
      <c r="D32" t="n">
        <v>0</v>
      </c>
      <c r="E32" t="n">
        <v>1</v>
      </c>
    </row>
    <row r="33">
      <c r="A33" t="inlineStr">
        <is>
          <t>EXPIRED_ENTITLEMENT</t>
        </is>
      </c>
      <c r="B33" t="n">
        <v>0</v>
      </c>
      <c r="C33" t="n">
        <v>0</v>
      </c>
      <c r="D33" t="n">
        <v>1</v>
      </c>
      <c r="E33" t="n">
        <v>1</v>
      </c>
    </row>
    <row r="34">
      <c r="A34" t="inlineStr">
        <is>
          <t>FAMILY_NOT_COVERED</t>
        </is>
      </c>
      <c r="B34" t="n">
        <v>1</v>
      </c>
      <c r="C34" t="n">
        <v>0</v>
      </c>
      <c r="D34" t="n">
        <v>0</v>
      </c>
      <c r="E34" t="n">
        <v>1</v>
      </c>
    </row>
    <row r="35">
      <c r="A35" t="inlineStr">
        <is>
          <t>INVALID_ADDRESS</t>
        </is>
      </c>
      <c r="B35" t="n">
        <v>0</v>
      </c>
      <c r="C35" t="n">
        <v>1</v>
      </c>
      <c r="D35" t="n">
        <v>0</v>
      </c>
      <c r="E35" t="n">
        <v>1</v>
      </c>
    </row>
    <row r="36">
      <c r="A36" t="inlineStr">
        <is>
          <t>MISSING_PROOF</t>
        </is>
      </c>
      <c r="B36" t="n">
        <v>0</v>
      </c>
      <c r="C36" t="n">
        <v>1</v>
      </c>
      <c r="D36" t="n">
        <v>0</v>
      </c>
      <c r="E36" t="n">
        <v>1</v>
      </c>
    </row>
    <row r="37">
      <c r="A37" t="inlineStr">
        <is>
          <t>QTY_CAP_PARTIAL</t>
        </is>
      </c>
      <c r="B37" t="n">
        <v>0</v>
      </c>
      <c r="C37" t="n">
        <v>1</v>
      </c>
      <c r="D37" t="n">
        <v>0</v>
      </c>
      <c r="E37" t="n">
        <v>1</v>
      </c>
    </row>
    <row r="38">
      <c r="A38" t="inlineStr">
        <is>
          <t>SPECIAL_FEASIBILITY</t>
        </is>
      </c>
      <c r="B38" t="n">
        <v>1</v>
      </c>
      <c r="C38" t="n">
        <v>0</v>
      </c>
      <c r="D38" t="n">
        <v>1</v>
      </c>
      <c r="E38" t="n">
        <v>2</v>
      </c>
    </row>
    <row r="39">
      <c r="A39" t="inlineStr">
        <is>
          <t>SPECIAL_NONSTARTER</t>
        </is>
      </c>
      <c r="B39" t="n">
        <v>1</v>
      </c>
      <c r="C39" t="n">
        <v>0</v>
      </c>
      <c r="D39" t="n">
        <v>0</v>
      </c>
      <c r="E39" t="n">
        <v>1</v>
      </c>
    </row>
    <row r="40">
      <c r="A40" t="inlineStr">
        <is>
          <t>SUBSTITUTION_REVIEW</t>
        </is>
      </c>
      <c r="B40" t="n">
        <v>0</v>
      </c>
      <c r="C40" t="n">
        <v>0</v>
      </c>
      <c r="D40" t="n">
        <v>1</v>
      </c>
      <c r="E40" t="n">
        <v>1</v>
      </c>
    </row>
    <row r="41">
      <c r="A41" t="inlineStr">
        <is>
          <t>UNCLEAR_PRODUCT</t>
        </is>
      </c>
      <c r="B41" t="n">
        <v>1</v>
      </c>
      <c r="C41" t="n">
        <v>0</v>
      </c>
      <c r="D41" t="n">
        <v>0</v>
      </c>
      <c r="E41" t="n">
        <v>1</v>
      </c>
    </row>
  </sheetData>
  <autoFilter ref="A4:BW22"/>
  <mergeCells count="11">
    <mergeCell ref="AU3:BC3"/>
    <mergeCell ref="BD3:BH3"/>
    <mergeCell ref="A26:E26"/>
    <mergeCell ref="BI3:BS3"/>
    <mergeCell ref="A3:U3"/>
    <mergeCell ref="A2:BW2"/>
    <mergeCell ref="BT3:BW3"/>
    <mergeCell ref="AH3:AT3"/>
    <mergeCell ref="V3:AG3"/>
    <mergeCell ref="A27:E27"/>
    <mergeCell ref="A1:BW1"/>
  </mergeCells>
  <conditionalFormatting sqref="A5:BW22">
    <cfRule type="expression" priority="1" dxfId="0">
      <formula>OR($F5="NONE",$F5="SUBSTITUTION_REVIEW",$F5="QTY_CAP_PARTIAL")</formula>
    </cfRule>
    <cfRule type="expression" priority="2" dxfId="1">
      <formula>OR($F5="SPECIAL_FEASIBILITY",$F5="BACKORDER")</formula>
    </cfRule>
    <cfRule type="expression" priority="3" dxfId="2">
      <formula>OR($F5="CREDIT_HOLD",$F5="MISSING_PROOF",$F5="INVALID_ADDRESS",$F5="UNCLEAR_PRODUCT")</formula>
    </cfRule>
    <cfRule type="expression" priority="4" dxfId="3">
      <formula>OR($F5="EXPIRED_ENTITLEMENT",$F5="DISCONTINUED_NO_REPLACEMENT",$F5="FAMILY_NOT_COVERED",$F5="SPECIAL_NONSTARTER",$F5="DUPLICATE_REQUEST")</formula>
    </cfRule>
  </conditionalFormatting>
  <pageMargins left="0.2" right="0.2" top="0.4" bottom="0.4" header="0.5" footer="0.5"/>
  <pageSetup orientation="landscape" fitToHeight="0" fitToWidth="1"/>
  <headerFooter>
    <oddHeader/>
    <oddFooter>&amp;CNorthstar Home Goods | Correspondence and downstream status tracked separately&amp;RPage &amp;P of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2026-07-25T14:56:17Z</dcterms:created>
  <dcterms:modified xmlns:dcterms="http://purl.org/dc/terms/" xmlns:xsi="http://www.w3.org/2001/XMLSchema-instance" xsi:type="dcterms:W3CDTF">2026-07-25T15:08:45Z</dcterms:modified>
</cp:coreProperties>
</file>