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ource_Crosswalk" sheetId="2" state="visible" r:id="rId2"/>
    <sheet xmlns:r="http://schemas.openxmlformats.org/officeDocument/2006/relationships" name="Validated_Records" sheetId="3" state="visible" r:id="rId3"/>
    <sheet xmlns:r="http://schemas.openxmlformats.org/officeDocument/2006/relationships" name="Import_View" sheetId="4" state="visible" r:id="rId4"/>
    <sheet xmlns:r="http://schemas.openxmlformats.org/officeDocument/2006/relationships" name="Held_Row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Control_Totals" sheetId="7" state="visible" r:id="rId7"/>
    <sheet xmlns:r="http://schemas.openxmlformats.org/officeDocument/2006/relationships" name="Change_Log" sheetId="8" state="visible" r:id="rId8"/>
  </sheets>
  <definedNames>
    <definedName name="_xlnm._FilterDatabase" localSheetId="0" hidden="1">'Read_Me'!$A$1:$B$5</definedName>
    <definedName name="_xlnm.Print_Titles" localSheetId="0">'Read_Me'!$1:$1</definedName>
    <definedName name="_xlnm.Print_Area" localSheetId="0">'Read_Me'!$A$1:$B$5</definedName>
    <definedName name="_xlnm._FilterDatabase" localSheetId="1" hidden="1">'Source_Crosswalk'!$A$1:$I$6</definedName>
    <definedName name="_xlnm.Print_Titles" localSheetId="1">'Source_Crosswalk'!$1:$1</definedName>
    <definedName name="_xlnm.Print_Area" localSheetId="1">'Source_Crosswalk'!$A$1:$I$6</definedName>
    <definedName name="_xlnm._FilterDatabase" localSheetId="2" hidden="1">'Validated_Records'!$A$1:$L$19</definedName>
    <definedName name="_xlnm.Print_Titles" localSheetId="2">'Validated_Records'!$1:$1,'Validated_Records'!$A:$B</definedName>
    <definedName name="_xlnm.Print_Area" localSheetId="2">'Validated_Records'!$A$1:$L$19</definedName>
    <definedName name="_xlnm._FilterDatabase" localSheetId="3" hidden="1">'Import_View'!$A$1:$P$6</definedName>
    <definedName name="_xlnm.Print_Titles" localSheetId="3">'Import_View'!$1:$1,'Import_View'!$A:$B</definedName>
    <definedName name="_xlnm.Print_Area" localSheetId="3">'Import_View'!$A$1:$P$6</definedName>
    <definedName name="_xlnm._FilterDatabase" localSheetId="4" hidden="1">'Held_Rows'!$A$1:$F$15</definedName>
    <definedName name="_xlnm.Print_Titles" localSheetId="4">'Held_Rows'!$1:$1</definedName>
    <definedName name="_xlnm.Print_Area" localSheetId="4">'Held_Rows'!$A$1:$F$15</definedName>
    <definedName name="_xlnm._FilterDatabase" localSheetId="5" hidden="1">'Validation_Errors'!$A$1:$C$14</definedName>
    <definedName name="_xlnm.Print_Titles" localSheetId="5">'Validation_Errors'!$1:$1</definedName>
    <definedName name="_xlnm.Print_Area" localSheetId="5">'Validation_Errors'!$A$1:$C$14</definedName>
    <definedName name="_xlnm._FilterDatabase" localSheetId="6" hidden="1">'Control_Totals'!$A$1:$D$6</definedName>
    <definedName name="_xlnm.Print_Titles" localSheetId="6">'Control_Totals'!$1:$1</definedName>
    <definedName name="_xlnm.Print_Area" localSheetId="6">'Control_Totals'!$A$1:$D$6</definedName>
    <definedName name="_xlnm._FilterDatabase" localSheetId="7" hidden="1">'Change_Log'!$A$1:$D$3</definedName>
    <definedName name="_xlnm.Print_Titles" localSheetId="7">'Change_Log'!$1:$1</definedName>
    <definedName name="_xlnm.Print_Area" localSheetId="7">'Change_Log'!$A$1:$D$3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yyyy\-mm\-dd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20272E"/>
      <sz val="10"/>
    </font>
    <font>
      <name val="Calibri"/>
      <charset val="1"/>
      <family val="2"/>
      <b val="1"/>
      <color rgb="FFFFFFFF"/>
      <sz val="11"/>
    </font>
    <font>
      <name val="Aptos"/>
      <b val="1"/>
      <color rgb="FFFFFFFF"/>
      <sz val="10.5"/>
    </font>
    <font>
      <name val="Aptos"/>
      <color rgb="FF163B38"/>
      <sz val="10.5"/>
    </font>
    <font>
      <name val="Arial"/>
      <b val="1"/>
      <color rgb="FFFFFFFF"/>
      <sz val="10.5"/>
    </font>
    <font>
      <name val="Arial"/>
      <color rgb="FF163B38"/>
      <sz val="10.5"/>
    </font>
  </fonts>
  <fills count="8">
    <fill>
      <patternFill/>
    </fill>
    <fill>
      <patternFill patternType="gray125"/>
    </fill>
    <fill>
      <patternFill patternType="solid">
        <fgColor rgb="FF20272E"/>
        <bgColor rgb="FF333300"/>
      </patternFill>
    </fill>
    <fill>
      <patternFill patternType="solid">
        <fgColor rgb="FF5C3D78"/>
        <bgColor rgb="FF666699"/>
      </patternFill>
    </fill>
    <fill>
      <patternFill patternType="solid">
        <fgColor rgb="FF087F78"/>
      </patternFill>
    </fill>
    <fill>
      <patternFill patternType="solid">
        <fgColor rgb="FFFFFFFF"/>
      </patternFill>
    </fill>
    <fill>
      <patternFill patternType="solid">
        <fgColor rgb="FFDFF0EC"/>
      </patternFill>
    </fill>
    <fill>
      <patternFill patternType="solid">
        <fgColor rgb="FF07706A"/>
      </patternFill>
    </fill>
  </fills>
  <borders count="6">
    <border>
      <left/>
      <right/>
      <top/>
      <bottom/>
      <diagonal/>
    </border>
    <border>
      <left style="thin">
        <color rgb="FFC7BBAE"/>
      </left>
      <right style="thin">
        <color rgb="FFC7BBAE"/>
      </right>
      <top style="thin">
        <color rgb="FFC7BBAE"/>
      </top>
      <bottom style="thin">
        <color rgb="FFC7BBAE"/>
      </bottom>
      <diagonal/>
    </border>
    <border>
      <bottom style="medium">
        <color rgb="FFE39B38"/>
      </bottom>
    </border>
    <border>
      <bottom style="thin">
        <color rgb="FFDFF0EC"/>
      </bottom>
    </border>
    <border>
      <left style="thin">
        <color rgb="FF667580"/>
      </left>
      <right style="thin">
        <color rgb="FF667580"/>
      </right>
      <top style="thin">
        <color rgb="FF667580"/>
      </top>
      <bottom style="medium">
        <color rgb="FFE39B38"/>
      </bottom>
    </border>
    <border>
      <left style="thin">
        <color rgb="FF667580"/>
      </left>
      <right style="thin">
        <color rgb="FF667580"/>
      </right>
      <top style="thin">
        <color rgb="FF667580"/>
      </top>
      <bottom style="thin">
        <color rgb="FF6675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/>
    </xf>
    <xf numFmtId="0" fontId="8" fillId="6" borderId="3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right" vertical="center"/>
    </xf>
    <xf numFmtId="3" fontId="8" fillId="5" borderId="3" applyAlignment="1" pivotButton="0" quotePrefix="0" xfId="0">
      <alignment horizontal="right" vertical="center"/>
    </xf>
    <xf numFmtId="164" fontId="8" fillId="5" borderId="3" applyAlignment="1" pivotButton="0" quotePrefix="0" xfId="0">
      <alignment horizontal="right" vertical="center"/>
    </xf>
    <xf numFmtId="165" fontId="8" fillId="5" borderId="3" applyAlignment="1" pivotButton="0" quotePrefix="0" xfId="0">
      <alignment horizontal="left" vertical="center"/>
    </xf>
    <xf numFmtId="3" fontId="8" fillId="6" borderId="3" applyAlignment="1" pivotButton="0" quotePrefix="0" xfId="0">
      <alignment horizontal="right" vertical="center"/>
    </xf>
    <xf numFmtId="164" fontId="8" fillId="6" borderId="3" applyAlignment="1" pivotButton="0" quotePrefix="0" xfId="0">
      <alignment horizontal="right" vertical="center"/>
    </xf>
    <xf numFmtId="165" fontId="8" fillId="6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/>
    </xf>
    <xf numFmtId="0" fontId="8" fillId="6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right" vertical="center"/>
    </xf>
    <xf numFmtId="0" fontId="8" fillId="6" borderId="3" applyAlignment="1" pivotButton="0" quotePrefix="0" xfId="0">
      <alignment horizontal="right" vertical="center"/>
    </xf>
    <xf numFmtId="3" fontId="8" fillId="5" borderId="3" applyAlignment="1" pivotButton="0" quotePrefix="0" xfId="0">
      <alignment horizontal="right" vertical="center"/>
    </xf>
    <xf numFmtId="164" fontId="8" fillId="5" borderId="3" applyAlignment="1" pivotButton="0" quotePrefix="0" xfId="0">
      <alignment horizontal="right" vertical="center"/>
    </xf>
    <xf numFmtId="165" fontId="8" fillId="5" borderId="3" applyAlignment="1" pivotButton="0" quotePrefix="0" xfId="0">
      <alignment horizontal="left" vertical="center"/>
    </xf>
    <xf numFmtId="3" fontId="8" fillId="6" borderId="3" applyAlignment="1" pivotButton="0" quotePrefix="0" xfId="0">
      <alignment horizontal="right" vertical="center"/>
    </xf>
    <xf numFmtId="164" fontId="8" fillId="6" borderId="3" applyAlignment="1" pivotButton="0" quotePrefix="0" xfId="0">
      <alignment horizontal="right" vertical="center"/>
    </xf>
    <xf numFmtId="165" fontId="8" fillId="6" borderId="3" applyAlignment="1" pivotButton="0" quotePrefix="0" xfId="0">
      <alignment horizontal="left" vertical="center"/>
    </xf>
    <xf numFmtId="0" fontId="7" fillId="7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/>
    </xf>
    <xf numFmtId="0" fontId="8" fillId="5" borderId="5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 wrapText="1"/>
    </xf>
    <xf numFmtId="0" fontId="8" fillId="5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left" vertical="center"/>
    </xf>
    <xf numFmtId="0" fontId="8" fillId="5" borderId="5" applyAlignment="1" pivotButton="0" quotePrefix="0" xfId="0">
      <alignment horizontal="right" vertical="center"/>
    </xf>
    <xf numFmtId="0" fontId="8" fillId="6" borderId="5" applyAlignment="1" pivotButton="0" quotePrefix="0" xfId="0">
      <alignment horizontal="right" vertical="center"/>
    </xf>
    <xf numFmtId="3" fontId="8" fillId="5" borderId="5" applyAlignment="1" pivotButton="0" quotePrefix="0" xfId="0">
      <alignment horizontal="right" vertical="center"/>
    </xf>
    <xf numFmtId="164" fontId="8" fillId="5" borderId="5" applyAlignment="1" pivotButton="0" quotePrefix="0" xfId="0">
      <alignment horizontal="right" vertical="center"/>
    </xf>
    <xf numFmtId="165" fontId="8" fillId="5" borderId="5" applyAlignment="1" pivotButton="0" quotePrefix="0" xfId="0">
      <alignment horizontal="center" vertical="center"/>
    </xf>
    <xf numFmtId="3" fontId="8" fillId="6" borderId="5" applyAlignment="1" pivotButton="0" quotePrefix="0" xfId="0">
      <alignment horizontal="right" vertical="center"/>
    </xf>
    <xf numFmtId="164" fontId="8" fillId="6" borderId="5" applyAlignment="1" pivotButton="0" quotePrefix="0" xfId="0">
      <alignment horizontal="right" vertical="center"/>
    </xf>
    <xf numFmtId="165" fontId="8" fillId="6" borderId="5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10" fillId="5" borderId="5" applyAlignment="1" pivotButton="0" quotePrefix="0" xfId="0">
      <alignment horizontal="left" vertical="center" wrapText="1"/>
    </xf>
    <xf numFmtId="0" fontId="10" fillId="6" borderId="5" applyAlignment="1" pivotButton="0" quotePrefix="0" xfId="0">
      <alignment horizontal="center" vertical="center"/>
    </xf>
    <xf numFmtId="0" fontId="10" fillId="6" borderId="5" applyAlignment="1" pivotButton="0" quotePrefix="0" xfId="0">
      <alignment horizontal="left" vertical="center" wrapText="1"/>
    </xf>
    <xf numFmtId="0" fontId="10" fillId="5" borderId="5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0" fillId="5" borderId="5" applyAlignment="1" pivotButton="0" quotePrefix="0" xfId="0">
      <alignment horizontal="right" vertical="center"/>
    </xf>
    <xf numFmtId="0" fontId="10" fillId="6" borderId="5" applyAlignment="1" pivotButton="0" quotePrefix="0" xfId="0">
      <alignment horizontal="right" vertical="center"/>
    </xf>
    <xf numFmtId="3" fontId="10" fillId="5" borderId="5" applyAlignment="1" pivotButton="0" quotePrefix="0" xfId="0">
      <alignment horizontal="right" vertical="center"/>
    </xf>
    <xf numFmtId="164" fontId="10" fillId="5" borderId="5" applyAlignment="1" pivotButton="0" quotePrefix="0" xfId="0">
      <alignment horizontal="right" vertical="center"/>
    </xf>
    <xf numFmtId="165" fontId="10" fillId="5" borderId="5" applyAlignment="1" pivotButton="0" quotePrefix="0" xfId="0">
      <alignment horizontal="center" vertical="center"/>
    </xf>
    <xf numFmtId="3" fontId="10" fillId="6" borderId="5" applyAlignment="1" pivotButton="0" quotePrefix="0" xfId="0">
      <alignment horizontal="right" vertical="center"/>
    </xf>
    <xf numFmtId="164" fontId="10" fillId="6" borderId="5" applyAlignment="1" pivotButton="0" quotePrefix="0" xfId="0">
      <alignment horizontal="right" vertical="center"/>
    </xf>
    <xf numFmtId="165" fontId="10" fillId="6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2027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C3D7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BB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C3D78"/>
      <rgbColor rgb="FF2027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Upload_ReadMe" displayName="Upload_ReadMe" ref="A1:B5" headerRowCount="1" totalsRowCount="0" totalsRowShown="0">
  <autoFilter ref="A1:B5"/>
  <tableColumns count="2">
    <tableColumn id="1" name="Field"/>
    <tableColumn id="2" name="Value"/>
  </tableColumns>
</table>
</file>

<file path=xl/tables/table2.xml><?xml version="1.0" encoding="utf-8"?>
<table xmlns="http://schemas.openxmlformats.org/spreadsheetml/2006/main" id="2" name="Source_Crosswalk" displayName="Source_Crosswalk" ref="A1:I6" headerRowCount="1" totalsRowCount="0" totalsRowShown="0">
  <autoFilter ref="A1:I6"/>
  <tableColumns count="9">
    <tableColumn id="1" name="Import_Row_ID"/>
    <tableColumn id="2" name="Case_ID"/>
    <tableColumn id="3" name="Source_Corr_ID"/>
    <tableColumn id="4" name="Customer_ID"/>
    <tableColumn id="5" name="Account_ID"/>
    <tableColumn id="6" name="Requested_Line_ID"/>
    <tableColumn id="7" name="Source_SKU"/>
    <tableColumn id="8" name="Resolved_SKU"/>
    <tableColumn id="9" name="Source_Evidence"/>
  </tableColumns>
</table>
</file>

<file path=xl/tables/table3.xml><?xml version="1.0" encoding="utf-8"?>
<table xmlns="http://schemas.openxmlformats.org/spreadsheetml/2006/main" id="3" name="Validated_Records" displayName="Validated_Records" ref="A1:L19" headerRowCount="1" totalsRowCount="0" totalsRowShown="0">
  <autoFilter ref="A1:L19"/>
  <tableColumns count="12">
    <tableColumn id="1" name="Case_ID"/>
    <tableColumn id="2" name="Source_Corr_ID"/>
    <tableColumn id="3" name="Customer_ID"/>
    <tableColumn id="4" name="Account_ID"/>
    <tableColumn id="5" name="Warranty_ID"/>
    <tableColumn id="6" name="Resolved_SKU"/>
    <tableColumn id="7" name="Quantity_Approved"/>
    <tableColumn id="8" name="Ship_To_ID"/>
    <tableColumn id="9" name="Credit_Status_Code"/>
    <tableColumn id="10" name="Exception_Code"/>
    <tableColumn id="11" name="Eligible_Import_Formula"/>
    <tableColumn id="12" name="Validation_Status"/>
  </tableColumns>
</table>
</file>

<file path=xl/tables/table4.xml><?xml version="1.0" encoding="utf-8"?>
<table xmlns="http://schemas.openxmlformats.org/spreadsheetml/2006/main" id="4" name="Import_View" displayName="Import_View" ref="A1:P6" headerRowCount="1" totalsRowCount="0" totalsRowShown="0">
  <autoFilter ref="A1:P6"/>
  <tableColumns count="16">
    <tableColumn id="1" name="Batch_ID"/>
    <tableColumn id="2" name="Import_Row_ID"/>
    <tableColumn id="3" name="Case_ID"/>
    <tableColumn id="4" name="Source_Corr_ID"/>
    <tableColumn id="5" name="Customer_ID"/>
    <tableColumn id="6" name="Account_ID"/>
    <tableColumn id="7" name="Warranty_ID"/>
    <tableColumn id="8" name="Ship_To_ID"/>
    <tableColumn id="9" name="Resolved_SKU"/>
    <tableColumn id="10" name="Quantity"/>
    <tableColumn id="11" name="Unit_Price"/>
    <tableColumn id="12" name="Line_Value"/>
    <tableColumn id="13" name="Currency"/>
    <tableColumn id="14" name="Requested_Date"/>
    <tableColumn id="15" name="Requested_By"/>
    <tableColumn id="16" name="Order_Action_Status"/>
  </tableColumns>
</table>
</file>

<file path=xl/tables/table5.xml><?xml version="1.0" encoding="utf-8"?>
<table xmlns="http://schemas.openxmlformats.org/spreadsheetml/2006/main" id="5" name="Held_Rows" displayName="Held_Rows" ref="A1:F15" headerRowCount="1" totalsRowCount="0" totalsRowShown="0">
  <autoFilter ref="A1:F15"/>
  <tableColumns count="6">
    <tableColumn id="1" name="Case_ID"/>
    <tableColumn id="2" name="Source_Corr_ID"/>
    <tableColumn id="3" name="Hold_Reason"/>
    <tableColumn id="4" name="Response_Type_Code"/>
    <tableColumn id="5" name="Next_Action_Owner"/>
    <tableColumn id="6" name="Held_Quantity"/>
  </tableColumns>
</table>
</file>

<file path=xl/tables/table6.xml><?xml version="1.0" encoding="utf-8"?>
<table xmlns="http://schemas.openxmlformats.org/spreadsheetml/2006/main" id="6" name="Validation_Errors" displayName="Validation_Errors" ref="A1:C14" headerRowCount="1" totalsRowCount="0" totalsRowShown="0">
  <autoFilter ref="A1:C14"/>
  <tableColumns count="3">
    <tableColumn id="1" name="Case_ID"/>
    <tableColumn id="2" name="Validation_Error"/>
    <tableColumn id="3" name="Error_Detail"/>
  </tableColumns>
</table>
</file>

<file path=xl/tables/table7.xml><?xml version="1.0" encoding="utf-8"?>
<table xmlns="http://schemas.openxmlformats.org/spreadsheetml/2006/main" id="7" name="Control_Totals" displayName="Control_Totals" ref="A1:D6" headerRowCount="1" totalsRowCount="0" totalsRowShown="0">
  <autoFilter ref="A1:D6"/>
  <tableColumns count="4">
    <tableColumn id="1" name="Control_Name"/>
    <tableColumn id="2" name="Actual"/>
    <tableColumn id="3" name="Expected"/>
    <tableColumn id="4" name="Status"/>
  </tableColumns>
</table>
</file>

<file path=xl/tables/table8.xml><?xml version="1.0" encoding="utf-8"?>
<table xmlns="http://schemas.openxmlformats.org/spreadsheetml/2006/main" id="8" name="Change_Log" displayName="Change_Log" ref="A1:D3" headerRowCount="1" totalsRowCount="0" totalsRowShown="0">
  <autoFilter ref="A1:D3"/>
  <tableColumns count="4">
    <tableColumn id="1" name="Timestamp"/>
    <tableColumn id="2" name="Owner"/>
    <tableColumn id="3" name="Change"/>
    <tableColumn id="4" name="Completion_Clai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1" customWidth="1" style="8" min="1" max="1"/>
    <col width="38" customWidth="1" style="8" min="2" max="2"/>
  </cols>
  <sheetData>
    <row r="1" ht="29" customHeight="1" s="9">
      <c r="A1" s="49" t="inlineStr">
        <is>
          <t>Field</t>
        </is>
      </c>
      <c r="B1" s="49" t="inlineStr">
        <is>
          <t>Value</t>
        </is>
      </c>
    </row>
    <row r="2" ht="37" customHeight="1" s="9">
      <c r="A2" s="50" t="inlineStr">
        <is>
          <t>Purpose</t>
        </is>
      </c>
      <c r="B2" s="51" t="inlineStr">
        <is>
          <t>Machine-ingestible standard warranty merchandise order request file.</t>
        </is>
      </c>
    </row>
    <row r="3" ht="37" customHeight="1" s="9">
      <c r="A3" s="52" t="inlineStr">
        <is>
          <t>Submission Date</t>
        </is>
      </c>
      <c r="B3" s="53" t="inlineStr">
        <is>
          <t>Prepared 2026-07-10; upload completion is not claimed.</t>
        </is>
      </c>
    </row>
    <row r="4" ht="37" customHeight="1" s="9">
      <c r="A4" s="50" t="inlineStr">
        <is>
          <t>Source Population</t>
        </is>
      </c>
      <c r="B4" s="51" t="inlineStr">
        <is>
          <t>18 in-scope cases; 5 executable import rows.</t>
        </is>
      </c>
    </row>
    <row r="5" ht="22" customHeight="1" s="9">
      <c r="A5" s="52" t="inlineStr">
        <is>
          <t>Schema Version</t>
        </is>
      </c>
      <c r="B5" s="52" t="inlineStr">
        <is>
          <t>NHG-WAR-MRQ-2026.07</t>
        </is>
      </c>
    </row>
  </sheetData>
  <autoFilter ref="A1:B5"/>
  <printOptions horizontalCentered="1" verticalCentered="0" headings="0" gridLines="0" gridLinesSet="1"/>
  <pageMargins left="0.25" right="0.25" top="0.35" bottom="0.35" header="0.15" footer="0.15"/>
  <pageSetup orientation="portrait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8" min="1" max="1"/>
    <col width="23" customWidth="1" style="8" min="2" max="2"/>
    <col width="25" customWidth="1" style="8" min="3" max="3"/>
    <col width="15" customWidth="1" style="8" min="4" max="4"/>
    <col width="14" customWidth="1" style="8" min="5" max="5"/>
    <col width="23" customWidth="1" style="8" min="6" max="6"/>
    <col width="17" customWidth="1" style="8" min="7" max="8"/>
    <col width="17" customWidth="1" style="9" min="8" max="8"/>
    <col width="38" customWidth="1" style="8" min="9" max="9"/>
  </cols>
  <sheetData>
    <row r="1" ht="29" customHeight="1" s="9">
      <c r="A1" s="49" t="inlineStr">
        <is>
          <t>Import_Row_ID</t>
        </is>
      </c>
      <c r="B1" s="49" t="inlineStr">
        <is>
          <t>Case_ID</t>
        </is>
      </c>
      <c r="C1" s="49" t="inlineStr">
        <is>
          <t>Source_Corr_ID</t>
        </is>
      </c>
      <c r="D1" s="49" t="inlineStr">
        <is>
          <t>Customer_ID</t>
        </is>
      </c>
      <c r="E1" s="49" t="inlineStr">
        <is>
          <t>Account_ID</t>
        </is>
      </c>
      <c r="F1" s="49" t="inlineStr">
        <is>
          <t>Requested_Line_ID</t>
        </is>
      </c>
      <c r="G1" s="49" t="inlineStr">
        <is>
          <t>Source_SKU</t>
        </is>
      </c>
      <c r="H1" s="49" t="inlineStr">
        <is>
          <t>Resolved_SKU</t>
        </is>
      </c>
      <c r="I1" s="49" t="inlineStr">
        <is>
          <t>Source_Evidence</t>
        </is>
      </c>
    </row>
    <row r="2" ht="22" customHeight="1" s="9">
      <c r="A2" s="50" t="inlineStr">
        <is>
          <t>IMP-001</t>
        </is>
      </c>
      <c r="B2" s="50" t="inlineStr">
        <is>
          <t>MRQ-2026-0710-001</t>
        </is>
      </c>
      <c r="C2" s="50" t="inlineStr">
        <is>
          <t>NHG-MRQ-2026-07-001</t>
        </is>
      </c>
      <c r="D2" s="50" t="inlineStr">
        <is>
          <t>CUST-1001</t>
        </is>
      </c>
      <c r="E2" s="50" t="inlineStr">
        <is>
          <t>ACCT-7701</t>
        </is>
      </c>
      <c r="F2" s="50" t="inlineStr">
        <is>
          <t>RL-001</t>
        </is>
      </c>
      <c r="G2" s="50" t="inlineStr">
        <is>
          <t>WH-FLTR-200</t>
        </is>
      </c>
      <c r="H2" s="50" t="inlineStr">
        <is>
          <t>WH-FLTR-200</t>
        </is>
      </c>
      <c r="I2" s="54" t="inlineStr">
        <is>
          <t>Queue + account + catalog + rules</t>
        </is>
      </c>
    </row>
    <row r="3" ht="22" customHeight="1" s="9">
      <c r="A3" s="52" t="inlineStr">
        <is>
          <t>IMP-002</t>
        </is>
      </c>
      <c r="B3" s="52" t="inlineStr">
        <is>
          <t>MRQ-2026-0710-002</t>
        </is>
      </c>
      <c r="C3" s="52" t="inlineStr">
        <is>
          <t>NHG-MRQ-2026-07-002</t>
        </is>
      </c>
      <c r="D3" s="52" t="inlineStr">
        <is>
          <t>CUST-1002</t>
        </is>
      </c>
      <c r="E3" s="52" t="inlineStr">
        <is>
          <t>ACCT-7702</t>
        </is>
      </c>
      <c r="F3" s="52" t="inlineStr">
        <is>
          <t>RL-002</t>
        </is>
      </c>
      <c r="G3" s="52" t="inlineStr">
        <is>
          <t>WH-HINGE-510</t>
        </is>
      </c>
      <c r="H3" s="52" t="inlineStr">
        <is>
          <t>WH-HINGE-520</t>
        </is>
      </c>
      <c r="I3" s="55" t="inlineStr">
        <is>
          <t>Queue + account + catalog + rules</t>
        </is>
      </c>
    </row>
    <row r="4" ht="22" customHeight="1" s="9">
      <c r="A4" s="50" t="inlineStr">
        <is>
          <t>IMP-003</t>
        </is>
      </c>
      <c r="B4" s="50" t="inlineStr">
        <is>
          <t>MRQ-2026-0710-011</t>
        </is>
      </c>
      <c r="C4" s="50" t="inlineStr">
        <is>
          <t>NHG-MRQ-2026-07-011</t>
        </is>
      </c>
      <c r="D4" s="50" t="inlineStr">
        <is>
          <t>CUST-1010</t>
        </is>
      </c>
      <c r="E4" s="50" t="inlineStr">
        <is>
          <t>ACCT-7710</t>
        </is>
      </c>
      <c r="F4" s="50" t="inlineStr">
        <is>
          <t>RL-011</t>
        </is>
      </c>
      <c r="G4" s="50" t="inlineStr">
        <is>
          <t>WH-KNOB-110</t>
        </is>
      </c>
      <c r="H4" s="50" t="inlineStr">
        <is>
          <t>WH-KNOB-110</t>
        </is>
      </c>
      <c r="I4" s="54" t="inlineStr">
        <is>
          <t>Queue + account + catalog + rules</t>
        </is>
      </c>
    </row>
    <row r="5" ht="22" customHeight="1" s="9">
      <c r="A5" s="52" t="inlineStr">
        <is>
          <t>IMP-004</t>
        </is>
      </c>
      <c r="B5" s="52" t="inlineStr">
        <is>
          <t>MRQ-2026-0710-012</t>
        </is>
      </c>
      <c r="C5" s="52" t="inlineStr">
        <is>
          <t>NHG-MRQ-2026-07-012</t>
        </is>
      </c>
      <c r="D5" s="52" t="inlineStr">
        <is>
          <t>CUST-1011</t>
        </is>
      </c>
      <c r="E5" s="52" t="inlineStr">
        <is>
          <t>ACCT-7711</t>
        </is>
      </c>
      <c r="F5" s="52" t="inlineStr">
        <is>
          <t>RL-012</t>
        </is>
      </c>
      <c r="G5" s="52" t="inlineStr">
        <is>
          <t>WH-SHELF-310</t>
        </is>
      </c>
      <c r="H5" s="52" t="inlineStr">
        <is>
          <t>WH-SHELF-310</t>
        </is>
      </c>
      <c r="I5" s="55" t="inlineStr">
        <is>
          <t>Queue + account + catalog + rules</t>
        </is>
      </c>
    </row>
    <row r="6" ht="22" customHeight="1" s="9">
      <c r="A6" s="50" t="inlineStr">
        <is>
          <t>IMP-005</t>
        </is>
      </c>
      <c r="B6" s="50" t="inlineStr">
        <is>
          <t>MRQ-2026-0710-015</t>
        </is>
      </c>
      <c r="C6" s="50" t="inlineStr">
        <is>
          <t>NHG-MRQ-2026-07-015</t>
        </is>
      </c>
      <c r="D6" s="50" t="inlineStr">
        <is>
          <t>CUST-1014</t>
        </is>
      </c>
      <c r="E6" s="50" t="inlineStr">
        <is>
          <t>ACCT-7714</t>
        </is>
      </c>
      <c r="F6" s="50" t="inlineStr">
        <is>
          <t>RL-015</t>
        </is>
      </c>
      <c r="G6" s="50" t="inlineStr">
        <is>
          <t>WH-GASK-410</t>
        </is>
      </c>
      <c r="H6" s="50" t="inlineStr">
        <is>
          <t>WH-GASK-410</t>
        </is>
      </c>
      <c r="I6" s="54" t="inlineStr">
        <is>
          <t>Queue + account + catalog + rules</t>
        </is>
      </c>
    </row>
  </sheetData>
  <autoFilter ref="A1:I6"/>
  <printOptions horizontalCentered="1" verticalCentered="0" headings="0" gridLines="0" gridLinesSet="1"/>
  <pageMargins left="0.25" right="0.25" top="0.35" bottom="0.35" header="0.15" footer="0.15"/>
  <pageSetup orientation="landscape" paperSize="8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8" min="1" max="1"/>
    <col width="25" customWidth="1" style="8" min="2" max="2"/>
    <col width="15" customWidth="1" style="8" min="3" max="3"/>
    <col width="14" customWidth="1" style="8" min="4" max="4"/>
    <col width="15" customWidth="1" style="8" min="5" max="5"/>
    <col width="20" customWidth="1" style="8" min="6" max="6"/>
    <col width="23" customWidth="1" style="8" min="7" max="7"/>
    <col width="14" customWidth="1" style="8" min="8" max="8"/>
    <col width="24" customWidth="1" style="8" min="9" max="9"/>
    <col width="34" customWidth="1" style="8" min="10" max="10"/>
    <col width="30" customWidth="1" style="8" min="11" max="11"/>
    <col width="23" customWidth="1" style="8" min="12" max="12"/>
  </cols>
  <sheetData>
    <row r="1" ht="29" customHeight="1" s="9">
      <c r="A1" s="49" t="inlineStr">
        <is>
          <t>Case_ID</t>
        </is>
      </c>
      <c r="B1" s="49" t="inlineStr">
        <is>
          <t>Source_Corr_ID</t>
        </is>
      </c>
      <c r="C1" s="49" t="inlineStr">
        <is>
          <t>Customer_ID</t>
        </is>
      </c>
      <c r="D1" s="49" t="inlineStr">
        <is>
          <t>Account_ID</t>
        </is>
      </c>
      <c r="E1" s="49" t="inlineStr">
        <is>
          <t>Warranty_ID</t>
        </is>
      </c>
      <c r="F1" s="49" t="inlineStr">
        <is>
          <t>Resolved_SKU</t>
        </is>
      </c>
      <c r="G1" s="49" t="inlineStr">
        <is>
          <t>Quantity_Approved</t>
        </is>
      </c>
      <c r="H1" s="49" t="inlineStr">
        <is>
          <t>Ship_To_ID</t>
        </is>
      </c>
      <c r="I1" s="49" t="inlineStr">
        <is>
          <t>Credit_Status_Code</t>
        </is>
      </c>
      <c r="J1" s="49" t="inlineStr">
        <is>
          <t>Exception_Code</t>
        </is>
      </c>
      <c r="K1" s="49" t="inlineStr">
        <is>
          <t>Eligible_Import_Formula</t>
        </is>
      </c>
      <c r="L1" s="49" t="inlineStr">
        <is>
          <t>Validation_Status</t>
        </is>
      </c>
    </row>
    <row r="2" ht="22" customHeight="1" s="9">
      <c r="A2" s="50" t="inlineStr">
        <is>
          <t>MRQ-2026-0710-001</t>
        </is>
      </c>
      <c r="B2" s="50" t="inlineStr">
        <is>
          <t>NHG-MRQ-2026-07-001</t>
        </is>
      </c>
      <c r="C2" s="50" t="inlineStr">
        <is>
          <t>CUST-1001</t>
        </is>
      </c>
      <c r="D2" s="50" t="inlineStr">
        <is>
          <t>ACCT-7701</t>
        </is>
      </c>
      <c r="E2" s="50" t="inlineStr">
        <is>
          <t>W-5501</t>
        </is>
      </c>
      <c r="F2" s="50" t="inlineStr">
        <is>
          <t>WH-FLTR-200</t>
        </is>
      </c>
      <c r="G2" s="56" t="n">
        <v>2</v>
      </c>
      <c r="H2" s="50" t="inlineStr">
        <is>
          <t>SHIP-1001</t>
        </is>
      </c>
      <c r="I2" s="50" t="inlineStr">
        <is>
          <t>CLEAR</t>
        </is>
      </c>
      <c r="J2" s="50" t="n"/>
      <c r="K2" s="56">
        <f>IF(AND(G2&gt;0,I2="CLEAR",OR(J2="",J2="QTY_CAP_PARTIAL")),"Y","N")</f>
        <v/>
      </c>
      <c r="L2" s="56">
        <f>IF(K2="Y","IMPORT_READY","HOLD")</f>
        <v/>
      </c>
    </row>
    <row r="3" ht="22" customHeight="1" s="9">
      <c r="A3" s="52" t="inlineStr">
        <is>
          <t>MRQ-2026-0710-002</t>
        </is>
      </c>
      <c r="B3" s="52" t="inlineStr">
        <is>
          <t>NHG-MRQ-2026-07-002</t>
        </is>
      </c>
      <c r="C3" s="52" t="inlineStr">
        <is>
          <t>CUST-1002</t>
        </is>
      </c>
      <c r="D3" s="52" t="inlineStr">
        <is>
          <t>ACCT-7702</t>
        </is>
      </c>
      <c r="E3" s="52" t="inlineStr">
        <is>
          <t>W-5502</t>
        </is>
      </c>
      <c r="F3" s="52" t="inlineStr">
        <is>
          <t>WH-HINGE-520</t>
        </is>
      </c>
      <c r="G3" s="57" t="n">
        <v>1</v>
      </c>
      <c r="H3" s="52" t="inlineStr">
        <is>
          <t>SHIP-1002</t>
        </is>
      </c>
      <c r="I3" s="52" t="inlineStr">
        <is>
          <t>CLEAR</t>
        </is>
      </c>
      <c r="J3" s="52" t="n"/>
      <c r="K3" s="57">
        <f>IF(AND(G3&gt;0,I3="CLEAR",OR(J3="",J3="QTY_CAP_PARTIAL")),"Y","N")</f>
        <v/>
      </c>
      <c r="L3" s="57">
        <f>IF(K3="Y","IMPORT_READY","HOLD")</f>
        <v/>
      </c>
    </row>
    <row r="4" ht="22" customHeight="1" s="9">
      <c r="A4" s="50" t="inlineStr">
        <is>
          <t>MRQ-2026-0710-003</t>
        </is>
      </c>
      <c r="B4" s="50" t="inlineStr">
        <is>
          <t>NHG-MRQ-2026-07-003</t>
        </is>
      </c>
      <c r="C4" s="50" t="inlineStr">
        <is>
          <t>CUST-1003</t>
        </is>
      </c>
      <c r="D4" s="50" t="inlineStr">
        <is>
          <t>ACCT-7703</t>
        </is>
      </c>
      <c r="E4" s="50" t="inlineStr">
        <is>
          <t>W-5503</t>
        </is>
      </c>
      <c r="F4" s="50" t="inlineStr">
        <is>
          <t>WH-LEG-700</t>
        </is>
      </c>
      <c r="G4" s="56" t="n">
        <v>1</v>
      </c>
      <c r="H4" s="50" t="inlineStr">
        <is>
          <t>SHIP-1003</t>
        </is>
      </c>
      <c r="I4" s="50" t="inlineStr">
        <is>
          <t>CLEAR</t>
        </is>
      </c>
      <c r="J4" s="50" t="inlineStr">
        <is>
          <t>BACKORDER</t>
        </is>
      </c>
      <c r="K4" s="56">
        <f>IF(AND(G4&gt;0,I4="CLEAR",OR(J4="",J4="QTY_CAP_PARTIAL")),"Y","N")</f>
        <v/>
      </c>
      <c r="L4" s="56">
        <f>IF(K4="Y","IMPORT_READY","HOLD")</f>
        <v/>
      </c>
    </row>
    <row r="5" ht="22" customHeight="1" s="9">
      <c r="A5" s="52" t="inlineStr">
        <is>
          <t>MRQ-2026-0710-004</t>
        </is>
      </c>
      <c r="B5" s="52" t="inlineStr">
        <is>
          <t>NHG-MRQ-2026-07-004</t>
        </is>
      </c>
      <c r="C5" s="52" t="inlineStr">
        <is>
          <t>CUST-1004</t>
        </is>
      </c>
      <c r="D5" s="52" t="inlineStr">
        <is>
          <t>ACCT-7704</t>
        </is>
      </c>
      <c r="E5" s="52" t="inlineStr">
        <is>
          <t>W-5504</t>
        </is>
      </c>
      <c r="F5" s="52" t="inlineStr">
        <is>
          <t>WH-KNOB-110</t>
        </is>
      </c>
      <c r="G5" s="57" t="n">
        <v>0</v>
      </c>
      <c r="H5" s="52" t="inlineStr">
        <is>
          <t>SHIP-1004</t>
        </is>
      </c>
      <c r="I5" s="52" t="inlineStr">
        <is>
          <t>CLEAR</t>
        </is>
      </c>
      <c r="J5" s="52" t="inlineStr">
        <is>
          <t>EXPIRED_ENTITLEMENT</t>
        </is>
      </c>
      <c r="K5" s="57">
        <f>IF(AND(G5&gt;0,I5="CLEAR",OR(J5="",J5="QTY_CAP_PARTIAL")),"Y","N")</f>
        <v/>
      </c>
      <c r="L5" s="57">
        <f>IF(K5="Y","IMPORT_READY","HOLD")</f>
        <v/>
      </c>
    </row>
    <row r="6" ht="22" customHeight="1" s="9">
      <c r="A6" s="50" t="inlineStr">
        <is>
          <t>MRQ-2026-0710-005</t>
        </is>
      </c>
      <c r="B6" s="50" t="inlineStr">
        <is>
          <t>NHG-MRQ-2026-07-005</t>
        </is>
      </c>
      <c r="C6" s="50" t="inlineStr">
        <is>
          <t>CUST-1005</t>
        </is>
      </c>
      <c r="D6" s="50" t="inlineStr">
        <is>
          <t>ACCT-7705</t>
        </is>
      </c>
      <c r="E6" s="50" t="inlineStr">
        <is>
          <t>W-5505</t>
        </is>
      </c>
      <c r="F6" s="50" t="inlineStr">
        <is>
          <t>SP-CUSTOM-PANEL</t>
        </is>
      </c>
      <c r="G6" s="56" t="n">
        <v>1</v>
      </c>
      <c r="H6" s="50" t="inlineStr">
        <is>
          <t>SHIP-1005</t>
        </is>
      </c>
      <c r="I6" s="50" t="inlineStr">
        <is>
          <t>CLEAR</t>
        </is>
      </c>
      <c r="J6" s="50" t="inlineStr">
        <is>
          <t>SPECIAL_FEASIBILITY</t>
        </is>
      </c>
      <c r="K6" s="56">
        <f>IF(AND(G6&gt;0,I6="CLEAR",OR(J6="",J6="QTY_CAP_PARTIAL")),"Y","N")</f>
        <v/>
      </c>
      <c r="L6" s="56">
        <f>IF(K6="Y","IMPORT_READY","HOLD")</f>
        <v/>
      </c>
    </row>
    <row r="7" ht="22" customHeight="1" s="9">
      <c r="A7" s="52" t="inlineStr">
        <is>
          <t>MRQ-2026-0710-006</t>
        </is>
      </c>
      <c r="B7" s="52" t="inlineStr">
        <is>
          <t>NHG-MRQ-2026-07-006</t>
        </is>
      </c>
      <c r="C7" s="52" t="inlineStr">
        <is>
          <t>CUST-1006</t>
        </is>
      </c>
      <c r="D7" s="52" t="inlineStr">
        <is>
          <t>ACCT-7706</t>
        </is>
      </c>
      <c r="E7" s="52" t="inlineStr">
        <is>
          <t>W-5506</t>
        </is>
      </c>
      <c r="F7" s="52" t="inlineStr">
        <is>
          <t>WH-SHELF-310</t>
        </is>
      </c>
      <c r="G7" s="57" t="n">
        <v>1</v>
      </c>
      <c r="H7" s="52" t="inlineStr">
        <is>
          <t>SHIP-1006</t>
        </is>
      </c>
      <c r="I7" s="52" t="inlineStr">
        <is>
          <t>CH-30</t>
        </is>
      </c>
      <c r="J7" s="52" t="inlineStr">
        <is>
          <t>CREDIT_HOLD</t>
        </is>
      </c>
      <c r="K7" s="57">
        <f>IF(AND(G7&gt;0,I7="CLEAR",OR(J7="",J7="QTY_CAP_PARTIAL")),"Y","N")</f>
        <v/>
      </c>
      <c r="L7" s="57">
        <f>IF(K7="Y","IMPORT_READY","HOLD")</f>
        <v/>
      </c>
    </row>
    <row r="8" ht="22" customHeight="1" s="9">
      <c r="A8" s="50" t="inlineStr">
        <is>
          <t>MRQ-2026-0710-007</t>
        </is>
      </c>
      <c r="B8" s="50" t="inlineStr">
        <is>
          <t>NHG-MRQ-2026-07-007</t>
        </is>
      </c>
      <c r="C8" s="50" t="inlineStr">
        <is>
          <t>CUST-1007</t>
        </is>
      </c>
      <c r="D8" s="50" t="inlineStr">
        <is>
          <t>ACCT-7707</t>
        </is>
      </c>
      <c r="E8" s="50" t="inlineStr">
        <is>
          <t>W-5507</t>
        </is>
      </c>
      <c r="F8" s="50" t="inlineStr">
        <is>
          <t>WH-FLTR-200</t>
        </is>
      </c>
      <c r="G8" s="56" t="n">
        <v>1</v>
      </c>
      <c r="H8" s="50" t="inlineStr">
        <is>
          <t>SHIP-1007</t>
        </is>
      </c>
      <c r="I8" s="50" t="inlineStr">
        <is>
          <t>CLEAR</t>
        </is>
      </c>
      <c r="J8" s="50" t="inlineStr">
        <is>
          <t>MISSING_PROOF</t>
        </is>
      </c>
      <c r="K8" s="56">
        <f>IF(AND(G8&gt;0,I8="CLEAR",OR(J8="",J8="QTY_CAP_PARTIAL")),"Y","N")</f>
        <v/>
      </c>
      <c r="L8" s="56">
        <f>IF(K8="Y","IMPORT_READY","HOLD")</f>
        <v/>
      </c>
    </row>
    <row r="9" ht="22" customHeight="1" s="9">
      <c r="A9" s="52" t="inlineStr">
        <is>
          <t>MRQ-2026-0710-008</t>
        </is>
      </c>
      <c r="B9" s="52" t="inlineStr">
        <is>
          <t>NHG-MRQ-2026-07-008</t>
        </is>
      </c>
      <c r="C9" s="52" t="inlineStr">
        <is>
          <t>CUST-1008</t>
        </is>
      </c>
      <c r="D9" s="52" t="inlineStr">
        <is>
          <t>ACCT-7708</t>
        </is>
      </c>
      <c r="E9" s="52" t="inlineStr">
        <is>
          <t>W-5508</t>
        </is>
      </c>
      <c r="F9" s="52" t="inlineStr">
        <is>
          <t>WH-GASK-410</t>
        </is>
      </c>
      <c r="G9" s="57" t="n">
        <v>1</v>
      </c>
      <c r="H9" s="52" t="inlineStr">
        <is>
          <t>SHIP-1008</t>
        </is>
      </c>
      <c r="I9" s="52" t="inlineStr">
        <is>
          <t>CLEAR</t>
        </is>
      </c>
      <c r="J9" s="52" t="inlineStr">
        <is>
          <t>INVALID_ADDRESS</t>
        </is>
      </c>
      <c r="K9" s="57">
        <f>IF(AND(G9&gt;0,I9="CLEAR",OR(J9="",J9="QTY_CAP_PARTIAL")),"Y","N")</f>
        <v/>
      </c>
      <c r="L9" s="57">
        <f>IF(K9="Y","IMPORT_READY","HOLD")</f>
        <v/>
      </c>
    </row>
    <row r="10" ht="22" customHeight="1" s="9">
      <c r="A10" s="50" t="inlineStr">
        <is>
          <t>MRQ-2026-0710-009</t>
        </is>
      </c>
      <c r="B10" s="50" t="inlineStr">
        <is>
          <t>NHG-MRQ-2026-07-009</t>
        </is>
      </c>
      <c r="C10" s="50" t="inlineStr">
        <is>
          <t>CUST-1009</t>
        </is>
      </c>
      <c r="D10" s="50" t="inlineStr">
        <is>
          <t>ACCT-7709</t>
        </is>
      </c>
      <c r="E10" s="50" t="inlineStr">
        <is>
          <t>W-5509</t>
        </is>
      </c>
      <c r="F10" s="50" t="inlineStr">
        <is>
          <t>WH-TRAY-125</t>
        </is>
      </c>
      <c r="G10" s="56" t="n">
        <v>1</v>
      </c>
      <c r="H10" s="50" t="inlineStr">
        <is>
          <t>SHIP-1009</t>
        </is>
      </c>
      <c r="I10" s="50" t="inlineStr">
        <is>
          <t>CLEAR</t>
        </is>
      </c>
      <c r="J10" s="50" t="inlineStr">
        <is>
          <t>DISCONTINUED_NO_REPLACEMENT</t>
        </is>
      </c>
      <c r="K10" s="56">
        <f>IF(AND(G10&gt;0,I10="CLEAR",OR(J10="",J10="QTY_CAP_PARTIAL")),"Y","N")</f>
        <v/>
      </c>
      <c r="L10" s="56">
        <f>IF(K10="Y","IMPORT_READY","HOLD")</f>
        <v/>
      </c>
    </row>
    <row r="11" ht="22" customHeight="1" s="9">
      <c r="A11" s="52" t="inlineStr">
        <is>
          <t>MRQ-2026-0710-010</t>
        </is>
      </c>
      <c r="B11" s="52" t="inlineStr">
        <is>
          <t>NHG-MRQ-2026-07-010</t>
        </is>
      </c>
      <c r="C11" s="52" t="inlineStr">
        <is>
          <t>CUST-1001</t>
        </is>
      </c>
      <c r="D11" s="52" t="inlineStr">
        <is>
          <t>ACCT-7701</t>
        </is>
      </c>
      <c r="E11" s="52" t="inlineStr">
        <is>
          <t>W-5501</t>
        </is>
      </c>
      <c r="F11" s="52" t="inlineStr">
        <is>
          <t>WH-FLTR-200</t>
        </is>
      </c>
      <c r="G11" s="57" t="n">
        <v>2</v>
      </c>
      <c r="H11" s="52" t="inlineStr">
        <is>
          <t>SHIP-1001</t>
        </is>
      </c>
      <c r="I11" s="52" t="inlineStr">
        <is>
          <t>CLEAR</t>
        </is>
      </c>
      <c r="J11" s="52" t="inlineStr">
        <is>
          <t>DUPLICATE_REQUEST</t>
        </is>
      </c>
      <c r="K11" s="57">
        <f>IF(AND(G11&gt;0,I11="CLEAR",OR(J11="",J11="QTY_CAP_PARTIAL")),"Y","N")</f>
        <v/>
      </c>
      <c r="L11" s="57">
        <f>IF(K11="Y","IMPORT_READY","HOLD")</f>
        <v/>
      </c>
    </row>
    <row r="12" ht="22" customHeight="1" s="9">
      <c r="A12" s="50" t="inlineStr">
        <is>
          <t>MRQ-2026-0710-011</t>
        </is>
      </c>
      <c r="B12" s="50" t="inlineStr">
        <is>
          <t>NHG-MRQ-2026-07-011</t>
        </is>
      </c>
      <c r="C12" s="50" t="inlineStr">
        <is>
          <t>CUST-1010</t>
        </is>
      </c>
      <c r="D12" s="50" t="inlineStr">
        <is>
          <t>ACCT-7710</t>
        </is>
      </c>
      <c r="E12" s="50" t="inlineStr">
        <is>
          <t>W-5510</t>
        </is>
      </c>
      <c r="F12" s="50" t="inlineStr">
        <is>
          <t>WH-KNOB-110</t>
        </is>
      </c>
      <c r="G12" s="56" t="n">
        <v>4</v>
      </c>
      <c r="H12" s="50" t="inlineStr">
        <is>
          <t>SHIP-1010</t>
        </is>
      </c>
      <c r="I12" s="50" t="inlineStr">
        <is>
          <t>CLEAR</t>
        </is>
      </c>
      <c r="J12" s="50" t="n"/>
      <c r="K12" s="56">
        <f>IF(AND(G12&gt;0,I12="CLEAR",OR(J12="",J12="QTY_CAP_PARTIAL")),"Y","N")</f>
        <v/>
      </c>
      <c r="L12" s="56">
        <f>IF(K12="Y","IMPORT_READY","HOLD")</f>
        <v/>
      </c>
    </row>
    <row r="13" ht="22" customHeight="1" s="9">
      <c r="A13" s="52" t="inlineStr">
        <is>
          <t>MRQ-2026-0710-012</t>
        </is>
      </c>
      <c r="B13" s="52" t="inlineStr">
        <is>
          <t>NHG-MRQ-2026-07-012</t>
        </is>
      </c>
      <c r="C13" s="52" t="inlineStr">
        <is>
          <t>CUST-1011</t>
        </is>
      </c>
      <c r="D13" s="52" t="inlineStr">
        <is>
          <t>ACCT-7711</t>
        </is>
      </c>
      <c r="E13" s="52" t="inlineStr">
        <is>
          <t>W-5511</t>
        </is>
      </c>
      <c r="F13" s="52" t="inlineStr">
        <is>
          <t>WH-SHELF-310</t>
        </is>
      </c>
      <c r="G13" s="57" t="n">
        <v>1</v>
      </c>
      <c r="H13" s="52" t="inlineStr">
        <is>
          <t>SHIP-1011</t>
        </is>
      </c>
      <c r="I13" s="52" t="inlineStr">
        <is>
          <t>CLEAR</t>
        </is>
      </c>
      <c r="J13" s="52" t="inlineStr">
        <is>
          <t>QTY_CAP_PARTIAL</t>
        </is>
      </c>
      <c r="K13" s="57">
        <f>IF(AND(G13&gt;0,I13="CLEAR",OR(J13="",J13="QTY_CAP_PARTIAL")),"Y","N")</f>
        <v/>
      </c>
      <c r="L13" s="57">
        <f>IF(K13="Y","IMPORT_READY","HOLD")</f>
        <v/>
      </c>
    </row>
    <row r="14" ht="22" customHeight="1" s="9">
      <c r="A14" s="50" t="inlineStr">
        <is>
          <t>MRQ-2026-0710-013</t>
        </is>
      </c>
      <c r="B14" s="50" t="inlineStr">
        <is>
          <t>NHG-MRQ-2026-07-013</t>
        </is>
      </c>
      <c r="C14" s="50" t="inlineStr">
        <is>
          <t>CUST-1012</t>
        </is>
      </c>
      <c r="D14" s="50" t="inlineStr">
        <is>
          <t>ACCT-7712</t>
        </is>
      </c>
      <c r="E14" s="50" t="inlineStr">
        <is>
          <t>W-5512</t>
        </is>
      </c>
      <c r="F14" s="50" t="inlineStr">
        <is>
          <t>SP-ADAPT-KIT</t>
        </is>
      </c>
      <c r="G14" s="56" t="n">
        <v>2</v>
      </c>
      <c r="H14" s="50" t="inlineStr">
        <is>
          <t>SHIP-1012</t>
        </is>
      </c>
      <c r="I14" s="50" t="inlineStr">
        <is>
          <t>CLEAR</t>
        </is>
      </c>
      <c r="J14" s="50" t="inlineStr">
        <is>
          <t>SPECIAL_FEASIBILITY</t>
        </is>
      </c>
      <c r="K14" s="56">
        <f>IF(AND(G14&gt;0,I14="CLEAR",OR(J14="",J14="QTY_CAP_PARTIAL")),"Y","N")</f>
        <v/>
      </c>
      <c r="L14" s="56">
        <f>IF(K14="Y","IMPORT_READY","HOLD")</f>
        <v/>
      </c>
    </row>
    <row r="15" ht="22" customHeight="1" s="9">
      <c r="A15" s="52" t="inlineStr">
        <is>
          <t>MRQ-2026-0710-014</t>
        </is>
      </c>
      <c r="B15" s="52" t="inlineStr">
        <is>
          <t>NHG-MRQ-2026-07-014</t>
        </is>
      </c>
      <c r="C15" s="52" t="inlineStr">
        <is>
          <t>CUST-1013</t>
        </is>
      </c>
      <c r="D15" s="52" t="inlineStr">
        <is>
          <t>ACCT-7713</t>
        </is>
      </c>
      <c r="E15" s="52" t="inlineStr">
        <is>
          <t>W-5513</t>
        </is>
      </c>
      <c r="F15" s="52" t="n"/>
      <c r="G15" s="57" t="n">
        <v>0</v>
      </c>
      <c r="H15" s="52" t="inlineStr">
        <is>
          <t>SHIP-1013</t>
        </is>
      </c>
      <c r="I15" s="52" t="inlineStr">
        <is>
          <t>CLEAR</t>
        </is>
      </c>
      <c r="J15" s="52" t="inlineStr">
        <is>
          <t>UNCLEAR_PRODUCT</t>
        </is>
      </c>
      <c r="K15" s="57">
        <f>IF(AND(G15&gt;0,I15="CLEAR",OR(J15="",J15="QTY_CAP_PARTIAL")),"Y","N")</f>
        <v/>
      </c>
      <c r="L15" s="57">
        <f>IF(K15="Y","IMPORT_READY","HOLD")</f>
        <v/>
      </c>
    </row>
    <row r="16" ht="22" customHeight="1" s="9">
      <c r="A16" s="50" t="inlineStr">
        <is>
          <t>MRQ-2026-0710-015</t>
        </is>
      </c>
      <c r="B16" s="50" t="inlineStr">
        <is>
          <t>NHG-MRQ-2026-07-015</t>
        </is>
      </c>
      <c r="C16" s="50" t="inlineStr">
        <is>
          <t>CUST-1014</t>
        </is>
      </c>
      <c r="D16" s="50" t="inlineStr">
        <is>
          <t>ACCT-7714</t>
        </is>
      </c>
      <c r="E16" s="50" t="inlineStr">
        <is>
          <t>W-5514</t>
        </is>
      </c>
      <c r="F16" s="50" t="inlineStr">
        <is>
          <t>WH-GASK-410</t>
        </is>
      </c>
      <c r="G16" s="56" t="n">
        <v>1</v>
      </c>
      <c r="H16" s="50" t="inlineStr">
        <is>
          <t>SHIP-1014</t>
        </is>
      </c>
      <c r="I16" s="50" t="inlineStr">
        <is>
          <t>CLEAR</t>
        </is>
      </c>
      <c r="J16" s="50" t="n"/>
      <c r="K16" s="56">
        <f>IF(AND(G16&gt;0,I16="CLEAR",OR(J16="",J16="QTY_CAP_PARTIAL")),"Y","N")</f>
        <v/>
      </c>
      <c r="L16" s="56">
        <f>IF(K16="Y","IMPORT_READY","HOLD")</f>
        <v/>
      </c>
    </row>
    <row r="17" ht="22" customHeight="1" s="9">
      <c r="A17" s="52" t="inlineStr">
        <is>
          <t>MRQ-2026-0710-016</t>
        </is>
      </c>
      <c r="B17" s="52" t="inlineStr">
        <is>
          <t>NHG-MRQ-2026-07-016</t>
        </is>
      </c>
      <c r="C17" s="52" t="inlineStr">
        <is>
          <t>CUST-1015</t>
        </is>
      </c>
      <c r="D17" s="52" t="inlineStr">
        <is>
          <t>ACCT-7715</t>
        </is>
      </c>
      <c r="E17" s="52" t="inlineStr">
        <is>
          <t>W-5515</t>
        </is>
      </c>
      <c r="F17" s="52" t="inlineStr">
        <is>
          <t>WH-MOTOR-660</t>
        </is>
      </c>
      <c r="G17" s="57" t="n">
        <v>0</v>
      </c>
      <c r="H17" s="52" t="inlineStr">
        <is>
          <t>SHIP-1015</t>
        </is>
      </c>
      <c r="I17" s="52" t="inlineStr">
        <is>
          <t>CLEAR</t>
        </is>
      </c>
      <c r="J17" s="52" t="inlineStr">
        <is>
          <t>FAMILY_NOT_COVERED</t>
        </is>
      </c>
      <c r="K17" s="57">
        <f>IF(AND(G17&gt;0,I17="CLEAR",OR(J17="",J17="QTY_CAP_PARTIAL")),"Y","N")</f>
        <v/>
      </c>
      <c r="L17" s="57">
        <f>IF(K17="Y","IMPORT_READY","HOLD")</f>
        <v/>
      </c>
    </row>
    <row r="18" ht="22" customHeight="1" s="9">
      <c r="A18" s="50" t="inlineStr">
        <is>
          <t>MRQ-2026-0710-017</t>
        </is>
      </c>
      <c r="B18" s="50" t="inlineStr">
        <is>
          <t>NHG-MRQ-2026-07-017</t>
        </is>
      </c>
      <c r="C18" s="50" t="inlineStr">
        <is>
          <t>CUST-1016</t>
        </is>
      </c>
      <c r="D18" s="50" t="inlineStr">
        <is>
          <t>ACCT-7716</t>
        </is>
      </c>
      <c r="E18" s="50" t="inlineStr">
        <is>
          <t>W-5516</t>
        </is>
      </c>
      <c r="F18" s="50" t="inlineStr">
        <is>
          <t>WH-LEG-700</t>
        </is>
      </c>
      <c r="G18" s="56" t="n">
        <v>2</v>
      </c>
      <c r="H18" s="50" t="inlineStr">
        <is>
          <t>SHIP-1016</t>
        </is>
      </c>
      <c r="I18" s="50" t="inlineStr">
        <is>
          <t>CLEAR</t>
        </is>
      </c>
      <c r="J18" s="50" t="inlineStr">
        <is>
          <t>BACKORDER</t>
        </is>
      </c>
      <c r="K18" s="56">
        <f>IF(AND(G18&gt;0,I18="CLEAR",OR(J18="",J18="QTY_CAP_PARTIAL")),"Y","N")</f>
        <v/>
      </c>
      <c r="L18" s="56">
        <f>IF(K18="Y","IMPORT_READY","HOLD")</f>
        <v/>
      </c>
    </row>
    <row r="19" ht="22" customHeight="1" s="9">
      <c r="A19" s="52" t="inlineStr">
        <is>
          <t>MRQ-2026-0710-018</t>
        </is>
      </c>
      <c r="B19" s="52" t="inlineStr">
        <is>
          <t>NHG-MRQ-2026-07-018</t>
        </is>
      </c>
      <c r="C19" s="52" t="inlineStr">
        <is>
          <t>CUST-1017</t>
        </is>
      </c>
      <c r="D19" s="52" t="inlineStr">
        <is>
          <t>ACCT-7717</t>
        </is>
      </c>
      <c r="E19" s="52" t="inlineStr">
        <is>
          <t>W-5517</t>
        </is>
      </c>
      <c r="F19" s="52" t="inlineStr">
        <is>
          <t>SP-FINISH-MATCH</t>
        </is>
      </c>
      <c r="G19" s="57" t="n">
        <v>1</v>
      </c>
      <c r="H19" s="52" t="inlineStr">
        <is>
          <t>SHIP-1017</t>
        </is>
      </c>
      <c r="I19" s="52" t="inlineStr">
        <is>
          <t>CLEAR</t>
        </is>
      </c>
      <c r="J19" s="52" t="inlineStr">
        <is>
          <t>SPECIAL_NONSTARTER</t>
        </is>
      </c>
      <c r="K19" s="57">
        <f>IF(AND(G19&gt;0,I19="CLEAR",OR(J19="",J19="QTY_CAP_PARTIAL")),"Y","N")</f>
        <v/>
      </c>
      <c r="L19" s="57">
        <f>IF(K19="Y","IMPORT_READY","HOLD")</f>
        <v/>
      </c>
    </row>
  </sheetData>
  <autoFilter ref="A1:L19"/>
  <printOptions horizontalCentered="1" verticalCentered="0" headings="0" gridLines="0" gridLinesSet="1"/>
  <pageMargins left="0.25" right="0.25" top="0.35" bottom="0.35" header="0.15" footer="0.15"/>
  <pageSetup orientation="landscape" paperSize="8" fitToHeight="1" fitToWidth="2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P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8" min="1" max="1"/>
    <col width="18" customWidth="1" style="8" min="2" max="2"/>
    <col width="23" customWidth="1" style="8" min="3" max="3"/>
    <col width="25" customWidth="1" style="8" min="4" max="4"/>
    <col width="15" customWidth="1" style="8" min="5" max="5"/>
    <col width="14" customWidth="1" style="8" min="6" max="6"/>
    <col width="15" customWidth="1" style="8" min="7" max="7"/>
    <col width="14" customWidth="1" style="8" min="8" max="8"/>
    <col width="17" customWidth="1" style="8" min="9" max="9"/>
    <col width="12" customWidth="1" style="8" min="10" max="10"/>
    <col width="14" customWidth="1" style="8" min="11" max="11"/>
    <col width="15" customWidth="1" style="8" min="12" max="12"/>
    <col width="12" customWidth="1" style="8" min="13" max="13"/>
    <col width="23" customWidth="1" style="8" min="14" max="14"/>
    <col width="17" customWidth="1" style="8" min="15" max="15"/>
    <col width="28" customWidth="1" style="8" min="16" max="16"/>
  </cols>
  <sheetData>
    <row r="1" ht="29" customHeight="1" s="9">
      <c r="A1" s="49" t="inlineStr">
        <is>
          <t>Batch_ID</t>
        </is>
      </c>
      <c r="B1" s="49" t="inlineStr">
        <is>
          <t>Import_Row_ID</t>
        </is>
      </c>
      <c r="C1" s="49" t="inlineStr">
        <is>
          <t>Case_ID</t>
        </is>
      </c>
      <c r="D1" s="49" t="inlineStr">
        <is>
          <t>Source_Corr_ID</t>
        </is>
      </c>
      <c r="E1" s="49" t="inlineStr">
        <is>
          <t>Customer_ID</t>
        </is>
      </c>
      <c r="F1" s="49" t="inlineStr">
        <is>
          <t>Account_ID</t>
        </is>
      </c>
      <c r="G1" s="49" t="inlineStr">
        <is>
          <t>Warranty_ID</t>
        </is>
      </c>
      <c r="H1" s="49" t="inlineStr">
        <is>
          <t>Ship_To_ID</t>
        </is>
      </c>
      <c r="I1" s="49" t="inlineStr">
        <is>
          <t>Resolved_SKU</t>
        </is>
      </c>
      <c r="J1" s="49" t="inlineStr">
        <is>
          <t>Quantity</t>
        </is>
      </c>
      <c r="K1" s="49" t="inlineStr">
        <is>
          <t>Unit_Price</t>
        </is>
      </c>
      <c r="L1" s="49" t="inlineStr">
        <is>
          <t>Line_Value</t>
        </is>
      </c>
      <c r="M1" s="49" t="inlineStr">
        <is>
          <t>Currency</t>
        </is>
      </c>
      <c r="N1" s="49" t="inlineStr">
        <is>
          <t>Requested_Date</t>
        </is>
      </c>
      <c r="O1" s="49" t="inlineStr">
        <is>
          <t>Requested_By</t>
        </is>
      </c>
      <c r="P1" s="49" t="inlineStr">
        <is>
          <t>Order_Action_Status</t>
        </is>
      </c>
    </row>
    <row r="2" ht="22" customHeight="1" s="9">
      <c r="A2" s="50" t="inlineStr">
        <is>
          <t>MRQ-2026-07-10</t>
        </is>
      </c>
      <c r="B2" s="50" t="inlineStr">
        <is>
          <t>IMP-001</t>
        </is>
      </c>
      <c r="C2" s="50" t="inlineStr">
        <is>
          <t>MRQ-2026-0710-001</t>
        </is>
      </c>
      <c r="D2" s="50" t="inlineStr">
        <is>
          <t>NHG-MRQ-2026-07-001</t>
        </is>
      </c>
      <c r="E2" s="50" t="inlineStr">
        <is>
          <t>CUST-1001</t>
        </is>
      </c>
      <c r="F2" s="50" t="inlineStr">
        <is>
          <t>ACCT-7701</t>
        </is>
      </c>
      <c r="G2" s="50" t="inlineStr">
        <is>
          <t>W-5501</t>
        </is>
      </c>
      <c r="H2" s="50" t="inlineStr">
        <is>
          <t>SHIP-1001</t>
        </is>
      </c>
      <c r="I2" s="50" t="inlineStr">
        <is>
          <t>WH-FLTR-200</t>
        </is>
      </c>
      <c r="J2" s="58" t="n">
        <v>2</v>
      </c>
      <c r="K2" s="59" t="n">
        <v>24</v>
      </c>
      <c r="L2" s="59">
        <f>J2*K2</f>
        <v/>
      </c>
      <c r="M2" s="50" t="inlineStr">
        <is>
          <t>USD</t>
        </is>
      </c>
      <c r="N2" s="60" t="n">
        <v>46213</v>
      </c>
      <c r="O2" s="50" t="inlineStr">
        <is>
          <t>ALOPEZ</t>
        </is>
      </c>
      <c r="P2" s="50" t="inlineStr">
        <is>
          <t>ORDER_REQUEST_PREPARED</t>
        </is>
      </c>
    </row>
    <row r="3" ht="22" customHeight="1" s="9">
      <c r="A3" s="52" t="inlineStr">
        <is>
          <t>MRQ-2026-07-10</t>
        </is>
      </c>
      <c r="B3" s="52" t="inlineStr">
        <is>
          <t>IMP-002</t>
        </is>
      </c>
      <c r="C3" s="52" t="inlineStr">
        <is>
          <t>MRQ-2026-0710-002</t>
        </is>
      </c>
      <c r="D3" s="52" t="inlineStr">
        <is>
          <t>NHG-MRQ-2026-07-002</t>
        </is>
      </c>
      <c r="E3" s="52" t="inlineStr">
        <is>
          <t>CUST-1002</t>
        </is>
      </c>
      <c r="F3" s="52" t="inlineStr">
        <is>
          <t>ACCT-7702</t>
        </is>
      </c>
      <c r="G3" s="52" t="inlineStr">
        <is>
          <t>W-5502</t>
        </is>
      </c>
      <c r="H3" s="52" t="inlineStr">
        <is>
          <t>SHIP-1002</t>
        </is>
      </c>
      <c r="I3" s="52" t="inlineStr">
        <is>
          <t>WH-HINGE-520</t>
        </is>
      </c>
      <c r="J3" s="61" t="n">
        <v>1</v>
      </c>
      <c r="K3" s="62" t="n">
        <v>14.75</v>
      </c>
      <c r="L3" s="62">
        <f>J3*K3</f>
        <v/>
      </c>
      <c r="M3" s="52" t="inlineStr">
        <is>
          <t>USD</t>
        </is>
      </c>
      <c r="N3" s="63" t="n">
        <v>46213</v>
      </c>
      <c r="O3" s="52" t="inlineStr">
        <is>
          <t>MCHEN</t>
        </is>
      </c>
      <c r="P3" s="52" t="inlineStr">
        <is>
          <t>ORDER_REQUEST_PREPARED</t>
        </is>
      </c>
    </row>
    <row r="4" ht="22" customHeight="1" s="9">
      <c r="A4" s="50" t="inlineStr">
        <is>
          <t>MRQ-2026-07-10</t>
        </is>
      </c>
      <c r="B4" s="50" t="inlineStr">
        <is>
          <t>IMP-003</t>
        </is>
      </c>
      <c r="C4" s="50" t="inlineStr">
        <is>
          <t>MRQ-2026-0710-011</t>
        </is>
      </c>
      <c r="D4" s="50" t="inlineStr">
        <is>
          <t>NHG-MRQ-2026-07-011</t>
        </is>
      </c>
      <c r="E4" s="50" t="inlineStr">
        <is>
          <t>CUST-1010</t>
        </is>
      </c>
      <c r="F4" s="50" t="inlineStr">
        <is>
          <t>ACCT-7710</t>
        </is>
      </c>
      <c r="G4" s="50" t="inlineStr">
        <is>
          <t>W-5510</t>
        </is>
      </c>
      <c r="H4" s="50" t="inlineStr">
        <is>
          <t>SHIP-1010</t>
        </is>
      </c>
      <c r="I4" s="50" t="inlineStr">
        <is>
          <t>WH-KNOB-110</t>
        </is>
      </c>
      <c r="J4" s="58" t="n">
        <v>4</v>
      </c>
      <c r="K4" s="59" t="n">
        <v>9.5</v>
      </c>
      <c r="L4" s="59">
        <f>J4*K4</f>
        <v/>
      </c>
      <c r="M4" s="50" t="inlineStr">
        <is>
          <t>USD</t>
        </is>
      </c>
      <c r="N4" s="60" t="n">
        <v>46213</v>
      </c>
      <c r="O4" s="50" t="inlineStr">
        <is>
          <t>RPATEL</t>
        </is>
      </c>
      <c r="P4" s="50" t="inlineStr">
        <is>
          <t>ORDER_REQUEST_PREPARED</t>
        </is>
      </c>
    </row>
    <row r="5" ht="22" customHeight="1" s="9">
      <c r="A5" s="52" t="inlineStr">
        <is>
          <t>MRQ-2026-07-10</t>
        </is>
      </c>
      <c r="B5" s="52" t="inlineStr">
        <is>
          <t>IMP-004</t>
        </is>
      </c>
      <c r="C5" s="52" t="inlineStr">
        <is>
          <t>MRQ-2026-0710-012</t>
        </is>
      </c>
      <c r="D5" s="52" t="inlineStr">
        <is>
          <t>NHG-MRQ-2026-07-012</t>
        </is>
      </c>
      <c r="E5" s="52" t="inlineStr">
        <is>
          <t>CUST-1011</t>
        </is>
      </c>
      <c r="F5" s="52" t="inlineStr">
        <is>
          <t>ACCT-7711</t>
        </is>
      </c>
      <c r="G5" s="52" t="inlineStr">
        <is>
          <t>W-5511</t>
        </is>
      </c>
      <c r="H5" s="52" t="inlineStr">
        <is>
          <t>SHIP-1011</t>
        </is>
      </c>
      <c r="I5" s="52" t="inlineStr">
        <is>
          <t>WH-SHELF-310</t>
        </is>
      </c>
      <c r="J5" s="61" t="n">
        <v>1</v>
      </c>
      <c r="K5" s="62" t="n">
        <v>32</v>
      </c>
      <c r="L5" s="62">
        <f>J5*K5</f>
        <v/>
      </c>
      <c r="M5" s="52" t="inlineStr">
        <is>
          <t>USD</t>
        </is>
      </c>
      <c r="N5" s="63" t="n">
        <v>46213</v>
      </c>
      <c r="O5" s="52" t="inlineStr">
        <is>
          <t>JPARK</t>
        </is>
      </c>
      <c r="P5" s="52" t="inlineStr">
        <is>
          <t>ORDER_REQUEST_PREPARED</t>
        </is>
      </c>
    </row>
    <row r="6" ht="22" customHeight="1" s="9">
      <c r="A6" s="50" t="inlineStr">
        <is>
          <t>MRQ-2026-07-10</t>
        </is>
      </c>
      <c r="B6" s="50" t="inlineStr">
        <is>
          <t>IMP-005</t>
        </is>
      </c>
      <c r="C6" s="50" t="inlineStr">
        <is>
          <t>MRQ-2026-0710-015</t>
        </is>
      </c>
      <c r="D6" s="50" t="inlineStr">
        <is>
          <t>NHG-MRQ-2026-07-015</t>
        </is>
      </c>
      <c r="E6" s="50" t="inlineStr">
        <is>
          <t>CUST-1014</t>
        </is>
      </c>
      <c r="F6" s="50" t="inlineStr">
        <is>
          <t>ACCT-7714</t>
        </is>
      </c>
      <c r="G6" s="50" t="inlineStr">
        <is>
          <t>W-5514</t>
        </is>
      </c>
      <c r="H6" s="50" t="inlineStr">
        <is>
          <t>SHIP-1014</t>
        </is>
      </c>
      <c r="I6" s="50" t="inlineStr">
        <is>
          <t>WH-GASK-410</t>
        </is>
      </c>
      <c r="J6" s="58" t="n">
        <v>1</v>
      </c>
      <c r="K6" s="59" t="n">
        <v>18.25</v>
      </c>
      <c r="L6" s="59">
        <f>J6*K6</f>
        <v/>
      </c>
      <c r="M6" s="50" t="inlineStr">
        <is>
          <t>USD</t>
        </is>
      </c>
      <c r="N6" s="60" t="n">
        <v>46213</v>
      </c>
      <c r="O6" s="50" t="inlineStr">
        <is>
          <t>RPATEL</t>
        </is>
      </c>
      <c r="P6" s="50" t="inlineStr">
        <is>
          <t>ORDER_REQUEST_PREPARED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P6"/>
  <printOptions horizontalCentered="1" verticalCentered="0" headings="0" gridLines="0" gridLinesSet="1"/>
  <pageMargins left="0.25" right="0.25" top="0.35" bottom="0.35" header="0.15" footer="0.15"/>
  <pageSetup orientation="landscape" paperSize="8" fitToHeight="1" fitToWidth="2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8" min="1" max="1"/>
    <col width="25" customWidth="1" style="8" min="2" max="2"/>
    <col width="34" customWidth="1" style="8" min="3" max="3"/>
    <col width="27" customWidth="1" style="8" min="4" max="5"/>
    <col width="25" customWidth="1" style="9" min="5" max="5"/>
    <col width="18" customWidth="1" style="8" min="6" max="6"/>
  </cols>
  <sheetData>
    <row r="1" ht="29" customHeight="1" s="9">
      <c r="A1" s="49" t="inlineStr">
        <is>
          <t>Case_ID</t>
        </is>
      </c>
      <c r="B1" s="49" t="inlineStr">
        <is>
          <t>Source_Corr_ID</t>
        </is>
      </c>
      <c r="C1" s="49" t="inlineStr">
        <is>
          <t>Hold_Reason</t>
        </is>
      </c>
      <c r="D1" s="49" t="inlineStr">
        <is>
          <t>Response_Type_Code</t>
        </is>
      </c>
      <c r="E1" s="49" t="inlineStr">
        <is>
          <t>Next_Action_Owner</t>
        </is>
      </c>
      <c r="F1" s="49" t="inlineStr">
        <is>
          <t>Held_Quantity</t>
        </is>
      </c>
    </row>
    <row r="2" ht="22" customHeight="1" s="9">
      <c r="A2" s="50" t="inlineStr">
        <is>
          <t>MRQ-2026-0710-003</t>
        </is>
      </c>
      <c r="B2" s="50" t="inlineStr">
        <is>
          <t>NHG-MRQ-2026-07-003</t>
        </is>
      </c>
      <c r="C2" s="50" t="inlineStr">
        <is>
          <t>BACKORDER</t>
        </is>
      </c>
      <c r="D2" s="50" t="inlineStr">
        <is>
          <t>R_BACKORDER_NOTICE</t>
        </is>
      </c>
      <c r="E2" s="50" t="inlineStr">
        <is>
          <t>Inventory planning</t>
        </is>
      </c>
      <c r="F2" s="58" t="n">
        <v>1</v>
      </c>
    </row>
    <row r="3" ht="22" customHeight="1" s="9">
      <c r="A3" s="52" t="inlineStr">
        <is>
          <t>MRQ-2026-0710-004</t>
        </is>
      </c>
      <c r="B3" s="52" t="inlineStr">
        <is>
          <t>NHG-MRQ-2026-07-004</t>
        </is>
      </c>
      <c r="C3" s="52" t="inlineStr">
        <is>
          <t>EXPIRED_ENTITLEMENT</t>
        </is>
      </c>
      <c r="D3" s="52" t="inlineStr">
        <is>
          <t>R_INELIGIBLE</t>
        </is>
      </c>
      <c r="E3" s="52" t="inlineStr">
        <is>
          <t>Customer</t>
        </is>
      </c>
      <c r="F3" s="61" t="n">
        <v>2</v>
      </c>
    </row>
    <row r="4" ht="22" customHeight="1" s="9">
      <c r="A4" s="50" t="inlineStr">
        <is>
          <t>MRQ-2026-0710-005</t>
        </is>
      </c>
      <c r="B4" s="50" t="inlineStr">
        <is>
          <t>NHG-MRQ-2026-07-005</t>
        </is>
      </c>
      <c r="C4" s="50" t="inlineStr">
        <is>
          <t>SPECIAL_FEASIBILITY</t>
        </is>
      </c>
      <c r="D4" s="50" t="inlineStr">
        <is>
          <t>R_SPECIAL_ACK</t>
        </is>
      </c>
      <c r="E4" s="50" t="inlineStr">
        <is>
          <t>Special-product owner</t>
        </is>
      </c>
      <c r="F4" s="58" t="n">
        <v>1</v>
      </c>
    </row>
    <row r="5" ht="22" customHeight="1" s="9">
      <c r="A5" s="52" t="inlineStr">
        <is>
          <t>MRQ-2026-0710-006</t>
        </is>
      </c>
      <c r="B5" s="52" t="inlineStr">
        <is>
          <t>NHG-MRQ-2026-07-006</t>
        </is>
      </c>
      <c r="C5" s="52" t="inlineStr">
        <is>
          <t>CREDIT_HOLD</t>
        </is>
      </c>
      <c r="D5" s="52" t="inlineStr">
        <is>
          <t>R_CREDIT_HOLD</t>
        </is>
      </c>
      <c r="E5" s="52" t="inlineStr">
        <is>
          <t>Credit desk</t>
        </is>
      </c>
      <c r="F5" s="61" t="n">
        <v>1</v>
      </c>
    </row>
    <row r="6" ht="22" customHeight="1" s="9">
      <c r="A6" s="50" t="inlineStr">
        <is>
          <t>MRQ-2026-0710-007</t>
        </is>
      </c>
      <c r="B6" s="50" t="inlineStr">
        <is>
          <t>NHG-MRQ-2026-07-007</t>
        </is>
      </c>
      <c r="C6" s="50" t="inlineStr">
        <is>
          <t>MISSING_PROOF</t>
        </is>
      </c>
      <c r="D6" s="50" t="inlineStr">
        <is>
          <t>R_MISSING_PROOF</t>
        </is>
      </c>
      <c r="E6" s="50" t="inlineStr">
        <is>
          <t>Customer</t>
        </is>
      </c>
      <c r="F6" s="58" t="n">
        <v>1</v>
      </c>
    </row>
    <row r="7" ht="22" customHeight="1" s="9">
      <c r="A7" s="52" t="inlineStr">
        <is>
          <t>MRQ-2026-0710-008</t>
        </is>
      </c>
      <c r="B7" s="52" t="inlineStr">
        <is>
          <t>NHG-MRQ-2026-07-008</t>
        </is>
      </c>
      <c r="C7" s="52" t="inlineStr">
        <is>
          <t>INVALID_ADDRESS</t>
        </is>
      </c>
      <c r="D7" s="52" t="inlineStr">
        <is>
          <t>R_ADDRESS_FIX</t>
        </is>
      </c>
      <c r="E7" s="52" t="inlineStr">
        <is>
          <t>Customer</t>
        </is>
      </c>
      <c r="F7" s="61" t="n">
        <v>1</v>
      </c>
    </row>
    <row r="8" ht="22" customHeight="1" s="9">
      <c r="A8" s="50" t="inlineStr">
        <is>
          <t>MRQ-2026-0710-009</t>
        </is>
      </c>
      <c r="B8" s="50" t="inlineStr">
        <is>
          <t>NHG-MRQ-2026-07-009</t>
        </is>
      </c>
      <c r="C8" s="50" t="inlineStr">
        <is>
          <t>DISCONTINUED_NO_REPLACEMENT</t>
        </is>
      </c>
      <c r="D8" s="50" t="inlineStr">
        <is>
          <t>R_UNAVAILABLE</t>
        </is>
      </c>
      <c r="E8" s="50" t="inlineStr">
        <is>
          <t>Customer</t>
        </is>
      </c>
      <c r="F8" s="58" t="n">
        <v>1</v>
      </c>
    </row>
    <row r="9" ht="22" customHeight="1" s="9">
      <c r="A9" s="52" t="inlineStr">
        <is>
          <t>MRQ-2026-0710-010</t>
        </is>
      </c>
      <c r="B9" s="52" t="inlineStr">
        <is>
          <t>NHG-MRQ-2026-07-010</t>
        </is>
      </c>
      <c r="C9" s="52" t="inlineStr">
        <is>
          <t>DUPLICATE_REQUEST</t>
        </is>
      </c>
      <c r="D9" s="52" t="inlineStr">
        <is>
          <t>R_DUPLICATE</t>
        </is>
      </c>
      <c r="E9" s="52" t="inlineStr">
        <is>
          <t>Customer</t>
        </is>
      </c>
      <c r="F9" s="61" t="n">
        <v>2</v>
      </c>
    </row>
    <row r="10" ht="22" customHeight="1" s="9">
      <c r="A10" s="50" t="inlineStr">
        <is>
          <t>MRQ-2026-0710-012</t>
        </is>
      </c>
      <c r="B10" s="50" t="inlineStr">
        <is>
          <t>NHG-MRQ-2026-07-012</t>
        </is>
      </c>
      <c r="C10" s="50" t="inlineStr">
        <is>
          <t>QTY_CAP_PARTIAL_REMAINDER</t>
        </is>
      </c>
      <c r="D10" s="50" t="inlineStr">
        <is>
          <t>R_PARTIAL_STANDARD</t>
        </is>
      </c>
      <c r="E10" s="50" t="inlineStr">
        <is>
          <t>Customer</t>
        </is>
      </c>
      <c r="F10" s="58" t="n">
        <v>2</v>
      </c>
    </row>
    <row r="11" ht="22" customHeight="1" s="9">
      <c r="A11" s="52" t="inlineStr">
        <is>
          <t>MRQ-2026-0710-013</t>
        </is>
      </c>
      <c r="B11" s="52" t="inlineStr">
        <is>
          <t>NHG-MRQ-2026-07-013</t>
        </is>
      </c>
      <c r="C11" s="52" t="inlineStr">
        <is>
          <t>SPECIAL_FEASIBILITY</t>
        </is>
      </c>
      <c r="D11" s="52" t="inlineStr">
        <is>
          <t>R_SPECIAL_ACK</t>
        </is>
      </c>
      <c r="E11" s="52" t="inlineStr">
        <is>
          <t>Special-product owner</t>
        </is>
      </c>
      <c r="F11" s="61" t="n">
        <v>2</v>
      </c>
    </row>
    <row r="12" ht="22" customHeight="1" s="9">
      <c r="A12" s="50" t="inlineStr">
        <is>
          <t>MRQ-2026-0710-014</t>
        </is>
      </c>
      <c r="B12" s="50" t="inlineStr">
        <is>
          <t>NHG-MRQ-2026-07-014</t>
        </is>
      </c>
      <c r="C12" s="50" t="inlineStr">
        <is>
          <t>UNCLEAR_PRODUCT</t>
        </is>
      </c>
      <c r="D12" s="50" t="inlineStr">
        <is>
          <t>R_CLARIFICATION</t>
        </is>
      </c>
      <c r="E12" s="50" t="inlineStr">
        <is>
          <t>Customer</t>
        </is>
      </c>
      <c r="F12" s="58" t="n">
        <v>1</v>
      </c>
    </row>
    <row r="13" ht="22" customHeight="1" s="9">
      <c r="A13" s="52" t="inlineStr">
        <is>
          <t>MRQ-2026-0710-016</t>
        </is>
      </c>
      <c r="B13" s="52" t="inlineStr">
        <is>
          <t>NHG-MRQ-2026-07-016</t>
        </is>
      </c>
      <c r="C13" s="52" t="inlineStr">
        <is>
          <t>FAMILY_NOT_COVERED</t>
        </is>
      </c>
      <c r="D13" s="52" t="inlineStr">
        <is>
          <t>R_INELIGIBLE</t>
        </is>
      </c>
      <c r="E13" s="52" t="inlineStr">
        <is>
          <t>Customer</t>
        </is>
      </c>
      <c r="F13" s="61" t="n">
        <v>1</v>
      </c>
    </row>
    <row r="14" ht="22" customHeight="1" s="9">
      <c r="A14" s="50" t="inlineStr">
        <is>
          <t>MRQ-2026-0710-017</t>
        </is>
      </c>
      <c r="B14" s="50" t="inlineStr">
        <is>
          <t>NHG-MRQ-2026-07-017</t>
        </is>
      </c>
      <c r="C14" s="50" t="inlineStr">
        <is>
          <t>BACKORDER</t>
        </is>
      </c>
      <c r="D14" s="50" t="inlineStr">
        <is>
          <t>R_BACKORDER_NOTICE</t>
        </is>
      </c>
      <c r="E14" s="50" t="inlineStr">
        <is>
          <t>Inventory planning</t>
        </is>
      </c>
      <c r="F14" s="58" t="n">
        <v>2</v>
      </c>
    </row>
    <row r="15" ht="22" customHeight="1" s="9">
      <c r="A15" s="52" t="inlineStr">
        <is>
          <t>MRQ-2026-0710-018</t>
        </is>
      </c>
      <c r="B15" s="52" t="inlineStr">
        <is>
          <t>NHG-MRQ-2026-07-018</t>
        </is>
      </c>
      <c r="C15" s="52" t="inlineStr">
        <is>
          <t>SPECIAL_NONSTARTER</t>
        </is>
      </c>
      <c r="D15" s="52" t="inlineStr">
        <is>
          <t>R_SPECIAL_UNAVAILABLE</t>
        </is>
      </c>
      <c r="E15" s="52" t="inlineStr">
        <is>
          <t>Customer</t>
        </is>
      </c>
      <c r="F15" s="61" t="n">
        <v>1</v>
      </c>
    </row>
  </sheetData>
  <autoFilter ref="A1:F15"/>
  <printOptions horizontalCentered="1" verticalCentered="0" headings="0" gridLines="0" gridLinesSet="1"/>
  <pageMargins left="0.25" right="0.25" top="0.35" bottom="0.35" header="0.15" footer="0.15"/>
  <pageSetup orientation="landscape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8" min="1" max="1"/>
    <col width="34" customWidth="1" style="8" min="2" max="2"/>
    <col width="29" customWidth="1" style="8" min="3" max="3"/>
  </cols>
  <sheetData>
    <row r="1" ht="29" customHeight="1" s="9">
      <c r="A1" s="49" t="inlineStr">
        <is>
          <t>Case_ID</t>
        </is>
      </c>
      <c r="B1" s="49" t="inlineStr">
        <is>
          <t>Validation_Error</t>
        </is>
      </c>
      <c r="C1" s="49" t="inlineStr">
        <is>
          <t>Error_Detail</t>
        </is>
      </c>
    </row>
    <row r="2" ht="22" customHeight="1" s="9">
      <c r="A2" s="50" t="inlineStr">
        <is>
          <t>MRQ-2026-0710-003</t>
        </is>
      </c>
      <c r="B2" s="50" t="inlineStr">
        <is>
          <t>BACKORDER</t>
        </is>
      </c>
      <c r="C2" s="50" t="inlineStr">
        <is>
          <t>Excluded from Import_View</t>
        </is>
      </c>
    </row>
    <row r="3" ht="22" customHeight="1" s="9">
      <c r="A3" s="52" t="inlineStr">
        <is>
          <t>MRQ-2026-0710-004</t>
        </is>
      </c>
      <c r="B3" s="52" t="inlineStr">
        <is>
          <t>EXPIRED_ENTITLEMENT</t>
        </is>
      </c>
      <c r="C3" s="52" t="inlineStr">
        <is>
          <t>Excluded from Import_View</t>
        </is>
      </c>
    </row>
    <row r="4" ht="22" customHeight="1" s="9">
      <c r="A4" s="50" t="inlineStr">
        <is>
          <t>MRQ-2026-0710-005</t>
        </is>
      </c>
      <c r="B4" s="50" t="inlineStr">
        <is>
          <t>SPECIAL_FEASIBILITY</t>
        </is>
      </c>
      <c r="C4" s="50" t="inlineStr">
        <is>
          <t>Excluded from Import_View</t>
        </is>
      </c>
    </row>
    <row r="5" ht="22" customHeight="1" s="9">
      <c r="A5" s="52" t="inlineStr">
        <is>
          <t>MRQ-2026-0710-006</t>
        </is>
      </c>
      <c r="B5" s="52" t="inlineStr">
        <is>
          <t>CREDIT_HOLD</t>
        </is>
      </c>
      <c r="C5" s="52" t="inlineStr">
        <is>
          <t>Excluded from Import_View</t>
        </is>
      </c>
    </row>
    <row r="6" ht="22" customHeight="1" s="9">
      <c r="A6" s="50" t="inlineStr">
        <is>
          <t>MRQ-2026-0710-007</t>
        </is>
      </c>
      <c r="B6" s="50" t="inlineStr">
        <is>
          <t>MISSING_PROOF</t>
        </is>
      </c>
      <c r="C6" s="50" t="inlineStr">
        <is>
          <t>Excluded from Import_View</t>
        </is>
      </c>
    </row>
    <row r="7" ht="22" customHeight="1" s="9">
      <c r="A7" s="52" t="inlineStr">
        <is>
          <t>MRQ-2026-0710-008</t>
        </is>
      </c>
      <c r="B7" s="52" t="inlineStr">
        <is>
          <t>INVALID_ADDRESS</t>
        </is>
      </c>
      <c r="C7" s="52" t="inlineStr">
        <is>
          <t>Excluded from Import_View</t>
        </is>
      </c>
    </row>
    <row r="8" ht="22" customHeight="1" s="9">
      <c r="A8" s="50" t="inlineStr">
        <is>
          <t>MRQ-2026-0710-009</t>
        </is>
      </c>
      <c r="B8" s="50" t="inlineStr">
        <is>
          <t>DISCONTINUED_NO_REPLACEMENT</t>
        </is>
      </c>
      <c r="C8" s="50" t="inlineStr">
        <is>
          <t>Excluded from Import_View</t>
        </is>
      </c>
    </row>
    <row r="9" ht="22" customHeight="1" s="9">
      <c r="A9" s="52" t="inlineStr">
        <is>
          <t>MRQ-2026-0710-010</t>
        </is>
      </c>
      <c r="B9" s="52" t="inlineStr">
        <is>
          <t>DUPLICATE_REQUEST</t>
        </is>
      </c>
      <c r="C9" s="52" t="inlineStr">
        <is>
          <t>Excluded from Import_View</t>
        </is>
      </c>
    </row>
    <row r="10" ht="22" customHeight="1" s="9">
      <c r="A10" s="50" t="inlineStr">
        <is>
          <t>MRQ-2026-0710-013</t>
        </is>
      </c>
      <c r="B10" s="50" t="inlineStr">
        <is>
          <t>SPECIAL_FEASIBILITY</t>
        </is>
      </c>
      <c r="C10" s="50" t="inlineStr">
        <is>
          <t>Excluded from Import_View</t>
        </is>
      </c>
    </row>
    <row r="11" ht="22" customHeight="1" s="9">
      <c r="A11" s="52" t="inlineStr">
        <is>
          <t>MRQ-2026-0710-014</t>
        </is>
      </c>
      <c r="B11" s="52" t="inlineStr">
        <is>
          <t>UNCLEAR_PRODUCT</t>
        </is>
      </c>
      <c r="C11" s="52" t="inlineStr">
        <is>
          <t>Excluded from Import_View</t>
        </is>
      </c>
    </row>
    <row r="12" ht="22" customHeight="1" s="9">
      <c r="A12" s="50" t="inlineStr">
        <is>
          <t>MRQ-2026-0710-016</t>
        </is>
      </c>
      <c r="B12" s="50" t="inlineStr">
        <is>
          <t>FAMILY_NOT_COVERED</t>
        </is>
      </c>
      <c r="C12" s="50" t="inlineStr">
        <is>
          <t>Excluded from Import_View</t>
        </is>
      </c>
    </row>
    <row r="13" ht="22" customHeight="1" s="9">
      <c r="A13" s="52" t="inlineStr">
        <is>
          <t>MRQ-2026-0710-017</t>
        </is>
      </c>
      <c r="B13" s="52" t="inlineStr">
        <is>
          <t>BACKORDER</t>
        </is>
      </c>
      <c r="C13" s="52" t="inlineStr">
        <is>
          <t>Excluded from Import_View</t>
        </is>
      </c>
    </row>
    <row r="14" ht="22" customHeight="1" s="9">
      <c r="A14" s="50" t="inlineStr">
        <is>
          <t>MRQ-2026-0710-018</t>
        </is>
      </c>
      <c r="B14" s="50" t="inlineStr">
        <is>
          <t>SPECIAL_NONSTARTER</t>
        </is>
      </c>
      <c r="C14" s="50" t="inlineStr">
        <is>
          <t>Excluded from Import_View</t>
        </is>
      </c>
    </row>
  </sheetData>
  <autoFilter ref="A1:C14"/>
  <printOptions horizontalCentered="1" verticalCentered="0" headings="0" gridLines="0" gridLinesSet="1"/>
  <pageMargins left="0.25" right="0.25" top="0.35" bottom="0.35" header="0.15" footer="0.15"/>
  <pageSetup orientation="portrait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D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1" customWidth="1" style="8" min="1" max="1"/>
    <col width="15" customWidth="1" style="8" min="2" max="2"/>
    <col width="12" customWidth="1" style="8" min="3" max="3"/>
    <col width="15" customWidth="1" style="8" min="4" max="4"/>
  </cols>
  <sheetData>
    <row r="1" ht="29" customHeight="1" s="9">
      <c r="A1" s="49" t="inlineStr">
        <is>
          <t>Control_Name</t>
        </is>
      </c>
      <c r="B1" s="49" t="inlineStr">
        <is>
          <t>Actual</t>
        </is>
      </c>
      <c r="C1" s="49" t="inlineStr">
        <is>
          <t>Expected</t>
        </is>
      </c>
      <c r="D1" s="49" t="inlineStr">
        <is>
          <t>Status</t>
        </is>
      </c>
    </row>
    <row r="2" ht="22" customHeight="1" s="9">
      <c r="A2" s="50" t="inlineStr">
        <is>
          <t>Source cases</t>
        </is>
      </c>
      <c r="B2" s="58" t="n">
        <v>18</v>
      </c>
      <c r="C2" s="58" t="n">
        <v>18</v>
      </c>
      <c r="D2" s="56">
        <f>IF(B2=C2,"PASS","CHECK")</f>
        <v/>
      </c>
    </row>
    <row r="3" ht="22" customHeight="1" s="9">
      <c r="A3" s="52" t="inlineStr">
        <is>
          <t>Import row count</t>
        </is>
      </c>
      <c r="B3" s="57">
        <f>COUNTA(Import_View!C2:C6)</f>
        <v/>
      </c>
      <c r="C3" s="61" t="n">
        <v>5</v>
      </c>
      <c r="D3" s="57">
        <f>IF(B3=C3,"PASS","CHECK")</f>
        <v/>
      </c>
    </row>
    <row r="4" ht="22" customHeight="1" s="9">
      <c r="A4" s="50" t="inlineStr">
        <is>
          <t>Import quantity</t>
        </is>
      </c>
      <c r="B4" s="56">
        <f>SUM(Import_View!J2:J6)</f>
        <v/>
      </c>
      <c r="C4" s="58" t="n">
        <v>9</v>
      </c>
      <c r="D4" s="56">
        <f>IF(B4=C4,"PASS","CHECK")</f>
        <v/>
      </c>
    </row>
    <row r="5" ht="22" customHeight="1" s="9">
      <c r="A5" s="52" t="inlineStr">
        <is>
          <t>Import line value</t>
        </is>
      </c>
      <c r="B5" s="62">
        <f>SUM(Import_View!L2:L6)</f>
        <v/>
      </c>
      <c r="C5" s="62" t="n">
        <v>151</v>
      </c>
      <c r="D5" s="57">
        <f>IF(ROUND(B5,2)=ROUND(C5,2),"PASS","CHECK")</f>
        <v/>
      </c>
    </row>
    <row r="6" ht="22" customHeight="1" s="9">
      <c r="A6" s="50" t="inlineStr">
        <is>
          <t>Held row count</t>
        </is>
      </c>
      <c r="B6" s="56">
        <f>COUNTA(Held_Rows!A2:A15)</f>
        <v/>
      </c>
      <c r="C6" s="58" t="n">
        <v>14</v>
      </c>
      <c r="D6" s="56">
        <f>IF(B6=C6,"PASS","CHECK")</f>
        <v/>
      </c>
    </row>
  </sheetData>
  <autoFilter ref="A1:D6"/>
  <printOptions horizontalCentered="1" verticalCentered="0" headings="0" gridLines="0" gridLinesSet="1"/>
  <pageMargins left="0.25" right="0.25" top="0.35" bottom="0.35" header="0.15" footer="0.15"/>
  <pageSetup orientation="portrait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D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8" min="1" max="1"/>
    <col width="13" customWidth="1" style="8" min="2" max="2"/>
    <col width="38" customWidth="1" style="8" min="3" max="3"/>
    <col width="33" customWidth="1" style="8" min="4" max="4"/>
  </cols>
  <sheetData>
    <row r="1" ht="29" customHeight="1" s="9">
      <c r="A1" s="49" t="inlineStr">
        <is>
          <t>Timestamp</t>
        </is>
      </c>
      <c r="B1" s="49" t="inlineStr">
        <is>
          <t>Owner</t>
        </is>
      </c>
      <c r="C1" s="49" t="inlineStr">
        <is>
          <t>Change</t>
        </is>
      </c>
      <c r="D1" s="49" t="inlineStr">
        <is>
          <t>Completion_Claim</t>
        </is>
      </c>
    </row>
    <row r="2" ht="37" customHeight="1" s="9">
      <c r="A2" s="50" t="inlineStr">
        <is>
          <t>2026-07-10 16:45 UTC</t>
        </is>
      </c>
      <c r="B2" s="50" t="inlineStr">
        <is>
          <t>Ari Lopez</t>
        </is>
      </c>
      <c r="C2" s="51" t="inlineStr">
        <is>
          <t>Created standard order upload file from final register.</t>
        </is>
      </c>
      <c r="D2" s="50" t="inlineStr">
        <is>
          <t>Prepared for import only</t>
        </is>
      </c>
    </row>
    <row r="3" ht="37" customHeight="1" s="9">
      <c r="A3" s="52" t="inlineStr">
        <is>
          <t>2026-07-10 17:05 UTC</t>
        </is>
      </c>
      <c r="B3" s="52" t="inlineStr">
        <is>
          <t>Priya Nair</t>
        </is>
      </c>
      <c r="C3" s="53" t="inlineStr">
        <is>
          <t>Reviewed held rows and control totals.</t>
        </is>
      </c>
      <c r="D3" s="52" t="inlineStr">
        <is>
          <t>No upload completion claimed</t>
        </is>
      </c>
    </row>
  </sheetData>
  <autoFilter ref="A1:D3"/>
  <printOptions horizontalCentered="1" verticalCentered="0" headings="0" gridLines="0" gridLinesSet="1"/>
  <pageMargins left="0.25" right="0.25" top="0.35" bottom="0.35" header="0.15" footer="0.15"/>
  <pageSetup orientation="landscape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Home Goods warranty correspondence operations</dc:creator>
  <dc:title xmlns:dc="http://purl.org/dc/elements/1.1/">Standard order request upload</dc:title>
  <dc:description xmlns:dc="http://purl.org/dc/elements/1.1/">Machine-ingestible warranty merchandise order request file</dc:description>
  <dc:subject xmlns:dc="http://purl.org/dc/elements/1.1/">Machine-ingestible warranty merchandise order request file</dc:subject>
  <dc:language xmlns:dc="http://purl.org/dc/elements/1.1/">en-US</dc:language>
  <dcterms:created xmlns:dcterms="http://purl.org/dc/terms/" xmlns:xsi="http://www.w3.org/2001/XMLSchema-instance" xsi:type="dcterms:W3CDTF">2026-07-16T01:11:05Z</dcterms:created>
  <dcterms:modified xmlns:dcterms="http://purl.org/dc/terms/" xmlns:xsi="http://www.w3.org/2001/XMLSchema-instance" xsi:type="dcterms:W3CDTF">2026-07-17T07:01:45Z</dcterms:modified>
  <cp:category>Warranty correspondence operations</cp:category>
  <cp:revision>0</cp:revision>
  <cp:keywords>warranty correspondence merchandise request closeout</cp:keywords>
</cp:coreProperties>
</file>