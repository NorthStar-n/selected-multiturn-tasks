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Crosswalk" sheetId="3" state="visible" r:id="rId3"/>
    <sheet xmlns:r="http://schemas.openxmlformats.org/officeDocument/2006/relationships" name="Eligibility_Calcs" sheetId="4" state="visible" r:id="rId4"/>
    <sheet xmlns:r="http://schemas.openxmlformats.org/officeDocument/2006/relationships" name="Requested_Items_Unclear" sheetId="5" state="visible" r:id="rId5"/>
    <sheet xmlns:r="http://schemas.openxmlformats.org/officeDocument/2006/relationships" name="Rule_Codes" sheetId="6" state="visible" r:id="rId6"/>
    <sheet xmlns:r="http://schemas.openxmlformats.org/officeDocument/2006/relationships" name="Price_Map" sheetId="7" state="visible" r:id="rId7"/>
    <sheet xmlns:r="http://schemas.openxmlformats.org/officeDocument/2006/relationships" name="Case_Register" sheetId="8" state="visible" r:id="rId8"/>
    <sheet xmlns:r="http://schemas.openxmlformats.org/officeDocument/2006/relationships" name="Standard_Order_Candidates" sheetId="9" state="visible" r:id="rId9"/>
    <sheet xmlns:r="http://schemas.openxmlformats.org/officeDocument/2006/relationships" name="Special_Routes" sheetId="10" state="visible" r:id="rId10"/>
    <sheet xmlns:r="http://schemas.openxmlformats.org/officeDocument/2006/relationships" name="Response_Tracking" sheetId="11" state="visible" r:id="rId11"/>
    <sheet xmlns:r="http://schemas.openxmlformats.org/officeDocument/2006/relationships" name="Exception_Dashboard" sheetId="12" state="visible" r:id="rId12"/>
    <sheet xmlns:r="http://schemas.openxmlformats.org/officeDocument/2006/relationships" name="Checks" sheetId="13" state="visible" r:id="rId13"/>
  </sheets>
  <definedNames>
    <definedName name="_xlnm._FilterDatabase" localSheetId="0" hidden="1">'Read_Me'!$A$1:$B$5</definedName>
    <definedName name="_xlnm.Print_Titles" localSheetId="0">'Read_Me'!$1:$1</definedName>
    <definedName name="_xlnm.Print_Area" localSheetId="0">'Read_Me'!$A$1:$B$5</definedName>
    <definedName name="_xlnm._FilterDatabase" localSheetId="1" hidden="1">'Source_Index'!$A$1:$C$8</definedName>
    <definedName name="_xlnm.Print_Titles" localSheetId="1">'Source_Index'!$1:$1</definedName>
    <definedName name="_xlnm.Print_Area" localSheetId="1">'Source_Index'!$A$1:$C$8</definedName>
    <definedName name="_xlnm._FilterDatabase" localSheetId="2" hidden="1">'Crosswalk'!$A$1:$H$19</definedName>
    <definedName name="_xlnm.Print_Titles" localSheetId="2">'Crosswalk'!$1:$1,'Crosswalk'!$A:$B</definedName>
    <definedName name="_xlnm.Print_Area" localSheetId="2">'Crosswalk'!$A$1:$H$19</definedName>
    <definedName name="_xlnm._FilterDatabase" localSheetId="3" hidden="1">'Eligibility_Calcs'!$A$1:$AH$19</definedName>
    <definedName name="_xlnm.Print_Titles" localSheetId="3">'Eligibility_Calcs'!$1:$1,'Eligibility_Calcs'!$A:$B</definedName>
    <definedName name="_xlnm.Print_Area" localSheetId="3">'Eligibility_Calcs'!$A$1:$AH$19</definedName>
    <definedName name="_xlnm._FilterDatabase" localSheetId="4" hidden="1">'Requested_Items_Unclear'!$A$1:$A$19</definedName>
    <definedName name="_xlnm.Print_Titles" localSheetId="4">'Requested_Items_Unclear'!$1:$1</definedName>
    <definedName name="_xlnm.Print_Area" localSheetId="4">'Requested_Items_Unclear'!$A$1:$A$19</definedName>
    <definedName name="_xlnm._FilterDatabase" localSheetId="5" hidden="1">'Rule_Codes'!$A$1:$C$14</definedName>
    <definedName name="_xlnm.Print_Titles" localSheetId="5">'Rule_Codes'!$1:$1</definedName>
    <definedName name="_xlnm.Print_Area" localSheetId="5">'Rule_Codes'!$A$1:$C$14</definedName>
    <definedName name="_xlnm._FilterDatabase" localSheetId="6" hidden="1">'Price_Map'!$A$1:$B$19</definedName>
    <definedName name="_xlnm.Print_Titles" localSheetId="6">'Price_Map'!$1:$1</definedName>
    <definedName name="_xlnm.Print_Area" localSheetId="6">'Price_Map'!$A$1:$B$19</definedName>
    <definedName name="_xlnm._FilterDatabase" localSheetId="7" hidden="1">'Case_Register'!$A$1:$S$19</definedName>
    <definedName name="_xlnm.Print_Titles" localSheetId="7">'Case_Register'!$1:$1,'Case_Register'!$A:$B</definedName>
    <definedName name="_xlnm.Print_Area" localSheetId="7">'Case_Register'!$A$1:$S$19</definedName>
    <definedName name="_xlnm._FilterDatabase" localSheetId="8" hidden="1">'Standard_Order_Candidates'!$A$1:$F$6</definedName>
    <definedName name="_xlnm.Print_Titles" localSheetId="8">'Standard_Order_Candidates'!$1:$1</definedName>
    <definedName name="_xlnm.Print_Area" localSheetId="8">'Standard_Order_Candidates'!$A$1:$F$6</definedName>
    <definedName name="_xlnm._FilterDatabase" localSheetId="9" hidden="1">'Special_Routes'!$A$1:$F$3</definedName>
    <definedName name="_xlnm.Print_Titles" localSheetId="9">'Special_Routes'!$1:$1</definedName>
    <definedName name="_xlnm.Print_Area" localSheetId="9">'Special_Routes'!$A$1:$F$3</definedName>
    <definedName name="_xlnm._FilterDatabase" localSheetId="10" hidden="1">'Response_Tracking'!$A$1:$G$19</definedName>
    <definedName name="_xlnm.Print_Titles" localSheetId="10">'Response_Tracking'!$1:$1</definedName>
    <definedName name="_xlnm.Print_Area" localSheetId="10">'Response_Tracking'!$A$1:$G$19</definedName>
    <definedName name="_xlnm._FilterDatabase" localSheetId="11" hidden="1">'Exception_Dashboard'!$A$1:$D$13</definedName>
    <definedName name="_xlnm.Print_Titles" localSheetId="11">'Exception_Dashboard'!$1:$1</definedName>
    <definedName name="_xlnm.Print_Area" localSheetId="11">'Exception_Dashboard'!$A$1:$F$40</definedName>
    <definedName name="_xlnm._FilterDatabase" localSheetId="12" hidden="1">'Checks'!$A$1:$D$8</definedName>
    <definedName name="_xlnm.Print_Titles" localSheetId="12">'Checks'!$1:$1</definedName>
    <definedName name="_xlnm.Print_Area" localSheetId="12">'Checks'!$A$1:$D$8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\$#,##0.00"/>
  </numFmts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20272E"/>
      <sz val="10"/>
    </font>
    <font>
      <name val="Calibri"/>
      <charset val="1"/>
      <family val="2"/>
      <b val="1"/>
      <color rgb="FFFFFF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20272E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ptos"/>
      <b val="1"/>
      <color rgb="FFFFFFFF"/>
      <sz val="10.5"/>
    </font>
    <font>
      <name val="Aptos"/>
      <color rgb="FF163B38"/>
      <sz val="10.5"/>
    </font>
    <font>
      <name val="Aptos"/>
      <color rgb="FFFFFFFF"/>
      <sz val="10.5"/>
    </font>
    <font>
      <name val="Aptos"/>
      <b val="1"/>
      <color rgb="FF163B38"/>
      <sz val="10.5"/>
    </font>
    <font>
      <name val="Arial"/>
      <b val="1"/>
      <color rgb="FFFFFFFF"/>
      <sz val="10.5"/>
    </font>
    <font>
      <name val="Arial"/>
      <color rgb="FF163B38"/>
      <sz val="10.5"/>
    </font>
    <font>
      <name val="Arial"/>
      <color rgb="FFFFFFFF"/>
      <sz val="10.5"/>
    </font>
    <font>
      <name val="Arial"/>
      <color rgb="FF163B38"/>
      <sz val="9"/>
    </font>
  </fonts>
  <fills count="9">
    <fill>
      <patternFill/>
    </fill>
    <fill>
      <patternFill patternType="gray125"/>
    </fill>
    <fill>
      <patternFill patternType="solid">
        <fgColor rgb="FF20272E"/>
        <bgColor rgb="FF333300"/>
      </patternFill>
    </fill>
    <fill>
      <patternFill patternType="solid">
        <fgColor rgb="FF7A3E48"/>
        <bgColor rgb="FF993300"/>
      </patternFill>
    </fill>
    <fill>
      <patternFill patternType="solid">
        <fgColor rgb="FF087F78"/>
      </patternFill>
    </fill>
    <fill>
      <patternFill patternType="solid">
        <fgColor rgb="FFFFFFFF"/>
      </patternFill>
    </fill>
    <fill>
      <patternFill patternType="solid">
        <fgColor rgb="FFDFF0EC"/>
      </patternFill>
    </fill>
    <fill>
      <patternFill patternType="solid">
        <fgColor rgb="FFB03E3E"/>
      </patternFill>
    </fill>
    <fill>
      <patternFill patternType="solid">
        <fgColor rgb="FF07706A"/>
      </patternFill>
    </fill>
  </fills>
  <borders count="6">
    <border>
      <left/>
      <right/>
      <top/>
      <bottom/>
      <diagonal/>
    </border>
    <border>
      <left style="thin">
        <color rgb="FFC7BBAE"/>
      </left>
      <right style="thin">
        <color rgb="FFC7BBAE"/>
      </right>
      <top style="thin">
        <color rgb="FFC7BBAE"/>
      </top>
      <bottom style="thin">
        <color rgb="FFC7BBAE"/>
      </bottom>
      <diagonal/>
    </border>
    <border>
      <bottom style="medium">
        <color rgb="FFE39B38"/>
      </bottom>
    </border>
    <border>
      <bottom style="thin">
        <color rgb="FFDFF0EC"/>
      </bottom>
    </border>
    <border>
      <left style="thin">
        <color rgb="FF667580"/>
      </left>
      <right style="thin">
        <color rgb="FF667580"/>
      </right>
      <top style="thin">
        <color rgb="FF667580"/>
      </top>
      <bottom style="medium">
        <color rgb="FFE39B38"/>
      </bottom>
    </border>
    <border>
      <left style="thin">
        <color rgb="FF667580"/>
      </left>
      <right style="thin">
        <color rgb="FF667580"/>
      </right>
      <top style="thin">
        <color rgb="FF667580"/>
      </top>
      <bottom style="thin">
        <color rgb="FF66758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3" fontId="8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2" fillId="4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left" vertical="center"/>
    </xf>
    <xf numFmtId="0" fontId="13" fillId="5" borderId="3" applyAlignment="1" pivotButton="0" quotePrefix="0" xfId="0">
      <alignment horizontal="left" vertical="center" wrapText="1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 wrapText="1"/>
    </xf>
    <xf numFmtId="164" fontId="13" fillId="5" borderId="3" applyAlignment="1" pivotButton="0" quotePrefix="0" xfId="0">
      <alignment horizontal="left" vertical="center"/>
    </xf>
    <xf numFmtId="0" fontId="13" fillId="5" borderId="3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5" fontId="13" fillId="5" borderId="3" applyAlignment="1" pivotButton="0" quotePrefix="0" xfId="0">
      <alignment horizontal="right" vertical="center"/>
    </xf>
    <xf numFmtId="164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165" fontId="13" fillId="6" borderId="3" applyAlignment="1" pivotButton="0" quotePrefix="0" xfId="0">
      <alignment horizontal="right" vertical="center"/>
    </xf>
    <xf numFmtId="0" fontId="14" fillId="7" borderId="3" applyAlignment="1" pivotButton="0" quotePrefix="0" xfId="0">
      <alignment horizontal="left" vertical="center"/>
    </xf>
    <xf numFmtId="3" fontId="13" fillId="5" borderId="3" applyAlignment="1" pivotButton="0" quotePrefix="0" xfId="0">
      <alignment horizontal="right" vertical="center"/>
    </xf>
    <xf numFmtId="3" fontId="13" fillId="6" borderId="3" applyAlignment="1" pivotButton="0" quotePrefix="0" xfId="0">
      <alignment horizontal="right" vertical="center"/>
    </xf>
    <xf numFmtId="0" fontId="8" fillId="0" borderId="1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 wrapText="1"/>
    </xf>
    <xf numFmtId="164" fontId="13" fillId="5" borderId="3" applyAlignment="1" pivotButton="0" quotePrefix="0" xfId="0">
      <alignment horizontal="left" vertical="center" wrapText="1"/>
    </xf>
    <xf numFmtId="0" fontId="13" fillId="5" borderId="3" applyAlignment="1" pivotButton="0" quotePrefix="0" xfId="0">
      <alignment horizontal="right" vertical="center" wrapText="1"/>
    </xf>
    <xf numFmtId="165" fontId="13" fillId="5" borderId="3" applyAlignment="1" pivotButton="0" quotePrefix="0" xfId="0">
      <alignment horizontal="right" vertical="center" wrapText="1"/>
    </xf>
    <xf numFmtId="3" fontId="13" fillId="5" borderId="3" applyAlignment="1" pivotButton="0" quotePrefix="0" xfId="0">
      <alignment horizontal="right" vertical="center" wrapText="1"/>
    </xf>
    <xf numFmtId="0" fontId="13" fillId="5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164" fontId="13" fillId="5" borderId="3" applyAlignment="1" pivotButton="0" quotePrefix="0" xfId="0">
      <alignment horizontal="left" vertical="center"/>
    </xf>
    <xf numFmtId="0" fontId="13" fillId="5" borderId="3" applyAlignment="1" pivotButton="0" quotePrefix="0" xfId="0">
      <alignment horizontal="right" vertical="center"/>
    </xf>
    <xf numFmtId="165" fontId="13" fillId="5" borderId="3" applyAlignment="1" pivotButton="0" quotePrefix="0" xfId="0">
      <alignment horizontal="right" vertical="center"/>
    </xf>
    <xf numFmtId="164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165" fontId="13" fillId="6" borderId="3" applyAlignment="1" pivotButton="0" quotePrefix="0" xfId="0">
      <alignment horizontal="right" vertical="center"/>
    </xf>
    <xf numFmtId="0" fontId="14" fillId="7" borderId="3" applyAlignment="1" pivotButton="0" quotePrefix="0" xfId="0">
      <alignment horizontal="left" vertical="center"/>
    </xf>
    <xf numFmtId="3" fontId="13" fillId="5" borderId="3" applyAlignment="1" pivotButton="0" quotePrefix="0" xfId="0">
      <alignment horizontal="right" vertical="center"/>
    </xf>
    <xf numFmtId="3" fontId="13" fillId="6" borderId="3" applyAlignment="1" pivotButton="0" quotePrefix="0" xfId="0">
      <alignment horizontal="right" vertical="center"/>
    </xf>
    <xf numFmtId="0" fontId="12" fillId="8" borderId="4" applyAlignment="1" pivotButton="0" quotePrefix="0" xfId="0">
      <alignment horizontal="center" vertical="center" wrapText="1"/>
    </xf>
    <xf numFmtId="0" fontId="13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left" vertical="center" wrapText="1"/>
    </xf>
    <xf numFmtId="0" fontId="13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left" vertical="center" wrapText="1"/>
    </xf>
    <xf numFmtId="0" fontId="13" fillId="5" borderId="5" applyAlignment="1" pivotButton="0" quotePrefix="0" xfId="0">
      <alignment horizontal="left" vertical="center"/>
    </xf>
    <xf numFmtId="0" fontId="13" fillId="6" borderId="5" applyAlignment="1" pivotButton="0" quotePrefix="0" xfId="0">
      <alignment horizontal="left" vertical="center"/>
    </xf>
    <xf numFmtId="164" fontId="13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right" vertical="center"/>
    </xf>
    <xf numFmtId="165" fontId="13" fillId="5" borderId="5" applyAlignment="1" pivotButton="0" quotePrefix="0" xfId="0">
      <alignment horizontal="right" vertical="center"/>
    </xf>
    <xf numFmtId="164" fontId="13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right" vertical="center"/>
    </xf>
    <xf numFmtId="165" fontId="13" fillId="6" borderId="5" applyAlignment="1" pivotButton="0" quotePrefix="0" xfId="0">
      <alignment horizontal="right" vertical="center"/>
    </xf>
    <xf numFmtId="0" fontId="14" fillId="7" borderId="5" applyAlignment="1" pivotButton="0" quotePrefix="0" xfId="0">
      <alignment horizontal="center" vertical="center"/>
    </xf>
    <xf numFmtId="3" fontId="13" fillId="5" borderId="5" applyAlignment="1" pivotButton="0" quotePrefix="0" xfId="0">
      <alignment horizontal="right" vertical="center"/>
    </xf>
    <xf numFmtId="3" fontId="13" fillId="6" borderId="5" applyAlignment="1" pivotButton="0" quotePrefix="0" xfId="0">
      <alignment horizontal="right" vertical="center"/>
    </xf>
    <xf numFmtId="0" fontId="16" fillId="8" borderId="4" applyAlignment="1" pivotButton="0" quotePrefix="0" xfId="0">
      <alignment horizontal="center" vertical="center" wrapText="1"/>
    </xf>
    <xf numFmtId="0" fontId="17" fillId="5" borderId="5" applyAlignment="1" pivotButton="0" quotePrefix="0" xfId="0">
      <alignment horizontal="center" vertical="center"/>
    </xf>
    <xf numFmtId="0" fontId="17" fillId="5" borderId="5" applyAlignment="1" pivotButton="0" quotePrefix="0" xfId="0">
      <alignment horizontal="left" vertical="center" wrapText="1"/>
    </xf>
    <xf numFmtId="0" fontId="17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left" vertical="center" wrapText="1"/>
    </xf>
    <xf numFmtId="0" fontId="17" fillId="5" borderId="5" applyAlignment="1" pivotButton="0" quotePrefix="0" xfId="0">
      <alignment horizontal="left" vertical="center"/>
    </xf>
    <xf numFmtId="0" fontId="17" fillId="6" borderId="5" applyAlignment="1" pivotButton="0" quotePrefix="0" xfId="0">
      <alignment horizontal="left" vertical="center"/>
    </xf>
    <xf numFmtId="164" fontId="17" fillId="5" borderId="5" applyAlignment="1" pivotButton="0" quotePrefix="0" xfId="0">
      <alignment horizontal="center" vertical="center"/>
    </xf>
    <xf numFmtId="0" fontId="17" fillId="5" borderId="5" applyAlignment="1" pivotButton="0" quotePrefix="0" xfId="0">
      <alignment horizontal="right" vertical="center"/>
    </xf>
    <xf numFmtId="165" fontId="17" fillId="5" borderId="5" applyAlignment="1" pivotButton="0" quotePrefix="0" xfId="0">
      <alignment horizontal="right" vertical="center"/>
    </xf>
    <xf numFmtId="164" fontId="17" fillId="6" borderId="5" applyAlignment="1" pivotButton="0" quotePrefix="0" xfId="0">
      <alignment horizontal="center" vertical="center"/>
    </xf>
    <xf numFmtId="0" fontId="17" fillId="6" borderId="5" applyAlignment="1" pivotButton="0" quotePrefix="0" xfId="0">
      <alignment horizontal="right" vertical="center"/>
    </xf>
    <xf numFmtId="165" fontId="17" fillId="6" borderId="5" applyAlignment="1" pivotButton="0" quotePrefix="0" xfId="0">
      <alignment horizontal="right" vertical="center"/>
    </xf>
    <xf numFmtId="0" fontId="18" fillId="7" borderId="5" applyAlignment="1" pivotButton="0" quotePrefix="0" xfId="0">
      <alignment horizontal="center" vertical="center"/>
    </xf>
    <xf numFmtId="3" fontId="17" fillId="5" borderId="5" applyAlignment="1" pivotButton="0" quotePrefix="0" xfId="0">
      <alignment horizontal="right" vertical="center"/>
    </xf>
    <xf numFmtId="3" fontId="17" fillId="6" borderId="5" applyAlignment="1" pivotButton="0" quotePrefix="0" xfId="0">
      <alignment horizontal="right" vertical="center"/>
    </xf>
    <xf numFmtId="0" fontId="17" fillId="5" borderId="5" applyAlignment="1" pivotButton="0" quotePrefix="0" xfId="0">
      <alignment horizontal="center" vertical="center" wrapText="1"/>
    </xf>
    <xf numFmtId="0" fontId="17" fillId="6" borderId="5" applyAlignment="1" pivotButton="0" quotePrefix="0" xfId="0">
      <alignment horizontal="center" vertical="center" wrapText="1"/>
    </xf>
    <xf numFmtId="0" fontId="19" fillId="5" borderId="5" applyAlignment="1" pivotButton="0" quotePrefix="0" xfId="0">
      <alignment horizontal="center" vertical="center" shrinkToFit="1"/>
    </xf>
    <xf numFmtId="0" fontId="19" fillId="6" borderId="5" applyAlignment="1" pivotButton="0" quotePrefix="0" xfId="0">
      <alignment horizontal="center" vertical="center" shrinkToFi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2027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E6D8"/>
        </patternFill>
      </fill>
    </dxf>
    <dxf>
      <fill>
        <patternFill patternType="solid">
          <fgColor rgb="FFF8E6D8"/>
          <bgColor rgb="FF000000"/>
        </patternFill>
      </fill>
    </dxf>
    <dxf>
      <fill>
        <patternFill patternType="solid">
          <fgColor rgb="FF7A3E4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7BBAE"/>
      <rgbColor rgb="FF808080"/>
      <rgbColor rgb="FF9999FF"/>
      <rgbColor rgb="FF7A3E48"/>
      <rgbColor rgb="FFF8E6D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4F81BD"/>
      <rgbColor rgb="FFB3B3B3"/>
      <rgbColor rgb="FF003366"/>
      <rgbColor rgb="FF339966"/>
      <rgbColor rgb="FF003300"/>
      <rgbColor rgb="FF333300"/>
      <rgbColor rgb="FF993300"/>
      <rgbColor rgb="FFC0504D"/>
      <rgbColor rgb="FF333399"/>
      <rgbColor rgb="FF20272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Final exception count by category and age band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bar"/>
        <grouping val="stacked"/>
        <varyColors val="0"/>
        <ser>
          <idx val="0"/>
          <order val="0"/>
          <tx>
            <strRef>
              <f>Exception_Dashboard!B1</f>
              <strCache>
                <ptCount val="1"/>
                <pt idx="0">
                  <v>0-2 Days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Exception_Dashboard!$E$2:$E$13</f>
              <strCache>
                <ptCount val="12"/>
                <pt idx="0">
                  <v>Backorder</v>
                </pt>
                <pt idx="1">
                  <v>Credit hold</v>
                </pt>
                <pt idx="2">
                  <v>Discontinued</v>
                </pt>
                <pt idx="3">
                  <v>Duplicate</v>
                </pt>
                <pt idx="4">
                  <v>Expired entitlement</v>
                </pt>
                <pt idx="5">
                  <v>Family not covered</v>
                </pt>
                <pt idx="6">
                  <v>Invalid address</v>
                </pt>
                <pt idx="7">
                  <v>Missing proof</v>
                </pt>
                <pt idx="8">
                  <v>Qty cap partial</v>
                </pt>
                <pt idx="9">
                  <v>Special feasibility</v>
                </pt>
                <pt idx="10">
                  <v>Special nonstarter</v>
                </pt>
                <pt idx="11">
                  <v>Unclear product</v>
                </pt>
              </strCache>
            </strRef>
          </cat>
          <val>
            <numRef>
              <f>Exception_Dashboard!$B$2:$B$13</f>
              <numCache>
                <formatCode>#,##0</formatCode>
                <ptCount val="12"/>
                <pt idx="0">
                  <v>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1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1</v>
                </pt>
                <pt idx="11">
                  <v>1</v>
                </pt>
              </numCache>
            </numRef>
          </val>
        </ser>
        <ser>
          <idx val="1"/>
          <order val="1"/>
          <tx>
            <strRef>
              <f>Exception_Dashboard!C1</f>
              <strCache>
                <ptCount val="1"/>
                <pt idx="0">
                  <v>3-5 Days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Exception_Dashboard!$E$2:$E$13</f>
              <strCache>
                <ptCount val="12"/>
                <pt idx="0">
                  <v>Backorder</v>
                </pt>
                <pt idx="1">
                  <v>Credit hold</v>
                </pt>
                <pt idx="2">
                  <v>Discontinued</v>
                </pt>
                <pt idx="3">
                  <v>Duplicate</v>
                </pt>
                <pt idx="4">
                  <v>Expired entitlement</v>
                </pt>
                <pt idx="5">
                  <v>Family not covered</v>
                </pt>
                <pt idx="6">
                  <v>Invalid address</v>
                </pt>
                <pt idx="7">
                  <v>Missing proof</v>
                </pt>
                <pt idx="8">
                  <v>Qty cap partial</v>
                </pt>
                <pt idx="9">
                  <v>Special feasibility</v>
                </pt>
                <pt idx="10">
                  <v>Special nonstarter</v>
                </pt>
                <pt idx="11">
                  <v>Unclear product</v>
                </pt>
              </strCache>
            </strRef>
          </cat>
          <val>
            <numRef>
              <f>Exception_Dashboard!$C$2:$C$13</f>
              <numCache>
                <formatCode>#,##0</formatCode>
                <ptCount val="12"/>
                <pt idx="0">
                  <v>0</v>
                </pt>
                <pt idx="1">
                  <v>0</v>
                </pt>
                <pt idx="2">
                  <v>1</v>
                </pt>
                <pt idx="3">
                  <v>1</v>
                </pt>
                <pt idx="4">
                  <v>0</v>
                </pt>
                <pt idx="5">
                  <v>0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strRef>
              <f>Exception_Dashboard!D1</f>
              <strCache>
                <ptCount val="1"/>
                <pt idx="0">
                  <v>6-10 Days</v>
                </pt>
              </strCache>
            </strRef>
          </tx>
          <spPr>
            <a:solidFill xmlns:a="http://schemas.openxmlformats.org/drawingml/2006/main">
              <a:srgbClr val="9bbb59"/>
            </a:solidFill>
            <a:ln xmlns:a="http://schemas.openxmlformats.org/drawingml/2006/main" w="0">
              <a:solidFill>
                <a:srgbClr val="000000"/>
              </a:solidFill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ct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Exception_Dashboard!$E$2:$E$13</f>
              <strCache>
                <ptCount val="12"/>
                <pt idx="0">
                  <v>Backorder</v>
                </pt>
                <pt idx="1">
                  <v>Credit hold</v>
                </pt>
                <pt idx="2">
                  <v>Discontinued</v>
                </pt>
                <pt idx="3">
                  <v>Duplicate</v>
                </pt>
                <pt idx="4">
                  <v>Expired entitlement</v>
                </pt>
                <pt idx="5">
                  <v>Family not covered</v>
                </pt>
                <pt idx="6">
                  <v>Invalid address</v>
                </pt>
                <pt idx="7">
                  <v>Missing proof</v>
                </pt>
                <pt idx="8">
                  <v>Qty cap partial</v>
                </pt>
                <pt idx="9">
                  <v>Special feasibility</v>
                </pt>
                <pt idx="10">
                  <v>Special nonstarter</v>
                </pt>
                <pt idx="11">
                  <v>Unclear product</v>
                </pt>
              </strCache>
            </strRef>
          </cat>
          <val>
            <numRef>
              <f>Exception_Dashboard!$D$2:$D$13</f>
              <numCache>
                <formatCode>#,##0</formatCode>
                <ptCount val="12"/>
                <pt idx="0">
                  <v>1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1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1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100"/>
        <axId val="1431395"/>
        <axId val="74689543"/>
      </barChart>
      <catAx>
        <axId val="1431395"/>
        <scaling>
          <orientation val="minMax"/>
        </scaling>
        <delete val="0"/>
        <axPos val="b"/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Exception category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horzOverflow="overflow"/>
          <a:p xmlns:a="http://schemas.openxmlformats.org/drawingml/2006/main">
            <a:pPr latinLnBrk="0">
              <a:defRPr sz="1100">
                <a:solidFill>
                  <a:srgbClr val="163B38"/>
                </a:solidFill>
                <a:latin typeface="Aptos"/>
              </a:defRPr>
            </a:pPr>
            <a:r>
              <a:t>None</a:t>
            </a:r>
            <a:endParaRPr sz="1100">
              <a:solidFill>
                <a:srgbClr val="163B38"/>
              </a:solidFill>
              <a:latin typeface="Aptos"/>
            </a:endParaRPr>
          </a:p>
        </txPr>
        <crossAx val="74689543"/>
        <crosses val="autoZero"/>
        <auto val="1"/>
        <lblAlgn val="ctr"/>
        <lblOffset val="100"/>
        <noMultiLvlLbl val="0"/>
      </catAx>
      <valAx>
        <axId val="74689543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Cases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#,##0" sourceLinked="1"/>
        <majorTickMark val="none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 horzOverflow="overflow"/>
          <a:p xmlns:a="http://schemas.openxmlformats.org/drawingml/2006/main">
            <a:pPr latinLnBrk="0">
              <a:defRPr sz="1100">
                <a:solidFill>
                  <a:srgbClr val="163B38"/>
                </a:solidFill>
                <a:latin typeface="Aptos"/>
              </a:defRPr>
            </a:pPr>
            <a:r>
              <a:t>None</a:t>
            </a:r>
            <a:endParaRPr sz="1100">
              <a:solidFill>
                <a:srgbClr val="163B38"/>
              </a:solidFill>
              <a:latin typeface="Aptos"/>
            </a:endParaRPr>
          </a:p>
        </txPr>
        <crossAx val="1431395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gister_ReadMe" displayName="Register_ReadMe" ref="A1:B5" headerRowCount="1" totalsRowCount="0" totalsRowShown="0">
  <autoFilter ref="A1:B5"/>
  <tableColumns count="2">
    <tableColumn id="1" name="Field"/>
    <tableColumn id="2" name="Value"/>
  </tableColumns>
</table>
</file>

<file path=xl/tables/table2.xml><?xml version="1.0" encoding="utf-8"?>
<table xmlns="http://schemas.openxmlformats.org/spreadsheetml/2006/main" id="2" name="Source_Index" displayName="Source_Index" ref="A1:C8" headerRowCount="1" totalsRowCount="0" totalsRowShown="0">
  <autoFilter ref="A1:C8"/>
  <tableColumns count="3">
    <tableColumn id="1" name="Source_File"/>
    <tableColumn id="2" name="Role"/>
    <tableColumn id="3" name="Key_Fields"/>
  </tableColumns>
</table>
</file>

<file path=xl/tables/table3.xml><?xml version="1.0" encoding="utf-8"?>
<table xmlns="http://schemas.openxmlformats.org/spreadsheetml/2006/main" id="3" name="Crosswalk" displayName="Crosswalk" ref="A1:H19" headerRowCount="1" totalsRowCount="0" totalsRowShown="0">
  <autoFilter ref="A1:H19"/>
  <tableColumns count="8">
    <tableColumn id="1" name="Case_ID"/>
    <tableColumn id="2" name="Source_Corr_ID"/>
    <tableColumn id="3" name="Customer_Match"/>
    <tableColumn id="4" name="Entitlement_Match"/>
    <tableColumn id="5" name="Catalog_Match"/>
    <tableColumn id="6" name="Credit_Match"/>
    <tableColumn id="7" name="Capability_Match"/>
    <tableColumn id="8" name="Source_Precedence"/>
  </tableColumns>
</table>
</file>

<file path=xl/tables/table4.xml><?xml version="1.0" encoding="utf-8"?>
<table xmlns="http://schemas.openxmlformats.org/spreadsheetml/2006/main" id="4" name="Eligibility_Calcs" displayName="Eligibility_Calcs" ref="A1:AH19" headerRowCount="1" totalsRowCount="0" totalsRowShown="0">
  <autoFilter ref="A1:AH19"/>
  <tableColumns count="34">
    <tableColumn id="1" name="Case_ID"/>
    <tableColumn id="2" name="Source_Corr_ID"/>
    <tableColumn id="3" name="Received_Date"/>
    <tableColumn id="4" name="Customer_ID"/>
    <tableColumn id="5" name="Account_ID"/>
    <tableColumn id="6" name="Warranty_ID"/>
    <tableColumn id="7" name="Requested_SKU"/>
    <tableColumn id="8" name="Resolved_SKU"/>
    <tableColumn id="9" name="Quantity_Requested"/>
    <tableColumn id="10" name="Remaining_Replacement_Allowance"/>
    <tableColumn id="11" name="Quantity_Approved_Formula"/>
    <tableColumn id="12" name="Coverage_Start_Date"/>
    <tableColumn id="13" name="Coverage_End_Date"/>
    <tableColumn id="14" name="Entitlement_Status"/>
    <tableColumn id="15" name="Covered_Product_Family"/>
    <tableColumn id="16" name="Resolved_Product_Family"/>
    <tableColumn id="17" name="Warranty_Active_Formula"/>
    <tableColumn id="18" name="Family_Covered_Formula"/>
    <tableColumn id="19" name="Proof_Required_Flag"/>
    <tableColumn id="20" name="Proof_Status"/>
    <tableColumn id="21" name="Address_Status"/>
    <tableColumn id="22" name="Credit_Status_Code"/>
    <tableColumn id="23" name="Resolved_Standard_Order_Flag"/>
    <tableColumn id="24" name="Requested_Discontinued_Flag"/>
    <tableColumn id="25" name="Replacement_SKU"/>
    <tableColumn id="26" name="Special_Product_Flag"/>
    <tableColumn id="27" name="Capability_Status"/>
    <tableColumn id="28" name="Resolved_Atp"/>
    <tableColumn id="29" name="Inventory_Ok_Formula"/>
    <tableColumn id="30" name="Exception_Code_Formula"/>
    <tableColumn id="31" name="Route_Code_Formula"/>
    <tableColumn id="32" name="Response_Type_Formula"/>
    <tableColumn id="33" name="Final_Disposition_Formula"/>
    <tableColumn id="34" name="Line_Value_Formula"/>
  </tableColumns>
</table>
</file>

<file path=xl/tables/table5.xml><?xml version="1.0" encoding="utf-8"?>
<table xmlns="http://schemas.openxmlformats.org/spreadsheetml/2006/main" id="5" name="Requested_Items_Unclear" displayName="Requested_Items_Unclear" ref="A1:A19" headerRowCount="1" totalsRowCount="0" totalsRowShown="0">
  <autoFilter ref="A1:A19"/>
  <tableColumns count="1">
    <tableColumn id="1" name="Unclear_Product_Flag"/>
  </tableColumns>
</table>
</file>

<file path=xl/tables/table6.xml><?xml version="1.0" encoding="utf-8"?>
<table xmlns="http://schemas.openxmlformats.org/spreadsheetml/2006/main" id="6" name="Rule_Codes" displayName="Rule_Codes" ref="A1:C14" headerRowCount="1" totalsRowCount="0" totalsRowShown="0">
  <autoFilter ref="A1:C14"/>
  <tableColumns count="3">
    <tableColumn id="1" name="Exception_Code"/>
    <tableColumn id="2" name="Final_Disposition"/>
    <tableColumn id="3" name="Response_Type_Code"/>
  </tableColumns>
</table>
</file>

<file path=xl/tables/table7.xml><?xml version="1.0" encoding="utf-8"?>
<table xmlns="http://schemas.openxmlformats.org/spreadsheetml/2006/main" id="7" name="Price_Map" displayName="Price_Map" ref="A1:B19" headerRowCount="1" totalsRowCount="0" totalsRowShown="0">
  <autoFilter ref="A1:B19"/>
  <tableColumns count="2">
    <tableColumn id="1" name="Case_ID"/>
    <tableColumn id="2" name="Unit_Price"/>
  </tableColumns>
</table>
</file>

<file path=xl/tables/table8.xml><?xml version="1.0" encoding="utf-8"?>
<table xmlns="http://schemas.openxmlformats.org/spreadsheetml/2006/main" id="8" name="Case_Register" displayName="Case_Register" ref="A1:S19" headerRowCount="1" totalsRowCount="0" totalsRowShown="0">
  <autoFilter ref="A1:S19"/>
  <tableColumns count="19">
    <tableColumn id="1" name="Case_ID"/>
    <tableColumn id="2" name="Source_Corr_ID"/>
    <tableColumn id="3" name="Customer_ID"/>
    <tableColumn id="4" name="Account_ID"/>
    <tableColumn id="5" name="Requested_SKU"/>
    <tableColumn id="6" name="Resolved_SKU"/>
    <tableColumn id="7" name="Quantity_Requested"/>
    <tableColumn id="8" name="Quantity_Approved"/>
    <tableColumn id="9" name="Owner_ID"/>
    <tableColumn id="10" name="Duplicate_Of"/>
    <tableColumn id="11" name="Exception_Code"/>
    <tableColumn id="12" name="Route_Code"/>
    <tableColumn id="13" name="Response_Type_Code"/>
    <tableColumn id="14" name="Final_Disposition"/>
    <tableColumn id="15" name="Lifecycle_State"/>
    <tableColumn id="16" name="Order_Action_Status"/>
    <tableColumn id="17" name="Line_Value"/>
    <tableColumn id="18" name="Age_Band"/>
    <tableColumn id="19" name="Next_Action_Owner"/>
  </tableColumns>
</table>
</file>

<file path=xl/tables/table9.xml><?xml version="1.0" encoding="utf-8"?>
<table xmlns="http://schemas.openxmlformats.org/spreadsheetml/2006/main" id="9" name="Standard_Order_Candidates" displayName="Standard_Order_Candidates" ref="A1:F6" headerRowCount="1" totalsRowCount="0" totalsRowShown="0">
  <autoFilter ref="A1:F6"/>
  <tableColumns count="6">
    <tableColumn id="1" name="Case_ID"/>
    <tableColumn id="2" name="Source_Corr_ID"/>
    <tableColumn id="3" name="Resolved_SKU"/>
    <tableColumn id="4" name="Quantity_Approved"/>
    <tableColumn id="5" name="Line_Value"/>
    <tableColumn id="6" name="Status"/>
  </tableColumns>
</table>
</file>

<file path=xl/tables/table10.xml><?xml version="1.0" encoding="utf-8"?>
<table xmlns="http://schemas.openxmlformats.org/spreadsheetml/2006/main" id="10" name="Special_Routes" displayName="Special_Routes" ref="A1:F3" headerRowCount="1" totalsRowCount="0" totalsRowShown="0">
  <autoFilter ref="A1:F3"/>
  <tableColumns count="6">
    <tableColumn id="1" name="Case_ID"/>
    <tableColumn id="2" name="Source_Corr_ID"/>
    <tableColumn id="3" name="Route_Code"/>
    <tableColumn id="4" name="Owner_Queue"/>
    <tableColumn id="5" name="Customer_Deadline"/>
    <tableColumn id="6" name="Route_Status"/>
  </tableColumns>
</table>
</file>

<file path=xl/tables/table11.xml><?xml version="1.0" encoding="utf-8"?>
<table xmlns="http://schemas.openxmlformats.org/spreadsheetml/2006/main" id="11" name="Response_Tracking" displayName="Response_Tracking" ref="A1:G19" headerRowCount="1" totalsRowCount="0" totalsRowShown="0">
  <autoFilter ref="A1:G19"/>
  <tableColumns count="7">
    <tableColumn id="1" name="Case_ID"/>
    <tableColumn id="2" name="Source_Corr_ID"/>
    <tableColumn id="3" name="Response_Type_Code"/>
    <tableColumn id="4" name="Response_Date"/>
    <tableColumn id="5" name="Signer"/>
    <tableColumn id="6" name="Distribution_Record"/>
    <tableColumn id="7" name="Reviewer"/>
  </tableColumns>
</table>
</file>

<file path=xl/tables/table12.xml><?xml version="1.0" encoding="utf-8"?>
<table xmlns="http://schemas.openxmlformats.org/spreadsheetml/2006/main" id="12" name="Exception_Dashboard" displayName="Exception_Dashboard" ref="A1:D13" headerRowCount="1" totalsRowCount="0" totalsRowShown="0">
  <autoFilter ref="A1:D13"/>
  <tableColumns count="4">
    <tableColumn id="1" name="Exception_Code"/>
    <tableColumn id="2" name="0-2 Days"/>
    <tableColumn id="3" name="3-5 Days"/>
    <tableColumn id="4" name="6-10 Days"/>
  </tableColumns>
</table>
</file>

<file path=xl/tables/table13.xml><?xml version="1.0" encoding="utf-8"?>
<table xmlns="http://schemas.openxmlformats.org/spreadsheetml/2006/main" id="13" name="Register_Checks" displayName="Register_Checks" ref="A1:D8" headerRowCount="1" totalsRowCount="0" totalsRowShown="0">
  <autoFilter ref="A1:D8"/>
  <tableColumns count="4">
    <tableColumn id="1" name="Check_Name"/>
    <tableColumn id="2" name="Actual"/>
    <tableColumn id="3" name="Expected"/>
    <tableColumn id="4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5" min="1" max="1"/>
    <col width="38" customWidth="1" style="15" min="2" max="2"/>
  </cols>
  <sheetData>
    <row r="1" ht="29" customHeight="1" s="16">
      <c r="A1" s="65" t="inlineStr">
        <is>
          <t>Field</t>
        </is>
      </c>
      <c r="B1" s="65" t="inlineStr">
        <is>
          <t>Value</t>
        </is>
      </c>
    </row>
    <row r="2" ht="70" customHeight="1" s="16">
      <c r="A2" s="66" t="inlineStr">
        <is>
          <t>Purpose</t>
        </is>
      </c>
      <c r="B2" s="67" t="inlineStr">
        <is>
          <t>Final disposition and evidence register for the July 1-10, 2026 warranty merchandise request closeout.</t>
        </is>
      </c>
    </row>
    <row r="3" ht="102" customHeight="1" s="16">
      <c r="A3" s="68" t="inlineStr">
        <is>
          <t>Authority boundary</t>
        </is>
      </c>
      <c r="B3" s="69" t="inlineStr">
        <is>
          <t>Clerks apply supplied rules, prepare permitted responses, and route special-product feasibility; they do not decide policy, credit, legal, claims, product, or financial exceptions.</t>
        </is>
      </c>
    </row>
    <row r="4" ht="22" customHeight="1" s="16">
      <c r="A4" s="66" t="inlineStr">
        <is>
          <t>Closeout date</t>
        </is>
      </c>
      <c r="B4" s="66" t="inlineStr">
        <is>
          <t>2026-07-10</t>
        </is>
      </c>
    </row>
    <row r="5" ht="70" customHeight="1" s="16">
      <c r="A5" s="68" t="inlineStr">
        <is>
          <t>Chart denominator</t>
        </is>
      </c>
      <c r="B5" s="69" t="inlineStr">
        <is>
          <t>Cases carrying a final exception_code, including partial standard orders, after resolved substitution review is removed.</t>
        </is>
      </c>
    </row>
  </sheetData>
  <autoFilter ref="A1:B5"/>
  <conditionalFormatting sqref="A1:B5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2" customWidth="1" style="15" min="1" max="1"/>
    <col width="38" customWidth="1" style="15" min="2" max="2"/>
    <col width="38" customWidth="1" style="15" min="3" max="3"/>
  </cols>
  <sheetData>
    <row r="1" ht="29" customHeight="1" s="16">
      <c r="A1" s="65" t="inlineStr">
        <is>
          <t>Source_File</t>
        </is>
      </c>
      <c r="B1" s="65" t="inlineStr">
        <is>
          <t>Role</t>
        </is>
      </c>
      <c r="C1" s="65" t="inlineStr">
        <is>
          <t>Key_Fields</t>
        </is>
      </c>
    </row>
    <row r="2" ht="38" customHeight="1" s="16">
      <c r="A2" s="67" t="inlineStr">
        <is>
          <t>Warranty_Merchandise_Request_Queue_2026-07-10.xlsx</t>
        </is>
      </c>
      <c r="B2" s="70" t="inlineStr">
        <is>
          <t>Queue population and message history</t>
        </is>
      </c>
      <c r="C2" s="70" t="inlineStr">
        <is>
          <t>case_id, source_corr_id, customer_id</t>
        </is>
      </c>
    </row>
    <row r="3" ht="38" customHeight="1" s="16">
      <c r="A3" s="69" t="inlineStr">
        <is>
          <t>Customer_Entitlement_and_Credit_Master_2026-07-09.xlsx</t>
        </is>
      </c>
      <c r="B3" s="69" t="inlineStr">
        <is>
          <t>Customer, entitlement, ship-to, credit</t>
        </is>
      </c>
      <c r="C3" s="71" t="inlineStr">
        <is>
          <t>customer_id, account_id, warranty_id</t>
        </is>
      </c>
    </row>
    <row r="4" ht="38" customHeight="1" s="16">
      <c r="A4" s="67" t="inlineStr">
        <is>
          <t>Parts_Catalog_Inventory_Pricing_2026-07-10.xlsx</t>
        </is>
      </c>
      <c r="B4" s="67" t="inlineStr">
        <is>
          <t>Catalog, substitution, inventory, price</t>
        </is>
      </c>
      <c r="C4" s="66" t="inlineStr">
        <is>
          <t>sku, product_family</t>
        </is>
      </c>
    </row>
    <row r="5" ht="38" customHeight="1" s="16">
      <c r="A5" s="69" t="inlineStr">
        <is>
          <t>Warranty_Merchandise_Request_Rules_Rev_2026-06-28.docx</t>
        </is>
      </c>
      <c r="B5" s="71" t="inlineStr">
        <is>
          <t>Eligibility and exception rules</t>
        </is>
      </c>
      <c r="C5" s="71" t="inlineStr">
        <is>
          <t>exception_code, response_type_code</t>
        </is>
      </c>
    </row>
    <row r="6" ht="36" customHeight="1" s="16">
      <c r="A6" s="67" t="inlineStr">
        <is>
          <t>Special_Product_Capability_Matrix_2026-Q3.xlsx</t>
        </is>
      </c>
      <c r="B6" s="66" t="inlineStr">
        <is>
          <t>Special-product route owners</t>
        </is>
      </c>
      <c r="C6" s="70" t="inlineStr">
        <is>
          <t>special_product_code, route_code</t>
        </is>
      </c>
    </row>
    <row r="7" ht="36" customHeight="1" s="16">
      <c r="A7" s="69" t="inlineStr">
        <is>
          <t>Approved_Response_Form_Library_Rev_2026-07.docx</t>
        </is>
      </c>
      <c r="B7" s="68" t="inlineStr">
        <is>
          <t>Approved response clauses</t>
        </is>
      </c>
      <c r="C7" s="68" t="inlineStr">
        <is>
          <t>response_type_code</t>
        </is>
      </c>
    </row>
    <row r="8" ht="38" customHeight="1" s="16">
      <c r="A8" s="67" t="inlineStr">
        <is>
          <t>Exception_Aging_Handoff_2026-07-10.xlsx</t>
        </is>
      </c>
      <c r="B8" s="70" t="inlineStr">
        <is>
          <t>Supervisor handoff and source chart</t>
        </is>
      </c>
      <c r="C8" s="70" t="inlineStr">
        <is>
          <t>case_id, exception_code, age_band</t>
        </is>
      </c>
    </row>
  </sheetData>
  <autoFilter ref="A1:C8"/>
  <conditionalFormatting sqref="A1:C8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25" customWidth="1" style="15" min="2" max="2"/>
    <col width="19" customWidth="1" style="15" min="3" max="3"/>
    <col width="23" customWidth="1" style="15" min="4" max="4"/>
    <col width="18" customWidth="1" style="15" min="5" max="5"/>
    <col width="17" customWidth="1" style="15" min="6" max="6"/>
    <col width="21" customWidth="1" style="15" min="7" max="7"/>
    <col width="38" customWidth="1" style="15" min="8" max="8"/>
  </cols>
  <sheetData>
    <row r="1" ht="29" customHeight="1" s="16">
      <c r="A1" s="65" t="inlineStr">
        <is>
          <t>Case_ID</t>
        </is>
      </c>
      <c r="B1" s="65" t="inlineStr">
        <is>
          <t>Source_Corr_ID</t>
        </is>
      </c>
      <c r="C1" s="65" t="inlineStr">
        <is>
          <t>Customer_Match</t>
        </is>
      </c>
      <c r="D1" s="65" t="inlineStr">
        <is>
          <t>Entitlement_Match</t>
        </is>
      </c>
      <c r="E1" s="65" t="inlineStr">
        <is>
          <t>Catalog_Match</t>
        </is>
      </c>
      <c r="F1" s="65" t="inlineStr">
        <is>
          <t>Credit_Match</t>
        </is>
      </c>
      <c r="G1" s="65" t="inlineStr">
        <is>
          <t>Capability_Match</t>
        </is>
      </c>
      <c r="H1" s="65" t="inlineStr">
        <is>
          <t>Source_Precedence</t>
        </is>
      </c>
    </row>
    <row r="2" ht="54" customHeight="1" s="16">
      <c r="A2" s="66" t="inlineStr">
        <is>
          <t>MRQ-2026-0710-001</t>
        </is>
      </c>
      <c r="B2" s="66" t="inlineStr">
        <is>
          <t>NHG-MRQ-2026-07-001</t>
        </is>
      </c>
      <c r="C2" s="66" t="inlineStr">
        <is>
          <t>MATCH</t>
        </is>
      </c>
      <c r="D2" s="66" t="inlineStr">
        <is>
          <t>MATCH</t>
        </is>
      </c>
      <c r="E2" s="66" t="inlineStr">
        <is>
          <t>MATCH</t>
        </is>
      </c>
      <c r="F2" s="66" t="inlineStr">
        <is>
          <t>MATCH</t>
        </is>
      </c>
      <c r="G2" s="66" t="inlineStr">
        <is>
          <t>N/A</t>
        </is>
      </c>
      <c r="H2" s="67" t="inlineStr">
        <is>
          <t>Substitution resolved before orderability; rules applied after account and catalog joins.</t>
        </is>
      </c>
    </row>
    <row r="3" ht="54" customHeight="1" s="16">
      <c r="A3" s="68" t="inlineStr">
        <is>
          <t>MRQ-2026-0710-002</t>
        </is>
      </c>
      <c r="B3" s="68" t="inlineStr">
        <is>
          <t>NHG-MRQ-2026-07-002</t>
        </is>
      </c>
      <c r="C3" s="68" t="inlineStr">
        <is>
          <t>MATCH</t>
        </is>
      </c>
      <c r="D3" s="68" t="inlineStr">
        <is>
          <t>MATCH</t>
        </is>
      </c>
      <c r="E3" s="68" t="inlineStr">
        <is>
          <t>MATCH</t>
        </is>
      </c>
      <c r="F3" s="68" t="inlineStr">
        <is>
          <t>MATCH</t>
        </is>
      </c>
      <c r="G3" s="68" t="inlineStr">
        <is>
          <t>N/A</t>
        </is>
      </c>
      <c r="H3" s="69" t="inlineStr">
        <is>
          <t>Substitution resolved before orderability; rules applied after account and catalog joins.</t>
        </is>
      </c>
    </row>
    <row r="4" ht="54" customHeight="1" s="16">
      <c r="A4" s="66" t="inlineStr">
        <is>
          <t>MRQ-2026-0710-003</t>
        </is>
      </c>
      <c r="B4" s="66" t="inlineStr">
        <is>
          <t>NHG-MRQ-2026-07-003</t>
        </is>
      </c>
      <c r="C4" s="66" t="inlineStr">
        <is>
          <t>MATCH</t>
        </is>
      </c>
      <c r="D4" s="66" t="inlineStr">
        <is>
          <t>MATCH</t>
        </is>
      </c>
      <c r="E4" s="66" t="inlineStr">
        <is>
          <t>MATCH</t>
        </is>
      </c>
      <c r="F4" s="66" t="inlineStr">
        <is>
          <t>MATCH</t>
        </is>
      </c>
      <c r="G4" s="66" t="inlineStr">
        <is>
          <t>N/A</t>
        </is>
      </c>
      <c r="H4" s="67" t="inlineStr">
        <is>
          <t>Substitution resolved before orderability; rules applied after account and catalog joins.</t>
        </is>
      </c>
    </row>
    <row r="5" ht="54" customHeight="1" s="16">
      <c r="A5" s="68" t="inlineStr">
        <is>
          <t>MRQ-2026-0710-004</t>
        </is>
      </c>
      <c r="B5" s="68" t="inlineStr">
        <is>
          <t>NHG-MRQ-2026-07-004</t>
        </is>
      </c>
      <c r="C5" s="68" t="inlineStr">
        <is>
          <t>MATCH</t>
        </is>
      </c>
      <c r="D5" s="68" t="inlineStr">
        <is>
          <t>MATCH</t>
        </is>
      </c>
      <c r="E5" s="68" t="inlineStr">
        <is>
          <t>MATCH</t>
        </is>
      </c>
      <c r="F5" s="68" t="inlineStr">
        <is>
          <t>MATCH</t>
        </is>
      </c>
      <c r="G5" s="68" t="inlineStr">
        <is>
          <t>N/A</t>
        </is>
      </c>
      <c r="H5" s="69" t="inlineStr">
        <is>
          <t>Substitution resolved before orderability; rules applied after account and catalog joins.</t>
        </is>
      </c>
    </row>
    <row r="6" ht="54" customHeight="1" s="16">
      <c r="A6" s="66" t="inlineStr">
        <is>
          <t>MRQ-2026-0710-005</t>
        </is>
      </c>
      <c r="B6" s="66" t="inlineStr">
        <is>
          <t>NHG-MRQ-2026-07-005</t>
        </is>
      </c>
      <c r="C6" s="66" t="inlineStr">
        <is>
          <t>MATCH</t>
        </is>
      </c>
      <c r="D6" s="66" t="inlineStr">
        <is>
          <t>MATCH</t>
        </is>
      </c>
      <c r="E6" s="66" t="inlineStr">
        <is>
          <t>MATCH</t>
        </is>
      </c>
      <c r="F6" s="66" t="inlineStr">
        <is>
          <t>MATCH</t>
        </is>
      </c>
      <c r="G6" s="66" t="inlineStr">
        <is>
          <t>MATCH</t>
        </is>
      </c>
      <c r="H6" s="67" t="inlineStr">
        <is>
          <t>Substitution resolved before orderability; rules applied after account and catalog joins.</t>
        </is>
      </c>
    </row>
    <row r="7" ht="54" customHeight="1" s="16">
      <c r="A7" s="68" t="inlineStr">
        <is>
          <t>MRQ-2026-0710-006</t>
        </is>
      </c>
      <c r="B7" s="68" t="inlineStr">
        <is>
          <t>NHG-MRQ-2026-07-006</t>
        </is>
      </c>
      <c r="C7" s="68" t="inlineStr">
        <is>
          <t>MATCH</t>
        </is>
      </c>
      <c r="D7" s="68" t="inlineStr">
        <is>
          <t>MATCH</t>
        </is>
      </c>
      <c r="E7" s="68" t="inlineStr">
        <is>
          <t>MATCH</t>
        </is>
      </c>
      <c r="F7" s="68" t="inlineStr">
        <is>
          <t>MATCH</t>
        </is>
      </c>
      <c r="G7" s="68" t="inlineStr">
        <is>
          <t>N/A</t>
        </is>
      </c>
      <c r="H7" s="69" t="inlineStr">
        <is>
          <t>Substitution resolved before orderability; rules applied after account and catalog joins.</t>
        </is>
      </c>
    </row>
    <row r="8" ht="54" customHeight="1" s="16">
      <c r="A8" s="66" t="inlineStr">
        <is>
          <t>MRQ-2026-0710-007</t>
        </is>
      </c>
      <c r="B8" s="66" t="inlineStr">
        <is>
          <t>NHG-MRQ-2026-07-007</t>
        </is>
      </c>
      <c r="C8" s="66" t="inlineStr">
        <is>
          <t>MATCH</t>
        </is>
      </c>
      <c r="D8" s="66" t="inlineStr">
        <is>
          <t>MATCH</t>
        </is>
      </c>
      <c r="E8" s="66" t="inlineStr">
        <is>
          <t>MATCH</t>
        </is>
      </c>
      <c r="F8" s="66" t="inlineStr">
        <is>
          <t>MATCH</t>
        </is>
      </c>
      <c r="G8" s="66" t="inlineStr">
        <is>
          <t>N/A</t>
        </is>
      </c>
      <c r="H8" s="67" t="inlineStr">
        <is>
          <t>Substitution resolved before orderability; rules applied after account and catalog joins.</t>
        </is>
      </c>
    </row>
    <row r="9" ht="54" customHeight="1" s="16">
      <c r="A9" s="68" t="inlineStr">
        <is>
          <t>MRQ-2026-0710-008</t>
        </is>
      </c>
      <c r="B9" s="68" t="inlineStr">
        <is>
          <t>NHG-MRQ-2026-07-008</t>
        </is>
      </c>
      <c r="C9" s="68" t="inlineStr">
        <is>
          <t>MATCH</t>
        </is>
      </c>
      <c r="D9" s="68" t="inlineStr">
        <is>
          <t>MATCH</t>
        </is>
      </c>
      <c r="E9" s="68" t="inlineStr">
        <is>
          <t>MATCH</t>
        </is>
      </c>
      <c r="F9" s="68" t="inlineStr">
        <is>
          <t>MATCH</t>
        </is>
      </c>
      <c r="G9" s="68" t="inlineStr">
        <is>
          <t>N/A</t>
        </is>
      </c>
      <c r="H9" s="69" t="inlineStr">
        <is>
          <t>Substitution resolved before orderability; rules applied after account and catalog joins.</t>
        </is>
      </c>
    </row>
    <row r="10" ht="54" customHeight="1" s="16">
      <c r="A10" s="66" t="inlineStr">
        <is>
          <t>MRQ-2026-0710-009</t>
        </is>
      </c>
      <c r="B10" s="66" t="inlineStr">
        <is>
          <t>NHG-MRQ-2026-07-009</t>
        </is>
      </c>
      <c r="C10" s="66" t="inlineStr">
        <is>
          <t>MATCH</t>
        </is>
      </c>
      <c r="D10" s="66" t="inlineStr">
        <is>
          <t>MATCH</t>
        </is>
      </c>
      <c r="E10" s="66" t="inlineStr">
        <is>
          <t>MATCH</t>
        </is>
      </c>
      <c r="F10" s="66" t="inlineStr">
        <is>
          <t>MATCH</t>
        </is>
      </c>
      <c r="G10" s="66" t="inlineStr">
        <is>
          <t>N/A</t>
        </is>
      </c>
      <c r="H10" s="67" t="inlineStr">
        <is>
          <t>Substitution resolved before orderability; rules applied after account and catalog joins.</t>
        </is>
      </c>
    </row>
    <row r="11" ht="54" customHeight="1" s="16">
      <c r="A11" s="68" t="inlineStr">
        <is>
          <t>MRQ-2026-0710-010</t>
        </is>
      </c>
      <c r="B11" s="68" t="inlineStr">
        <is>
          <t>NHG-MRQ-2026-07-010</t>
        </is>
      </c>
      <c r="C11" s="68" t="inlineStr">
        <is>
          <t>MATCH</t>
        </is>
      </c>
      <c r="D11" s="68" t="inlineStr">
        <is>
          <t>MATCH</t>
        </is>
      </c>
      <c r="E11" s="68" t="inlineStr">
        <is>
          <t>MATCH</t>
        </is>
      </c>
      <c r="F11" s="68" t="inlineStr">
        <is>
          <t>MATCH</t>
        </is>
      </c>
      <c r="G11" s="68" t="inlineStr">
        <is>
          <t>N/A</t>
        </is>
      </c>
      <c r="H11" s="69" t="inlineStr">
        <is>
          <t>Substitution resolved before orderability; rules applied after account and catalog joins.</t>
        </is>
      </c>
    </row>
    <row r="12" ht="54" customHeight="1" s="16">
      <c r="A12" s="66" t="inlineStr">
        <is>
          <t>MRQ-2026-0710-011</t>
        </is>
      </c>
      <c r="B12" s="66" t="inlineStr">
        <is>
          <t>NHG-MRQ-2026-07-011</t>
        </is>
      </c>
      <c r="C12" s="66" t="inlineStr">
        <is>
          <t>MATCH</t>
        </is>
      </c>
      <c r="D12" s="66" t="inlineStr">
        <is>
          <t>MATCH</t>
        </is>
      </c>
      <c r="E12" s="66" t="inlineStr">
        <is>
          <t>MATCH</t>
        </is>
      </c>
      <c r="F12" s="66" t="inlineStr">
        <is>
          <t>MATCH</t>
        </is>
      </c>
      <c r="G12" s="66" t="inlineStr">
        <is>
          <t>N/A</t>
        </is>
      </c>
      <c r="H12" s="67" t="inlineStr">
        <is>
          <t>Substitution resolved before orderability; rules applied after account and catalog joins.</t>
        </is>
      </c>
    </row>
    <row r="13" ht="54" customHeight="1" s="16">
      <c r="A13" s="68" t="inlineStr">
        <is>
          <t>MRQ-2026-0710-012</t>
        </is>
      </c>
      <c r="B13" s="68" t="inlineStr">
        <is>
          <t>NHG-MRQ-2026-07-012</t>
        </is>
      </c>
      <c r="C13" s="68" t="inlineStr">
        <is>
          <t>MATCH</t>
        </is>
      </c>
      <c r="D13" s="68" t="inlineStr">
        <is>
          <t>MATCH</t>
        </is>
      </c>
      <c r="E13" s="68" t="inlineStr">
        <is>
          <t>MATCH</t>
        </is>
      </c>
      <c r="F13" s="68" t="inlineStr">
        <is>
          <t>MATCH</t>
        </is>
      </c>
      <c r="G13" s="68" t="inlineStr">
        <is>
          <t>N/A</t>
        </is>
      </c>
      <c r="H13" s="69" t="inlineStr">
        <is>
          <t>Substitution resolved before orderability; rules applied after account and catalog joins.</t>
        </is>
      </c>
    </row>
    <row r="14" ht="54" customHeight="1" s="16">
      <c r="A14" s="66" t="inlineStr">
        <is>
          <t>MRQ-2026-0710-013</t>
        </is>
      </c>
      <c r="B14" s="66" t="inlineStr">
        <is>
          <t>NHG-MRQ-2026-07-013</t>
        </is>
      </c>
      <c r="C14" s="66" t="inlineStr">
        <is>
          <t>MATCH</t>
        </is>
      </c>
      <c r="D14" s="66" t="inlineStr">
        <is>
          <t>MATCH</t>
        </is>
      </c>
      <c r="E14" s="66" t="inlineStr">
        <is>
          <t>MATCH</t>
        </is>
      </c>
      <c r="F14" s="66" t="inlineStr">
        <is>
          <t>MATCH</t>
        </is>
      </c>
      <c r="G14" s="66" t="inlineStr">
        <is>
          <t>MATCH</t>
        </is>
      </c>
      <c r="H14" s="67" t="inlineStr">
        <is>
          <t>Substitution resolved before orderability; rules applied after account and catalog joins.</t>
        </is>
      </c>
    </row>
    <row r="15" ht="54" customHeight="1" s="16">
      <c r="A15" s="68" t="inlineStr">
        <is>
          <t>MRQ-2026-0710-014</t>
        </is>
      </c>
      <c r="B15" s="68" t="inlineStr">
        <is>
          <t>NHG-MRQ-2026-07-014</t>
        </is>
      </c>
      <c r="C15" s="68" t="inlineStr">
        <is>
          <t>MATCH</t>
        </is>
      </c>
      <c r="D15" s="68" t="inlineStr">
        <is>
          <t>MATCH</t>
        </is>
      </c>
      <c r="E15" s="68" t="inlineStr">
        <is>
          <t>HELD_UNCLEAR</t>
        </is>
      </c>
      <c r="F15" s="68" t="inlineStr">
        <is>
          <t>MATCH</t>
        </is>
      </c>
      <c r="G15" s="68" t="inlineStr">
        <is>
          <t>N/A</t>
        </is>
      </c>
      <c r="H15" s="69" t="inlineStr">
        <is>
          <t>Substitution resolved before orderability; rules applied after account and catalog joins.</t>
        </is>
      </c>
    </row>
    <row r="16" ht="54" customHeight="1" s="16">
      <c r="A16" s="66" t="inlineStr">
        <is>
          <t>MRQ-2026-0710-015</t>
        </is>
      </c>
      <c r="B16" s="66" t="inlineStr">
        <is>
          <t>NHG-MRQ-2026-07-015</t>
        </is>
      </c>
      <c r="C16" s="66" t="inlineStr">
        <is>
          <t>MATCH</t>
        </is>
      </c>
      <c r="D16" s="66" t="inlineStr">
        <is>
          <t>MATCH</t>
        </is>
      </c>
      <c r="E16" s="66" t="inlineStr">
        <is>
          <t>MATCH</t>
        </is>
      </c>
      <c r="F16" s="66" t="inlineStr">
        <is>
          <t>MATCH</t>
        </is>
      </c>
      <c r="G16" s="66" t="inlineStr">
        <is>
          <t>N/A</t>
        </is>
      </c>
      <c r="H16" s="67" t="inlineStr">
        <is>
          <t>Substitution resolved before orderability; rules applied after account and catalog joins.</t>
        </is>
      </c>
    </row>
    <row r="17" ht="54" customHeight="1" s="16">
      <c r="A17" s="68" t="inlineStr">
        <is>
          <t>MRQ-2026-0710-016</t>
        </is>
      </c>
      <c r="B17" s="68" t="inlineStr">
        <is>
          <t>NHG-MRQ-2026-07-016</t>
        </is>
      </c>
      <c r="C17" s="68" t="inlineStr">
        <is>
          <t>MATCH</t>
        </is>
      </c>
      <c r="D17" s="68" t="inlineStr">
        <is>
          <t>MATCH</t>
        </is>
      </c>
      <c r="E17" s="68" t="inlineStr">
        <is>
          <t>MATCH</t>
        </is>
      </c>
      <c r="F17" s="68" t="inlineStr">
        <is>
          <t>MATCH</t>
        </is>
      </c>
      <c r="G17" s="68" t="inlineStr">
        <is>
          <t>N/A</t>
        </is>
      </c>
      <c r="H17" s="69" t="inlineStr">
        <is>
          <t>Substitution resolved before orderability; rules applied after account and catalog joins.</t>
        </is>
      </c>
    </row>
    <row r="18" ht="54" customHeight="1" s="16">
      <c r="A18" s="66" t="inlineStr">
        <is>
          <t>MRQ-2026-0710-017</t>
        </is>
      </c>
      <c r="B18" s="66" t="inlineStr">
        <is>
          <t>NHG-MRQ-2026-07-017</t>
        </is>
      </c>
      <c r="C18" s="66" t="inlineStr">
        <is>
          <t>MATCH</t>
        </is>
      </c>
      <c r="D18" s="66" t="inlineStr">
        <is>
          <t>MATCH</t>
        </is>
      </c>
      <c r="E18" s="66" t="inlineStr">
        <is>
          <t>MATCH</t>
        </is>
      </c>
      <c r="F18" s="66" t="inlineStr">
        <is>
          <t>MATCH</t>
        </is>
      </c>
      <c r="G18" s="66" t="inlineStr">
        <is>
          <t>N/A</t>
        </is>
      </c>
      <c r="H18" s="67" t="inlineStr">
        <is>
          <t>Substitution resolved before orderability; rules applied after account and catalog joins.</t>
        </is>
      </c>
    </row>
    <row r="19" ht="54" customHeight="1" s="16">
      <c r="A19" s="68" t="inlineStr">
        <is>
          <t>MRQ-2026-0710-018</t>
        </is>
      </c>
      <c r="B19" s="68" t="inlineStr">
        <is>
          <t>NHG-MRQ-2026-07-018</t>
        </is>
      </c>
      <c r="C19" s="68" t="inlineStr">
        <is>
          <t>MATCH</t>
        </is>
      </c>
      <c r="D19" s="68" t="inlineStr">
        <is>
          <t>MATCH</t>
        </is>
      </c>
      <c r="E19" s="68" t="inlineStr">
        <is>
          <t>MATCH</t>
        </is>
      </c>
      <c r="F19" s="68" t="inlineStr">
        <is>
          <t>MATCH</t>
        </is>
      </c>
      <c r="G19" s="68" t="inlineStr">
        <is>
          <t>MATCH</t>
        </is>
      </c>
      <c r="H19" s="69" t="inlineStr">
        <is>
          <t>Substitution resolved before orderability; rules applied after account and catalog joins.</t>
        </is>
      </c>
    </row>
  </sheetData>
  <autoFilter ref="A1:H19"/>
  <conditionalFormatting sqref="A1:H19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2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H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25" customWidth="1" style="15" min="2" max="3"/>
    <col width="23" customWidth="1" style="16" min="3" max="3"/>
    <col width="15" customWidth="1" style="15" min="4" max="4"/>
    <col width="14" customWidth="1" style="15" min="5" max="5"/>
    <col width="15" customWidth="1" style="15" min="6" max="6"/>
    <col width="20" customWidth="1" style="15" min="7" max="8"/>
    <col width="20" customWidth="1" style="16" min="8" max="8"/>
    <col width="24" customWidth="1" style="15" min="9" max="9"/>
    <col width="39" customWidth="1" style="15" min="10" max="10"/>
    <col width="32" customWidth="1" style="15" min="11" max="11"/>
    <col width="25" customWidth="1" style="15" min="12" max="13"/>
    <col width="23" customWidth="1" style="16" min="13" max="13"/>
    <col width="24" customWidth="1" style="15" min="14" max="14"/>
    <col width="29" customWidth="1" style="15" min="15" max="16"/>
    <col width="30" customWidth="1" style="16" min="16" max="16"/>
    <col width="30" customWidth="1" style="15" min="17" max="17"/>
    <col width="28" customWidth="1" style="15" min="18" max="18"/>
    <col width="25" customWidth="1" style="15" min="19" max="19"/>
    <col width="17" customWidth="1" style="15" min="20" max="20"/>
    <col width="19" customWidth="1" style="15" min="21" max="21"/>
    <col width="24" customWidth="1" style="15" min="22" max="22"/>
    <col width="36" customWidth="1" style="15" min="23" max="23"/>
    <col width="34" customWidth="1" style="15" min="24" max="24"/>
    <col width="20" customWidth="1" style="15" min="25" max="25"/>
    <col width="26" customWidth="1" style="15" min="26" max="26"/>
    <col width="23" customWidth="1" style="15" min="27" max="27"/>
    <col width="17" customWidth="1" style="15" min="28" max="28"/>
    <col width="26" customWidth="1" style="15" min="29" max="29"/>
    <col width="36" customWidth="1" style="15" min="30" max="34"/>
    <col width="24" customWidth="1" style="16" min="31" max="31"/>
    <col width="30" customWidth="1" style="16" min="32" max="32"/>
    <col width="44" customWidth="1" style="16" min="33" max="33"/>
    <col width="20" customWidth="1" style="16" min="34" max="34"/>
  </cols>
  <sheetData>
    <row r="1" ht="29" customHeight="1" s="16">
      <c r="A1" s="65" t="inlineStr">
        <is>
          <t>Case_ID</t>
        </is>
      </c>
      <c r="B1" s="65" t="inlineStr">
        <is>
          <t>Source_Corr_ID</t>
        </is>
      </c>
      <c r="C1" s="65" t="inlineStr">
        <is>
          <t>Received_Date</t>
        </is>
      </c>
      <c r="D1" s="65" t="inlineStr">
        <is>
          <t>Customer_ID</t>
        </is>
      </c>
      <c r="E1" s="65" t="inlineStr">
        <is>
          <t>Account_ID</t>
        </is>
      </c>
      <c r="F1" s="65" t="inlineStr">
        <is>
          <t>Warranty_ID</t>
        </is>
      </c>
      <c r="G1" s="65" t="inlineStr">
        <is>
          <t>Requested_SKU</t>
        </is>
      </c>
      <c r="H1" s="65" t="inlineStr">
        <is>
          <t>Resolved_SKU</t>
        </is>
      </c>
      <c r="I1" s="65" t="inlineStr">
        <is>
          <t>Quantity_Requested</t>
        </is>
      </c>
      <c r="J1" s="65" t="inlineStr">
        <is>
          <t>Remaining_Replacement_Allowance</t>
        </is>
      </c>
      <c r="K1" s="65" t="inlineStr">
        <is>
          <t>Quantity_Approved_Formula</t>
        </is>
      </c>
      <c r="L1" s="65" t="inlineStr">
        <is>
          <t>Coverage_Start_Date</t>
        </is>
      </c>
      <c r="M1" s="65" t="inlineStr">
        <is>
          <t>Coverage_End_Date</t>
        </is>
      </c>
      <c r="N1" s="65" t="inlineStr">
        <is>
          <t>Entitlement_Status</t>
        </is>
      </c>
      <c r="O1" s="65" t="inlineStr">
        <is>
          <t>Covered_Product_Family</t>
        </is>
      </c>
      <c r="P1" s="65" t="inlineStr">
        <is>
          <t>Resolved_Product_Family</t>
        </is>
      </c>
      <c r="Q1" s="65" t="inlineStr">
        <is>
          <t>Warranty_Active_Formula</t>
        </is>
      </c>
      <c r="R1" s="65" t="inlineStr">
        <is>
          <t>Family_Covered_Formula</t>
        </is>
      </c>
      <c r="S1" s="65" t="inlineStr">
        <is>
          <t>Proof_Required_Flag</t>
        </is>
      </c>
      <c r="T1" s="65" t="inlineStr">
        <is>
          <t>Proof_Status</t>
        </is>
      </c>
      <c r="U1" s="65" t="inlineStr">
        <is>
          <t>Address_Status</t>
        </is>
      </c>
      <c r="V1" s="65" t="inlineStr">
        <is>
          <t>Credit_Status_Code</t>
        </is>
      </c>
      <c r="W1" s="65" t="inlineStr">
        <is>
          <t>Resolved_Standard_Order_Flag</t>
        </is>
      </c>
      <c r="X1" s="65" t="inlineStr">
        <is>
          <t>Requested_Discontinued_Flag</t>
        </is>
      </c>
      <c r="Y1" s="65" t="inlineStr">
        <is>
          <t>Replacement_SKU</t>
        </is>
      </c>
      <c r="Z1" s="65" t="inlineStr">
        <is>
          <t>Special_Product_Flag</t>
        </is>
      </c>
      <c r="AA1" s="65" t="inlineStr">
        <is>
          <t>Capability_Status</t>
        </is>
      </c>
      <c r="AB1" s="65" t="inlineStr">
        <is>
          <t>Resolved_Atp</t>
        </is>
      </c>
      <c r="AC1" s="65" t="inlineStr">
        <is>
          <t>Inventory_Ok_Formula</t>
        </is>
      </c>
      <c r="AD1" s="65" t="inlineStr">
        <is>
          <t>Exception_Code_Formula</t>
        </is>
      </c>
      <c r="AE1" s="65" t="inlineStr">
        <is>
          <t>Route_Code_Formula</t>
        </is>
      </c>
      <c r="AF1" s="65" t="inlineStr">
        <is>
          <t>Response_Type_Formula</t>
        </is>
      </c>
      <c r="AG1" s="65" t="inlineStr">
        <is>
          <t>Final_Disposition_Formula</t>
        </is>
      </c>
      <c r="AH1" s="65" t="inlineStr">
        <is>
          <t>Line_Value_Formula</t>
        </is>
      </c>
    </row>
    <row r="2" ht="36" customHeight="1" s="16">
      <c r="A2" s="66" t="inlineStr">
        <is>
          <t>MRQ-2026-0710-001</t>
        </is>
      </c>
      <c r="B2" s="66" t="inlineStr">
        <is>
          <t>NHG-MRQ-2026-07-001</t>
        </is>
      </c>
      <c r="C2" s="72" t="n">
        <v>46204</v>
      </c>
      <c r="D2" s="66" t="inlineStr">
        <is>
          <t>CUST-1001</t>
        </is>
      </c>
      <c r="E2" s="66" t="inlineStr">
        <is>
          <t>ACCT-7701</t>
        </is>
      </c>
      <c r="F2" s="66" t="inlineStr">
        <is>
          <t>W-5501</t>
        </is>
      </c>
      <c r="G2" s="66" t="inlineStr">
        <is>
          <t>WH-FLTR-200</t>
        </is>
      </c>
      <c r="H2" s="66" t="inlineStr">
        <is>
          <t>WH-FLTR-200</t>
        </is>
      </c>
      <c r="I2" s="73" t="n">
        <v>2</v>
      </c>
      <c r="J2" s="73" t="n">
        <v>4</v>
      </c>
      <c r="K2" s="73">
        <f>IF(AND(N2="Active",C2&gt;=L2,C2&lt;=M2,P2=O2),MIN(I2,J2),0)</f>
        <v/>
      </c>
      <c r="L2" s="72" t="n">
        <v>45870</v>
      </c>
      <c r="M2" s="72" t="n">
        <v>46600</v>
      </c>
      <c r="N2" s="66" t="inlineStr">
        <is>
          <t>Active</t>
        </is>
      </c>
      <c r="O2" s="66" t="inlineStr">
        <is>
          <t>Water Filtration</t>
        </is>
      </c>
      <c r="P2" s="66" t="inlineStr">
        <is>
          <t>Water Filtration</t>
        </is>
      </c>
      <c r="Q2" s="73">
        <f>IF(AND(N2="Active",C2&gt;=L2,C2&lt;=M2),"Y","N")</f>
        <v/>
      </c>
      <c r="R2" s="73">
        <f>IF(P2=O2,"Y","N")</f>
        <v/>
      </c>
      <c r="S2" s="66" t="inlineStr">
        <is>
          <t>N</t>
        </is>
      </c>
      <c r="T2" s="66" t="inlineStr">
        <is>
          <t>Received</t>
        </is>
      </c>
      <c r="U2" s="66" t="inlineStr">
        <is>
          <t>Validated</t>
        </is>
      </c>
      <c r="V2" s="66" t="inlineStr">
        <is>
          <t>CLEAR</t>
        </is>
      </c>
      <c r="W2" s="66" t="inlineStr">
        <is>
          <t>Y</t>
        </is>
      </c>
      <c r="X2" s="66" t="inlineStr">
        <is>
          <t>N</t>
        </is>
      </c>
      <c r="Y2" s="66" t="n"/>
      <c r="Z2" s="66" t="inlineStr">
        <is>
          <t>N</t>
        </is>
      </c>
      <c r="AA2" s="66" t="n"/>
      <c r="AB2" s="73" t="n">
        <v>50</v>
      </c>
      <c r="AC2" s="73">
        <f>IF(AB2&gt;=K2,"Y","N")</f>
        <v/>
      </c>
      <c r="AD2" s="81">
        <f>IF(Case_Register!J2&lt;&gt;"","DUPLICATE_REQUEST",IF(Requested_Items_Unclear!A2="Y","UNCLEAR_PRODUCT",IF(Q2&lt;&gt;"Y","EXPIRED_ENTITLEMENT",IF(R2&lt;&gt;"Y","FAMILY_NOT_COVERED",IF(AND(S2="Y",T2&lt;&gt;"Received"),"MISSING_PROOF",IF(U2&lt;&gt;"Validated","INVALID_ADDRESS",IF(V2&lt;&gt;"CLEAR","CREDIT_HOLD",IF(Z2="Y",IF(AA2="Blocked","SPECIAL_NONSTARTER","SPECIAL_FEASIBILITY"),IF(AND(X2="Y",Y2=""),"DISCONTINUED_NO_REPLACEMENT",IF(W2&lt;&gt;"Y","DISCONTINUED_NO_REPLACEMENT",IF(K2&lt;I2,"QTY_CAP_PARTIAL",IF(AC2&lt;&gt;"Y","BACKORDER",""))))))))))))</f>
        <v/>
      </c>
      <c r="AE2" s="81">
        <f>IF(AD2="SPECIAL_FEASIBILITY",IF(G2="SP-CUSTOM-PANEL","RTE-CUSTOM-PANEL",IF(G2="SP-ADAPT-KIT","RTE-ENG-ADAPT","")),"")</f>
        <v/>
      </c>
      <c r="AF2" s="81">
        <f>IF(AD2="",IF(Y2&lt;&gt;"","R_STANDARD_SUBSTITUTE","R_STANDARD_ORDER"),VLOOKUP(AD2,Rule_Codes!$A$2:$C$14,3,FALSE()))</f>
        <v/>
      </c>
      <c r="AG2" s="83">
        <f>IF(AD2="",IF(Y2&lt;&gt;"","STANDARD_ORDER_SUBSTITUTE_PREPARED","STANDARD_ORDER_PREPARED"),VLOOKUP(AD2,Rule_Codes!$A$2:$B$14,2,FALSE()))</f>
        <v/>
      </c>
      <c r="AH2" s="74">
        <f>IF(OR(AD2="",AD2="QTY_CAP_PARTIAL"),K2*Price_Map!B2,0)</f>
        <v/>
      </c>
    </row>
    <row r="3" ht="36" customHeight="1" s="16">
      <c r="A3" s="68" t="inlineStr">
        <is>
          <t>MRQ-2026-0710-002</t>
        </is>
      </c>
      <c r="B3" s="68" t="inlineStr">
        <is>
          <t>NHG-MRQ-2026-07-002</t>
        </is>
      </c>
      <c r="C3" s="75" t="n">
        <v>46205</v>
      </c>
      <c r="D3" s="68" t="inlineStr">
        <is>
          <t>CUST-1002</t>
        </is>
      </c>
      <c r="E3" s="68" t="inlineStr">
        <is>
          <t>ACCT-7702</t>
        </is>
      </c>
      <c r="F3" s="68" t="inlineStr">
        <is>
          <t>W-5502</t>
        </is>
      </c>
      <c r="G3" s="68" t="inlineStr">
        <is>
          <t>WH-HINGE-510</t>
        </is>
      </c>
      <c r="H3" s="68" t="inlineStr">
        <is>
          <t>WH-HINGE-520</t>
        </is>
      </c>
      <c r="I3" s="76" t="n">
        <v>1</v>
      </c>
      <c r="J3" s="76" t="n">
        <v>2</v>
      </c>
      <c r="K3" s="76">
        <f>IF(AND(N3="Active",C3&gt;=L3,C3&lt;=M3,P3=O3),MIN(I3,J3),0)</f>
        <v/>
      </c>
      <c r="L3" s="75" t="n">
        <v>45792</v>
      </c>
      <c r="M3" s="75" t="n">
        <v>46522</v>
      </c>
      <c r="N3" s="68" t="inlineStr">
        <is>
          <t>Active</t>
        </is>
      </c>
      <c r="O3" s="68" t="inlineStr">
        <is>
          <t>Cabinet Hardware</t>
        </is>
      </c>
      <c r="P3" s="68" t="inlineStr">
        <is>
          <t>Cabinet Hardware</t>
        </is>
      </c>
      <c r="Q3" s="76">
        <f>IF(AND(N3="Active",C3&gt;=L3,C3&lt;=M3),"Y","N")</f>
        <v/>
      </c>
      <c r="R3" s="76">
        <f>IF(P3=O3,"Y","N")</f>
        <v/>
      </c>
      <c r="S3" s="68" t="inlineStr">
        <is>
          <t>N</t>
        </is>
      </c>
      <c r="T3" s="68" t="inlineStr">
        <is>
          <t>Received</t>
        </is>
      </c>
      <c r="U3" s="68" t="inlineStr">
        <is>
          <t>Validated</t>
        </is>
      </c>
      <c r="V3" s="68" t="inlineStr">
        <is>
          <t>CLEAR</t>
        </is>
      </c>
      <c r="W3" s="68" t="inlineStr">
        <is>
          <t>Y</t>
        </is>
      </c>
      <c r="X3" s="68" t="inlineStr">
        <is>
          <t>Y</t>
        </is>
      </c>
      <c r="Y3" s="68" t="inlineStr">
        <is>
          <t>WH-HINGE-520</t>
        </is>
      </c>
      <c r="Z3" s="68" t="inlineStr">
        <is>
          <t>N</t>
        </is>
      </c>
      <c r="AA3" s="68" t="n"/>
      <c r="AB3" s="76" t="n">
        <v>12</v>
      </c>
      <c r="AC3" s="76">
        <f>IF(AB3&gt;=K3,"Y","N")</f>
        <v/>
      </c>
      <c r="AD3" s="82">
        <f>IF(Case_Register!J3&lt;&gt;"","DUPLICATE_REQUEST",IF(Requested_Items_Unclear!A3="Y","UNCLEAR_PRODUCT",IF(Q3&lt;&gt;"Y","EXPIRED_ENTITLEMENT",IF(R3&lt;&gt;"Y","FAMILY_NOT_COVERED",IF(AND(S3="Y",T3&lt;&gt;"Received"),"MISSING_PROOF",IF(U3&lt;&gt;"Validated","INVALID_ADDRESS",IF(V3&lt;&gt;"CLEAR","CREDIT_HOLD",IF(Z3="Y",IF(AA3="Blocked","SPECIAL_NONSTARTER","SPECIAL_FEASIBILITY"),IF(AND(X3="Y",Y3=""),"DISCONTINUED_NO_REPLACEMENT",IF(W3&lt;&gt;"Y","DISCONTINUED_NO_REPLACEMENT",IF(K3&lt;I3,"QTY_CAP_PARTIAL",IF(AC3&lt;&gt;"Y","BACKORDER",""))))))))))))</f>
        <v/>
      </c>
      <c r="AE3" s="82">
        <f>IF(AD3="SPECIAL_FEASIBILITY",IF(G3="SP-CUSTOM-PANEL","RTE-CUSTOM-PANEL",IF(G3="SP-ADAPT-KIT","RTE-ENG-ADAPT","")),"")</f>
        <v/>
      </c>
      <c r="AF3" s="82">
        <f>IF(AD3="",IF(Y3&lt;&gt;"","R_STANDARD_SUBSTITUTE","R_STANDARD_ORDER"),VLOOKUP(AD3,Rule_Codes!$A$2:$C$14,3,FALSE()))</f>
        <v/>
      </c>
      <c r="AG3" s="84">
        <f>IF(AD3="",IF(Y3&lt;&gt;"","STANDARD_ORDER_SUBSTITUTE_PREPARED","STANDARD_ORDER_PREPARED"),VLOOKUP(AD3,Rule_Codes!$A$2:$B$14,2,FALSE()))</f>
        <v/>
      </c>
      <c r="AH3" s="77">
        <f>IF(OR(AD3="",AD3="QTY_CAP_PARTIAL"),K3*Price_Map!B3,0)</f>
        <v/>
      </c>
    </row>
    <row r="4" ht="36" customHeight="1" s="16">
      <c r="A4" s="66" t="inlineStr">
        <is>
          <t>MRQ-2026-0710-003</t>
        </is>
      </c>
      <c r="B4" s="66" t="inlineStr">
        <is>
          <t>NHG-MRQ-2026-07-003</t>
        </is>
      </c>
      <c r="C4" s="72" t="n">
        <v>46205</v>
      </c>
      <c r="D4" s="66" t="inlineStr">
        <is>
          <t>CUST-1003</t>
        </is>
      </c>
      <c r="E4" s="66" t="inlineStr">
        <is>
          <t>ACCT-7703</t>
        </is>
      </c>
      <c r="F4" s="66" t="inlineStr">
        <is>
          <t>W-5503</t>
        </is>
      </c>
      <c r="G4" s="66" t="inlineStr">
        <is>
          <t>WH-LEG-700</t>
        </is>
      </c>
      <c r="H4" s="66" t="inlineStr">
        <is>
          <t>WH-LEG-700</t>
        </is>
      </c>
      <c r="I4" s="73" t="n">
        <v>1</v>
      </c>
      <c r="J4" s="73" t="n">
        <v>2</v>
      </c>
      <c r="K4" s="73">
        <f>IF(AND(N4="Active",C4&gt;=L4,C4&lt;=M4,P4=O4),MIN(I4,J4),0)</f>
        <v/>
      </c>
      <c r="L4" s="72" t="n">
        <v>45910</v>
      </c>
      <c r="M4" s="72" t="n">
        <v>46640</v>
      </c>
      <c r="N4" s="66" t="inlineStr">
        <is>
          <t>Active</t>
        </is>
      </c>
      <c r="O4" s="66" t="inlineStr">
        <is>
          <t>Utility Hardware</t>
        </is>
      </c>
      <c r="P4" s="66" t="inlineStr">
        <is>
          <t>Utility Hardware</t>
        </is>
      </c>
      <c r="Q4" s="73">
        <f>IF(AND(N4="Active",C4&gt;=L4,C4&lt;=M4),"Y","N")</f>
        <v/>
      </c>
      <c r="R4" s="73">
        <f>IF(P4=O4,"Y","N")</f>
        <v/>
      </c>
      <c r="S4" s="66" t="inlineStr">
        <is>
          <t>N</t>
        </is>
      </c>
      <c r="T4" s="66" t="inlineStr">
        <is>
          <t>Received</t>
        </is>
      </c>
      <c r="U4" s="66" t="inlineStr">
        <is>
          <t>Validated</t>
        </is>
      </c>
      <c r="V4" s="66" t="inlineStr">
        <is>
          <t>CLEAR</t>
        </is>
      </c>
      <c r="W4" s="66" t="inlineStr">
        <is>
          <t>Y</t>
        </is>
      </c>
      <c r="X4" s="66" t="inlineStr">
        <is>
          <t>N</t>
        </is>
      </c>
      <c r="Y4" s="66" t="n"/>
      <c r="Z4" s="66" t="inlineStr">
        <is>
          <t>N</t>
        </is>
      </c>
      <c r="AA4" s="66" t="n"/>
      <c r="AB4" s="73" t="n">
        <v>0</v>
      </c>
      <c r="AC4" s="73">
        <f>IF(AB4&gt;=K4,"Y","N")</f>
        <v/>
      </c>
      <c r="AD4" s="81">
        <f>IF(Case_Register!J4&lt;&gt;"","DUPLICATE_REQUEST",IF(Requested_Items_Unclear!A4="Y","UNCLEAR_PRODUCT",IF(Q4&lt;&gt;"Y","EXPIRED_ENTITLEMENT",IF(R4&lt;&gt;"Y","FAMILY_NOT_COVERED",IF(AND(S4="Y",T4&lt;&gt;"Received"),"MISSING_PROOF",IF(U4&lt;&gt;"Validated","INVALID_ADDRESS",IF(V4&lt;&gt;"CLEAR","CREDIT_HOLD",IF(Z4="Y",IF(AA4="Blocked","SPECIAL_NONSTARTER","SPECIAL_FEASIBILITY"),IF(AND(X4="Y",Y4=""),"DISCONTINUED_NO_REPLACEMENT",IF(W4&lt;&gt;"Y","DISCONTINUED_NO_REPLACEMENT",IF(K4&lt;I4,"QTY_CAP_PARTIAL",IF(AC4&lt;&gt;"Y","BACKORDER",""))))))))))))</f>
        <v/>
      </c>
      <c r="AE4" s="81">
        <f>IF(AD4="SPECIAL_FEASIBILITY",IF(G4="SP-CUSTOM-PANEL","RTE-CUSTOM-PANEL",IF(G4="SP-ADAPT-KIT","RTE-ENG-ADAPT","")),"")</f>
        <v/>
      </c>
      <c r="AF4" s="81">
        <f>IF(AD4="",IF(Y4&lt;&gt;"","R_STANDARD_SUBSTITUTE","R_STANDARD_ORDER"),VLOOKUP(AD4,Rule_Codes!$A$2:$C$14,3,FALSE()))</f>
        <v/>
      </c>
      <c r="AG4" s="83">
        <f>IF(AD4="",IF(Y4&lt;&gt;"","STANDARD_ORDER_SUBSTITUTE_PREPARED","STANDARD_ORDER_PREPARED"),VLOOKUP(AD4,Rule_Codes!$A$2:$B$14,2,FALSE()))</f>
        <v/>
      </c>
      <c r="AH4" s="73">
        <f>IF(OR(AD4="",AD4="QTY_CAP_PARTIAL"),K4*Price_Map!B4,0)</f>
        <v/>
      </c>
    </row>
    <row r="5" ht="36" customHeight="1" s="16">
      <c r="A5" s="68" t="inlineStr">
        <is>
          <t>MRQ-2026-0710-004</t>
        </is>
      </c>
      <c r="B5" s="68" t="inlineStr">
        <is>
          <t>NHG-MRQ-2026-07-004</t>
        </is>
      </c>
      <c r="C5" s="75" t="n">
        <v>46206</v>
      </c>
      <c r="D5" s="68" t="inlineStr">
        <is>
          <t>CUST-1004</t>
        </is>
      </c>
      <c r="E5" s="68" t="inlineStr">
        <is>
          <t>ACCT-7704</t>
        </is>
      </c>
      <c r="F5" s="68" t="inlineStr">
        <is>
          <t>W-5504</t>
        </is>
      </c>
      <c r="G5" s="68" t="inlineStr">
        <is>
          <t>WH-KNOB-110</t>
        </is>
      </c>
      <c r="H5" s="68" t="inlineStr">
        <is>
          <t>WH-KNOB-110</t>
        </is>
      </c>
      <c r="I5" s="76" t="n">
        <v>2</v>
      </c>
      <c r="J5" s="76" t="n">
        <v>2</v>
      </c>
      <c r="K5" s="76">
        <f>IF(AND(N5="Active",C5&gt;=L5,C5&lt;=M5,P5=O5),MIN(I5,J5),0)</f>
        <v/>
      </c>
      <c r="L5" s="75" t="n">
        <v>45444</v>
      </c>
      <c r="M5" s="75" t="n">
        <v>46203</v>
      </c>
      <c r="N5" s="68" t="inlineStr">
        <is>
          <t>Expired</t>
        </is>
      </c>
      <c r="O5" s="68" t="inlineStr">
        <is>
          <t>Cooking Hardware</t>
        </is>
      </c>
      <c r="P5" s="68" t="inlineStr">
        <is>
          <t>Cooking Hardware</t>
        </is>
      </c>
      <c r="Q5" s="76">
        <f>IF(AND(N5="Active",C5&gt;=L5,C5&lt;=M5),"Y","N")</f>
        <v/>
      </c>
      <c r="R5" s="76">
        <f>IF(P5=O5,"Y","N")</f>
        <v/>
      </c>
      <c r="S5" s="68" t="inlineStr">
        <is>
          <t>N</t>
        </is>
      </c>
      <c r="T5" s="68" t="inlineStr">
        <is>
          <t>Received</t>
        </is>
      </c>
      <c r="U5" s="68" t="inlineStr">
        <is>
          <t>Validated</t>
        </is>
      </c>
      <c r="V5" s="68" t="inlineStr">
        <is>
          <t>CLEAR</t>
        </is>
      </c>
      <c r="W5" s="68" t="inlineStr">
        <is>
          <t>Y</t>
        </is>
      </c>
      <c r="X5" s="68" t="inlineStr">
        <is>
          <t>N</t>
        </is>
      </c>
      <c r="Y5" s="68" t="n"/>
      <c r="Z5" s="68" t="inlineStr">
        <is>
          <t>N</t>
        </is>
      </c>
      <c r="AA5" s="68" t="n"/>
      <c r="AB5" s="76" t="n">
        <v>40</v>
      </c>
      <c r="AC5" s="76">
        <f>IF(AB5&gt;=K5,"Y","N")</f>
        <v/>
      </c>
      <c r="AD5" s="82">
        <f>IF(Case_Register!J5&lt;&gt;"","DUPLICATE_REQUEST",IF(Requested_Items_Unclear!A5="Y","UNCLEAR_PRODUCT",IF(Q5&lt;&gt;"Y","EXPIRED_ENTITLEMENT",IF(R5&lt;&gt;"Y","FAMILY_NOT_COVERED",IF(AND(S5="Y",T5&lt;&gt;"Received"),"MISSING_PROOF",IF(U5&lt;&gt;"Validated","INVALID_ADDRESS",IF(V5&lt;&gt;"CLEAR","CREDIT_HOLD",IF(Z5="Y",IF(AA5="Blocked","SPECIAL_NONSTARTER","SPECIAL_FEASIBILITY"),IF(AND(X5="Y",Y5=""),"DISCONTINUED_NO_REPLACEMENT",IF(W5&lt;&gt;"Y","DISCONTINUED_NO_REPLACEMENT",IF(K5&lt;I5,"QTY_CAP_PARTIAL",IF(AC5&lt;&gt;"Y","BACKORDER",""))))))))))))</f>
        <v/>
      </c>
      <c r="AE5" s="82">
        <f>IF(AD5="SPECIAL_FEASIBILITY",IF(G5="SP-CUSTOM-PANEL","RTE-CUSTOM-PANEL",IF(G5="SP-ADAPT-KIT","RTE-ENG-ADAPT","")),"")</f>
        <v/>
      </c>
      <c r="AF5" s="82">
        <f>IF(AD5="",IF(Y5&lt;&gt;"","R_STANDARD_SUBSTITUTE","R_STANDARD_ORDER"),VLOOKUP(AD5,Rule_Codes!$A$2:$C$14,3,FALSE()))</f>
        <v/>
      </c>
      <c r="AG5" s="84">
        <f>IF(AD5="",IF(Y5&lt;&gt;"","STANDARD_ORDER_SUBSTITUTE_PREPARED","STANDARD_ORDER_PREPARED"),VLOOKUP(AD5,Rule_Codes!$A$2:$B$14,2,FALSE()))</f>
        <v/>
      </c>
      <c r="AH5" s="76">
        <f>IF(OR(AD5="",AD5="QTY_CAP_PARTIAL"),K5*Price_Map!B5,0)</f>
        <v/>
      </c>
    </row>
    <row r="6" ht="36" customHeight="1" s="16">
      <c r="A6" s="66" t="inlineStr">
        <is>
          <t>MRQ-2026-0710-005</t>
        </is>
      </c>
      <c r="B6" s="66" t="inlineStr">
        <is>
          <t>NHG-MRQ-2026-07-005</t>
        </is>
      </c>
      <c r="C6" s="72" t="n">
        <v>46206</v>
      </c>
      <c r="D6" s="66" t="inlineStr">
        <is>
          <t>CUST-1005</t>
        </is>
      </c>
      <c r="E6" s="66" t="inlineStr">
        <is>
          <t>ACCT-7705</t>
        </is>
      </c>
      <c r="F6" s="66" t="inlineStr">
        <is>
          <t>W-5505</t>
        </is>
      </c>
      <c r="G6" s="66" t="inlineStr">
        <is>
          <t>SP-CUSTOM-PANEL</t>
        </is>
      </c>
      <c r="H6" s="66" t="inlineStr">
        <is>
          <t>SP-CUSTOM-PANEL</t>
        </is>
      </c>
      <c r="I6" s="73" t="n">
        <v>1</v>
      </c>
      <c r="J6" s="73" t="n">
        <v>1</v>
      </c>
      <c r="K6" s="73">
        <f>IF(AND(N6="Active",C6&gt;=L6,C6&lt;=M6,P6=O6),MIN(I6,J6),0)</f>
        <v/>
      </c>
      <c r="L6" s="72" t="n">
        <v>45839</v>
      </c>
      <c r="M6" s="72" t="n">
        <v>46569</v>
      </c>
      <c r="N6" s="66" t="inlineStr">
        <is>
          <t>Active</t>
        </is>
      </c>
      <c r="O6" s="66" t="inlineStr">
        <is>
          <t>Custom Panels</t>
        </is>
      </c>
      <c r="P6" s="66" t="inlineStr">
        <is>
          <t>Custom Panels</t>
        </is>
      </c>
      <c r="Q6" s="73">
        <f>IF(AND(N6="Active",C6&gt;=L6,C6&lt;=M6),"Y","N")</f>
        <v/>
      </c>
      <c r="R6" s="73">
        <f>IF(P6=O6,"Y","N")</f>
        <v/>
      </c>
      <c r="S6" s="66" t="inlineStr">
        <is>
          <t>N</t>
        </is>
      </c>
      <c r="T6" s="66" t="inlineStr">
        <is>
          <t>Received</t>
        </is>
      </c>
      <c r="U6" s="66" t="inlineStr">
        <is>
          <t>Validated</t>
        </is>
      </c>
      <c r="V6" s="66" t="inlineStr">
        <is>
          <t>CLEAR</t>
        </is>
      </c>
      <c r="W6" s="66" t="inlineStr">
        <is>
          <t>N</t>
        </is>
      </c>
      <c r="X6" s="66" t="inlineStr">
        <is>
          <t>N</t>
        </is>
      </c>
      <c r="Y6" s="66" t="n"/>
      <c r="Z6" s="66" t="inlineStr">
        <is>
          <t>Y</t>
        </is>
      </c>
      <c r="AA6" s="66" t="inlineStr">
        <is>
          <t>Open</t>
        </is>
      </c>
      <c r="AB6" s="73" t="n">
        <v>0</v>
      </c>
      <c r="AC6" s="73">
        <f>IF(AB6&gt;=K6,"Y","N")</f>
        <v/>
      </c>
      <c r="AD6" s="81">
        <f>IF(Case_Register!J6&lt;&gt;"","DUPLICATE_REQUEST",IF(Requested_Items_Unclear!A6="Y","UNCLEAR_PRODUCT",IF(Q6&lt;&gt;"Y","EXPIRED_ENTITLEMENT",IF(R6&lt;&gt;"Y","FAMILY_NOT_COVERED",IF(AND(S6="Y",T6&lt;&gt;"Received"),"MISSING_PROOF",IF(U6&lt;&gt;"Validated","INVALID_ADDRESS",IF(V6&lt;&gt;"CLEAR","CREDIT_HOLD",IF(Z6="Y",IF(AA6="Blocked","SPECIAL_NONSTARTER","SPECIAL_FEASIBILITY"),IF(AND(X6="Y",Y6=""),"DISCONTINUED_NO_REPLACEMENT",IF(W6&lt;&gt;"Y","DISCONTINUED_NO_REPLACEMENT",IF(K6&lt;I6,"QTY_CAP_PARTIAL",IF(AC6&lt;&gt;"Y","BACKORDER",""))))))))))))</f>
        <v/>
      </c>
      <c r="AE6" s="81">
        <f>IF(AD6="SPECIAL_FEASIBILITY",IF(G6="SP-CUSTOM-PANEL","RTE-CUSTOM-PANEL",IF(G6="SP-ADAPT-KIT","RTE-ENG-ADAPT","")),"")</f>
        <v/>
      </c>
      <c r="AF6" s="81">
        <f>IF(AD6="",IF(Y6&lt;&gt;"","R_STANDARD_SUBSTITUTE","R_STANDARD_ORDER"),VLOOKUP(AD6,Rule_Codes!$A$2:$C$14,3,FALSE()))</f>
        <v/>
      </c>
      <c r="AG6" s="83">
        <f>IF(AD6="",IF(Y6&lt;&gt;"","STANDARD_ORDER_SUBSTITUTE_PREPARED","STANDARD_ORDER_PREPARED"),VLOOKUP(AD6,Rule_Codes!$A$2:$B$14,2,FALSE()))</f>
        <v/>
      </c>
      <c r="AH6" s="73">
        <f>IF(OR(AD6="",AD6="QTY_CAP_PARTIAL"),K6*Price_Map!B6,0)</f>
        <v/>
      </c>
    </row>
    <row r="7" ht="36" customHeight="1" s="16">
      <c r="A7" s="68" t="inlineStr">
        <is>
          <t>MRQ-2026-0710-006</t>
        </is>
      </c>
      <c r="B7" s="68" t="inlineStr">
        <is>
          <t>NHG-MRQ-2026-07-006</t>
        </is>
      </c>
      <c r="C7" s="75" t="n">
        <v>46207</v>
      </c>
      <c r="D7" s="68" t="inlineStr">
        <is>
          <t>CUST-1006</t>
        </is>
      </c>
      <c r="E7" s="68" t="inlineStr">
        <is>
          <t>ACCT-7706</t>
        </is>
      </c>
      <c r="F7" s="68" t="inlineStr">
        <is>
          <t>W-5506</t>
        </is>
      </c>
      <c r="G7" s="68" t="inlineStr">
        <is>
          <t>WH-SHELF-310</t>
        </is>
      </c>
      <c r="H7" s="68" t="inlineStr">
        <is>
          <t>WH-SHELF-310</t>
        </is>
      </c>
      <c r="I7" s="76" t="n">
        <v>1</v>
      </c>
      <c r="J7" s="76" t="n">
        <v>2</v>
      </c>
      <c r="K7" s="76">
        <f>IF(AND(N7="Active",C7&gt;=L7,C7&lt;=M7,P7=O7),MIN(I7,J7),0)</f>
        <v/>
      </c>
      <c r="L7" s="75" t="n">
        <v>45981</v>
      </c>
      <c r="M7" s="75" t="n">
        <v>46711</v>
      </c>
      <c r="N7" s="68" t="inlineStr">
        <is>
          <t>Active</t>
        </is>
      </c>
      <c r="O7" s="68" t="inlineStr">
        <is>
          <t>Refrigeration Storage</t>
        </is>
      </c>
      <c r="P7" s="68" t="inlineStr">
        <is>
          <t>Refrigeration Storage</t>
        </is>
      </c>
      <c r="Q7" s="76">
        <f>IF(AND(N7="Active",C7&gt;=L7,C7&lt;=M7),"Y","N")</f>
        <v/>
      </c>
      <c r="R7" s="76">
        <f>IF(P7=O7,"Y","N")</f>
        <v/>
      </c>
      <c r="S7" s="68" t="inlineStr">
        <is>
          <t>N</t>
        </is>
      </c>
      <c r="T7" s="68" t="inlineStr">
        <is>
          <t>Received</t>
        </is>
      </c>
      <c r="U7" s="68" t="inlineStr">
        <is>
          <t>Validated</t>
        </is>
      </c>
      <c r="V7" s="68" t="inlineStr">
        <is>
          <t>CH-30</t>
        </is>
      </c>
      <c r="W7" s="68" t="inlineStr">
        <is>
          <t>Y</t>
        </is>
      </c>
      <c r="X7" s="68" t="inlineStr">
        <is>
          <t>N</t>
        </is>
      </c>
      <c r="Y7" s="68" t="n"/>
      <c r="Z7" s="68" t="inlineStr">
        <is>
          <t>N</t>
        </is>
      </c>
      <c r="AA7" s="68" t="n"/>
      <c r="AB7" s="76" t="n">
        <v>18</v>
      </c>
      <c r="AC7" s="76">
        <f>IF(AB7&gt;=K7,"Y","N")</f>
        <v/>
      </c>
      <c r="AD7" s="82">
        <f>IF(Case_Register!J7&lt;&gt;"","DUPLICATE_REQUEST",IF(Requested_Items_Unclear!A7="Y","UNCLEAR_PRODUCT",IF(Q7&lt;&gt;"Y","EXPIRED_ENTITLEMENT",IF(R7&lt;&gt;"Y","FAMILY_NOT_COVERED",IF(AND(S7="Y",T7&lt;&gt;"Received"),"MISSING_PROOF",IF(U7&lt;&gt;"Validated","INVALID_ADDRESS",IF(V7&lt;&gt;"CLEAR","CREDIT_HOLD",IF(Z7="Y",IF(AA7="Blocked","SPECIAL_NONSTARTER","SPECIAL_FEASIBILITY"),IF(AND(X7="Y",Y7=""),"DISCONTINUED_NO_REPLACEMENT",IF(W7&lt;&gt;"Y","DISCONTINUED_NO_REPLACEMENT",IF(K7&lt;I7,"QTY_CAP_PARTIAL",IF(AC7&lt;&gt;"Y","BACKORDER",""))))))))))))</f>
        <v/>
      </c>
      <c r="AE7" s="82">
        <f>IF(AD7="SPECIAL_FEASIBILITY",IF(G7="SP-CUSTOM-PANEL","RTE-CUSTOM-PANEL",IF(G7="SP-ADAPT-KIT","RTE-ENG-ADAPT","")),"")</f>
        <v/>
      </c>
      <c r="AF7" s="82">
        <f>IF(AD7="",IF(Y7&lt;&gt;"","R_STANDARD_SUBSTITUTE","R_STANDARD_ORDER"),VLOOKUP(AD7,Rule_Codes!$A$2:$C$14,3,FALSE()))</f>
        <v/>
      </c>
      <c r="AG7" s="84">
        <f>IF(AD7="",IF(Y7&lt;&gt;"","STANDARD_ORDER_SUBSTITUTE_PREPARED","STANDARD_ORDER_PREPARED"),VLOOKUP(AD7,Rule_Codes!$A$2:$B$14,2,FALSE()))</f>
        <v/>
      </c>
      <c r="AH7" s="76">
        <f>IF(OR(AD7="",AD7="QTY_CAP_PARTIAL"),K7*Price_Map!B7,0)</f>
        <v/>
      </c>
    </row>
    <row r="8" ht="36" customHeight="1" s="16">
      <c r="A8" s="66" t="inlineStr">
        <is>
          <t>MRQ-2026-0710-007</t>
        </is>
      </c>
      <c r="B8" s="66" t="inlineStr">
        <is>
          <t>NHG-MRQ-2026-07-007</t>
        </is>
      </c>
      <c r="C8" s="72" t="n">
        <v>46208</v>
      </c>
      <c r="D8" s="66" t="inlineStr">
        <is>
          <t>CUST-1007</t>
        </is>
      </c>
      <c r="E8" s="66" t="inlineStr">
        <is>
          <t>ACCT-7707</t>
        </is>
      </c>
      <c r="F8" s="66" t="inlineStr">
        <is>
          <t>W-5507</t>
        </is>
      </c>
      <c r="G8" s="66" t="inlineStr">
        <is>
          <t>WH-FLTR-200</t>
        </is>
      </c>
      <c r="H8" s="66" t="inlineStr">
        <is>
          <t>WH-FLTR-200</t>
        </is>
      </c>
      <c r="I8" s="73" t="n">
        <v>1</v>
      </c>
      <c r="J8" s="73" t="n">
        <v>2</v>
      </c>
      <c r="K8" s="73">
        <f>IF(AND(N8="Active",C8&gt;=L8,C8&lt;=M8,P8=O8),MIN(I8,J8),0)</f>
        <v/>
      </c>
      <c r="L8" s="72" t="n">
        <v>45942</v>
      </c>
      <c r="M8" s="72" t="n">
        <v>46672</v>
      </c>
      <c r="N8" s="66" t="inlineStr">
        <is>
          <t>Active</t>
        </is>
      </c>
      <c r="O8" s="66" t="inlineStr">
        <is>
          <t>Water Filtration</t>
        </is>
      </c>
      <c r="P8" s="66" t="inlineStr">
        <is>
          <t>Water Filtration</t>
        </is>
      </c>
      <c r="Q8" s="73">
        <f>IF(AND(N8="Active",C8&gt;=L8,C8&lt;=M8),"Y","N")</f>
        <v/>
      </c>
      <c r="R8" s="73">
        <f>IF(P8=O8,"Y","N")</f>
        <v/>
      </c>
      <c r="S8" s="66" t="inlineStr">
        <is>
          <t>Y</t>
        </is>
      </c>
      <c r="T8" s="66" t="inlineStr">
        <is>
          <t>Missing</t>
        </is>
      </c>
      <c r="U8" s="66" t="inlineStr">
        <is>
          <t>Validated</t>
        </is>
      </c>
      <c r="V8" s="66" t="inlineStr">
        <is>
          <t>CLEAR</t>
        </is>
      </c>
      <c r="W8" s="66" t="inlineStr">
        <is>
          <t>Y</t>
        </is>
      </c>
      <c r="X8" s="66" t="inlineStr">
        <is>
          <t>N</t>
        </is>
      </c>
      <c r="Y8" s="66" t="n"/>
      <c r="Z8" s="66" t="inlineStr">
        <is>
          <t>N</t>
        </is>
      </c>
      <c r="AA8" s="66" t="n"/>
      <c r="AB8" s="73" t="n">
        <v>50</v>
      </c>
      <c r="AC8" s="73">
        <f>IF(AB8&gt;=K8,"Y","N")</f>
        <v/>
      </c>
      <c r="AD8" s="81">
        <f>IF(Case_Register!J8&lt;&gt;"","DUPLICATE_REQUEST",IF(Requested_Items_Unclear!A8="Y","UNCLEAR_PRODUCT",IF(Q8&lt;&gt;"Y","EXPIRED_ENTITLEMENT",IF(R8&lt;&gt;"Y","FAMILY_NOT_COVERED",IF(AND(S8="Y",T8&lt;&gt;"Received"),"MISSING_PROOF",IF(U8&lt;&gt;"Validated","INVALID_ADDRESS",IF(V8&lt;&gt;"CLEAR","CREDIT_HOLD",IF(Z8="Y",IF(AA8="Blocked","SPECIAL_NONSTARTER","SPECIAL_FEASIBILITY"),IF(AND(X8="Y",Y8=""),"DISCONTINUED_NO_REPLACEMENT",IF(W8&lt;&gt;"Y","DISCONTINUED_NO_REPLACEMENT",IF(K8&lt;I8,"QTY_CAP_PARTIAL",IF(AC8&lt;&gt;"Y","BACKORDER",""))))))))))))</f>
        <v/>
      </c>
      <c r="AE8" s="81">
        <f>IF(AD8="SPECIAL_FEASIBILITY",IF(G8="SP-CUSTOM-PANEL","RTE-CUSTOM-PANEL",IF(G8="SP-ADAPT-KIT","RTE-ENG-ADAPT","")),"")</f>
        <v/>
      </c>
      <c r="AF8" s="81">
        <f>IF(AD8="",IF(Y8&lt;&gt;"","R_STANDARD_SUBSTITUTE","R_STANDARD_ORDER"),VLOOKUP(AD8,Rule_Codes!$A$2:$C$14,3,FALSE()))</f>
        <v/>
      </c>
      <c r="AG8" s="83">
        <f>IF(AD8="",IF(Y8&lt;&gt;"","STANDARD_ORDER_SUBSTITUTE_PREPARED","STANDARD_ORDER_PREPARED"),VLOOKUP(AD8,Rule_Codes!$A$2:$B$14,2,FALSE()))</f>
        <v/>
      </c>
      <c r="AH8" s="73">
        <f>IF(OR(AD8="",AD8="QTY_CAP_PARTIAL"),K8*Price_Map!B8,0)</f>
        <v/>
      </c>
    </row>
    <row r="9" ht="36" customHeight="1" s="16">
      <c r="A9" s="68" t="inlineStr">
        <is>
          <t>MRQ-2026-0710-008</t>
        </is>
      </c>
      <c r="B9" s="68" t="inlineStr">
        <is>
          <t>NHG-MRQ-2026-07-008</t>
        </is>
      </c>
      <c r="C9" s="75" t="n">
        <v>46208</v>
      </c>
      <c r="D9" s="68" t="inlineStr">
        <is>
          <t>CUST-1008</t>
        </is>
      </c>
      <c r="E9" s="68" t="inlineStr">
        <is>
          <t>ACCT-7708</t>
        </is>
      </c>
      <c r="F9" s="68" t="inlineStr">
        <is>
          <t>W-5508</t>
        </is>
      </c>
      <c r="G9" s="68" t="inlineStr">
        <is>
          <t>WH-GASK-410</t>
        </is>
      </c>
      <c r="H9" s="68" t="inlineStr">
        <is>
          <t>WH-GASK-410</t>
        </is>
      </c>
      <c r="I9" s="76" t="n">
        <v>1</v>
      </c>
      <c r="J9" s="76" t="n">
        <v>2</v>
      </c>
      <c r="K9" s="76">
        <f>IF(AND(N9="Active",C9&gt;=L9,C9&lt;=M9,P9=O9),MIN(I9,J9),0)</f>
        <v/>
      </c>
      <c r="L9" s="75" t="n">
        <v>45881</v>
      </c>
      <c r="M9" s="75" t="n">
        <v>46611</v>
      </c>
      <c r="N9" s="68" t="inlineStr">
        <is>
          <t>Active</t>
        </is>
      </c>
      <c r="O9" s="68" t="inlineStr">
        <is>
          <t>Laundry Hardware</t>
        </is>
      </c>
      <c r="P9" s="68" t="inlineStr">
        <is>
          <t>Laundry Hardware</t>
        </is>
      </c>
      <c r="Q9" s="76">
        <f>IF(AND(N9="Active",C9&gt;=L9,C9&lt;=M9),"Y","N")</f>
        <v/>
      </c>
      <c r="R9" s="76">
        <f>IF(P9=O9,"Y","N")</f>
        <v/>
      </c>
      <c r="S9" s="68" t="inlineStr">
        <is>
          <t>N</t>
        </is>
      </c>
      <c r="T9" s="68" t="inlineStr">
        <is>
          <t>Received</t>
        </is>
      </c>
      <c r="U9" s="68" t="inlineStr">
        <is>
          <t>Invalid</t>
        </is>
      </c>
      <c r="V9" s="68" t="inlineStr">
        <is>
          <t>CLEAR</t>
        </is>
      </c>
      <c r="W9" s="68" t="inlineStr">
        <is>
          <t>Y</t>
        </is>
      </c>
      <c r="X9" s="68" t="inlineStr">
        <is>
          <t>N</t>
        </is>
      </c>
      <c r="Y9" s="68" t="n"/>
      <c r="Z9" s="68" t="inlineStr">
        <is>
          <t>N</t>
        </is>
      </c>
      <c r="AA9" s="68" t="n"/>
      <c r="AB9" s="76" t="n">
        <v>7</v>
      </c>
      <c r="AC9" s="76">
        <f>IF(AB9&gt;=K9,"Y","N")</f>
        <v/>
      </c>
      <c r="AD9" s="82">
        <f>IF(Case_Register!J9&lt;&gt;"","DUPLICATE_REQUEST",IF(Requested_Items_Unclear!A9="Y","UNCLEAR_PRODUCT",IF(Q9&lt;&gt;"Y","EXPIRED_ENTITLEMENT",IF(R9&lt;&gt;"Y","FAMILY_NOT_COVERED",IF(AND(S9="Y",T9&lt;&gt;"Received"),"MISSING_PROOF",IF(U9&lt;&gt;"Validated","INVALID_ADDRESS",IF(V9&lt;&gt;"CLEAR","CREDIT_HOLD",IF(Z9="Y",IF(AA9="Blocked","SPECIAL_NONSTARTER","SPECIAL_FEASIBILITY"),IF(AND(X9="Y",Y9=""),"DISCONTINUED_NO_REPLACEMENT",IF(W9&lt;&gt;"Y","DISCONTINUED_NO_REPLACEMENT",IF(K9&lt;I9,"QTY_CAP_PARTIAL",IF(AC9&lt;&gt;"Y","BACKORDER",""))))))))))))</f>
        <v/>
      </c>
      <c r="AE9" s="82">
        <f>IF(AD9="SPECIAL_FEASIBILITY",IF(G9="SP-CUSTOM-PANEL","RTE-CUSTOM-PANEL",IF(G9="SP-ADAPT-KIT","RTE-ENG-ADAPT","")),"")</f>
        <v/>
      </c>
      <c r="AF9" s="82">
        <f>IF(AD9="",IF(Y9&lt;&gt;"","R_STANDARD_SUBSTITUTE","R_STANDARD_ORDER"),VLOOKUP(AD9,Rule_Codes!$A$2:$C$14,3,FALSE()))</f>
        <v/>
      </c>
      <c r="AG9" s="84">
        <f>IF(AD9="",IF(Y9&lt;&gt;"","STANDARD_ORDER_SUBSTITUTE_PREPARED","STANDARD_ORDER_PREPARED"),VLOOKUP(AD9,Rule_Codes!$A$2:$B$14,2,FALSE()))</f>
        <v/>
      </c>
      <c r="AH9" s="76">
        <f>IF(OR(AD9="",AD9="QTY_CAP_PARTIAL"),K9*Price_Map!B9,0)</f>
        <v/>
      </c>
    </row>
    <row r="10" ht="36" customHeight="1" s="16">
      <c r="A10" s="66" t="inlineStr">
        <is>
          <t>MRQ-2026-0710-009</t>
        </is>
      </c>
      <c r="B10" s="66" t="inlineStr">
        <is>
          <t>NHG-MRQ-2026-07-009</t>
        </is>
      </c>
      <c r="C10" s="72" t="n">
        <v>46209</v>
      </c>
      <c r="D10" s="66" t="inlineStr">
        <is>
          <t>CUST-1009</t>
        </is>
      </c>
      <c r="E10" s="66" t="inlineStr">
        <is>
          <t>ACCT-7709</t>
        </is>
      </c>
      <c r="F10" s="66" t="inlineStr">
        <is>
          <t>W-5509</t>
        </is>
      </c>
      <c r="G10" s="66" t="inlineStr">
        <is>
          <t>WH-TRAY-125</t>
        </is>
      </c>
      <c r="H10" s="66" t="inlineStr">
        <is>
          <t>WH-TRAY-125</t>
        </is>
      </c>
      <c r="I10" s="73" t="n">
        <v>1</v>
      </c>
      <c r="J10" s="73" t="n">
        <v>1</v>
      </c>
      <c r="K10" s="73">
        <f>IF(AND(N10="Active",C10&gt;=L10,C10&lt;=M10,P10=O10),MIN(I10,J10),0)</f>
        <v/>
      </c>
      <c r="L10" s="72" t="n">
        <v>45748</v>
      </c>
      <c r="M10" s="72" t="n">
        <v>46478</v>
      </c>
      <c r="N10" s="66" t="inlineStr">
        <is>
          <t>Active</t>
        </is>
      </c>
      <c r="O10" s="66" t="inlineStr">
        <is>
          <t>Coffee System Accessories</t>
        </is>
      </c>
      <c r="P10" s="66" t="inlineStr">
        <is>
          <t>Coffee System Accessories</t>
        </is>
      </c>
      <c r="Q10" s="73">
        <f>IF(AND(N10="Active",C10&gt;=L10,C10&lt;=M10),"Y","N")</f>
        <v/>
      </c>
      <c r="R10" s="73">
        <f>IF(P10=O10,"Y","N")</f>
        <v/>
      </c>
      <c r="S10" s="66" t="inlineStr">
        <is>
          <t>N</t>
        </is>
      </c>
      <c r="T10" s="66" t="inlineStr">
        <is>
          <t>Received</t>
        </is>
      </c>
      <c r="U10" s="66" t="inlineStr">
        <is>
          <t>Validated</t>
        </is>
      </c>
      <c r="V10" s="66" t="inlineStr">
        <is>
          <t>CLEAR</t>
        </is>
      </c>
      <c r="W10" s="66" t="inlineStr">
        <is>
          <t>N</t>
        </is>
      </c>
      <c r="X10" s="66" t="inlineStr">
        <is>
          <t>Y</t>
        </is>
      </c>
      <c r="Y10" s="66" t="n"/>
      <c r="Z10" s="66" t="inlineStr">
        <is>
          <t>N</t>
        </is>
      </c>
      <c r="AA10" s="66" t="n"/>
      <c r="AB10" s="73" t="n">
        <v>0</v>
      </c>
      <c r="AC10" s="73">
        <f>IF(AB10&gt;=K10,"Y","N")</f>
        <v/>
      </c>
      <c r="AD10" s="81">
        <f>IF(Case_Register!J10&lt;&gt;"","DUPLICATE_REQUEST",IF(Requested_Items_Unclear!A10="Y","UNCLEAR_PRODUCT",IF(Q10&lt;&gt;"Y","EXPIRED_ENTITLEMENT",IF(R10&lt;&gt;"Y","FAMILY_NOT_COVERED",IF(AND(S10="Y",T10&lt;&gt;"Received"),"MISSING_PROOF",IF(U10&lt;&gt;"Validated","INVALID_ADDRESS",IF(V10&lt;&gt;"CLEAR","CREDIT_HOLD",IF(Z10="Y",IF(AA10="Blocked","SPECIAL_NONSTARTER","SPECIAL_FEASIBILITY"),IF(AND(X10="Y",Y10=""),"DISCONTINUED_NO_REPLACEMENT",IF(W10&lt;&gt;"Y","DISCONTINUED_NO_REPLACEMENT",IF(K10&lt;I10,"QTY_CAP_PARTIAL",IF(AC10&lt;&gt;"Y","BACKORDER",""))))))))))))</f>
        <v/>
      </c>
      <c r="AE10" s="81">
        <f>IF(AD10="SPECIAL_FEASIBILITY",IF(G10="SP-CUSTOM-PANEL","RTE-CUSTOM-PANEL",IF(G10="SP-ADAPT-KIT","RTE-ENG-ADAPT","")),"")</f>
        <v/>
      </c>
      <c r="AF10" s="81">
        <f>IF(AD10="",IF(Y10&lt;&gt;"","R_STANDARD_SUBSTITUTE","R_STANDARD_ORDER"),VLOOKUP(AD10,Rule_Codes!$A$2:$C$14,3,FALSE()))</f>
        <v/>
      </c>
      <c r="AG10" s="83">
        <f>IF(AD10="",IF(Y10&lt;&gt;"","STANDARD_ORDER_SUBSTITUTE_PREPARED","STANDARD_ORDER_PREPARED"),VLOOKUP(AD10,Rule_Codes!$A$2:$B$14,2,FALSE()))</f>
        <v/>
      </c>
      <c r="AH10" s="73">
        <f>IF(OR(AD10="",AD10="QTY_CAP_PARTIAL"),K10*Price_Map!B10,0)</f>
        <v/>
      </c>
    </row>
    <row r="11" ht="36" customHeight="1" s="16">
      <c r="A11" s="68" t="inlineStr">
        <is>
          <t>MRQ-2026-0710-010</t>
        </is>
      </c>
      <c r="B11" s="68" t="inlineStr">
        <is>
          <t>NHG-MRQ-2026-07-010</t>
        </is>
      </c>
      <c r="C11" s="75" t="n">
        <v>46209</v>
      </c>
      <c r="D11" s="68" t="inlineStr">
        <is>
          <t>CUST-1001</t>
        </is>
      </c>
      <c r="E11" s="68" t="inlineStr">
        <is>
          <t>ACCT-7701</t>
        </is>
      </c>
      <c r="F11" s="68" t="inlineStr">
        <is>
          <t>W-5501</t>
        </is>
      </c>
      <c r="G11" s="68" t="inlineStr">
        <is>
          <t>WH-FLTR-200</t>
        </is>
      </c>
      <c r="H11" s="68" t="inlineStr">
        <is>
          <t>WH-FLTR-200</t>
        </is>
      </c>
      <c r="I11" s="76" t="n">
        <v>2</v>
      </c>
      <c r="J11" s="76" t="n">
        <v>4</v>
      </c>
      <c r="K11" s="76">
        <f>IF(AND(N11="Active",C11&gt;=L11,C11&lt;=M11,P11=O11),MIN(I11,J11),0)</f>
        <v/>
      </c>
      <c r="L11" s="75" t="n">
        <v>45870</v>
      </c>
      <c r="M11" s="75" t="n">
        <v>46600</v>
      </c>
      <c r="N11" s="68" t="inlineStr">
        <is>
          <t>Active</t>
        </is>
      </c>
      <c r="O11" s="68" t="inlineStr">
        <is>
          <t>Water Filtration</t>
        </is>
      </c>
      <c r="P11" s="68" t="inlineStr">
        <is>
          <t>Water Filtration</t>
        </is>
      </c>
      <c r="Q11" s="76">
        <f>IF(AND(N11="Active",C11&gt;=L11,C11&lt;=M11),"Y","N")</f>
        <v/>
      </c>
      <c r="R11" s="76">
        <f>IF(P11=O11,"Y","N")</f>
        <v/>
      </c>
      <c r="S11" s="68" t="inlineStr">
        <is>
          <t>N</t>
        </is>
      </c>
      <c r="T11" s="68" t="inlineStr">
        <is>
          <t>Received</t>
        </is>
      </c>
      <c r="U11" s="68" t="inlineStr">
        <is>
          <t>Validated</t>
        </is>
      </c>
      <c r="V11" s="68" t="inlineStr">
        <is>
          <t>CLEAR</t>
        </is>
      </c>
      <c r="W11" s="68" t="inlineStr">
        <is>
          <t>Y</t>
        </is>
      </c>
      <c r="X11" s="68" t="inlineStr">
        <is>
          <t>N</t>
        </is>
      </c>
      <c r="Y11" s="68" t="n"/>
      <c r="Z11" s="68" t="inlineStr">
        <is>
          <t>N</t>
        </is>
      </c>
      <c r="AA11" s="68" t="n"/>
      <c r="AB11" s="76" t="n">
        <v>50</v>
      </c>
      <c r="AC11" s="76">
        <f>IF(AB11&gt;=K11,"Y","N")</f>
        <v/>
      </c>
      <c r="AD11" s="82">
        <f>IF(Case_Register!J11&lt;&gt;"","DUPLICATE_REQUEST",IF(Requested_Items_Unclear!A11="Y","UNCLEAR_PRODUCT",IF(Q11&lt;&gt;"Y","EXPIRED_ENTITLEMENT",IF(R11&lt;&gt;"Y","FAMILY_NOT_COVERED",IF(AND(S11="Y",T11&lt;&gt;"Received"),"MISSING_PROOF",IF(U11&lt;&gt;"Validated","INVALID_ADDRESS",IF(V11&lt;&gt;"CLEAR","CREDIT_HOLD",IF(Z11="Y",IF(AA11="Blocked","SPECIAL_NONSTARTER","SPECIAL_FEASIBILITY"),IF(AND(X11="Y",Y11=""),"DISCONTINUED_NO_REPLACEMENT",IF(W11&lt;&gt;"Y","DISCONTINUED_NO_REPLACEMENT",IF(K11&lt;I11,"QTY_CAP_PARTIAL",IF(AC11&lt;&gt;"Y","BACKORDER",""))))))))))))</f>
        <v/>
      </c>
      <c r="AE11" s="82">
        <f>IF(AD11="SPECIAL_FEASIBILITY",IF(G11="SP-CUSTOM-PANEL","RTE-CUSTOM-PANEL",IF(G11="SP-ADAPT-KIT","RTE-ENG-ADAPT","")),"")</f>
        <v/>
      </c>
      <c r="AF11" s="82">
        <f>IF(AD11="",IF(Y11&lt;&gt;"","R_STANDARD_SUBSTITUTE","R_STANDARD_ORDER"),VLOOKUP(AD11,Rule_Codes!$A$2:$C$14,3,FALSE()))</f>
        <v/>
      </c>
      <c r="AG11" s="84">
        <f>IF(AD11="",IF(Y11&lt;&gt;"","STANDARD_ORDER_SUBSTITUTE_PREPARED","STANDARD_ORDER_PREPARED"),VLOOKUP(AD11,Rule_Codes!$A$2:$B$14,2,FALSE()))</f>
        <v/>
      </c>
      <c r="AH11" s="76">
        <f>IF(OR(AD11="",AD11="QTY_CAP_PARTIAL"),K11*Price_Map!B11,0)</f>
        <v/>
      </c>
    </row>
    <row r="12" ht="36" customHeight="1" s="16">
      <c r="A12" s="66" t="inlineStr">
        <is>
          <t>MRQ-2026-0710-011</t>
        </is>
      </c>
      <c r="B12" s="66" t="inlineStr">
        <is>
          <t>NHG-MRQ-2026-07-011</t>
        </is>
      </c>
      <c r="C12" s="72" t="n">
        <v>46210</v>
      </c>
      <c r="D12" s="66" t="inlineStr">
        <is>
          <t>CUST-1010</t>
        </is>
      </c>
      <c r="E12" s="66" t="inlineStr">
        <is>
          <t>ACCT-7710</t>
        </is>
      </c>
      <c r="F12" s="66" t="inlineStr">
        <is>
          <t>W-5510</t>
        </is>
      </c>
      <c r="G12" s="66" t="inlineStr">
        <is>
          <t>WH-KNOB-110</t>
        </is>
      </c>
      <c r="H12" s="66" t="inlineStr">
        <is>
          <t>WH-KNOB-110</t>
        </is>
      </c>
      <c r="I12" s="73" t="n">
        <v>4</v>
      </c>
      <c r="J12" s="73" t="n">
        <v>6</v>
      </c>
      <c r="K12" s="73">
        <f>IF(AND(N12="Active",C12&gt;=L12,C12&lt;=M12,P12=O12),MIN(I12,J12),0)</f>
        <v/>
      </c>
      <c r="L12" s="72" t="n">
        <v>45718</v>
      </c>
      <c r="M12" s="72" t="n">
        <v>46448</v>
      </c>
      <c r="N12" s="66" t="inlineStr">
        <is>
          <t>Active</t>
        </is>
      </c>
      <c r="O12" s="66" t="inlineStr">
        <is>
          <t>Cooking Hardware</t>
        </is>
      </c>
      <c r="P12" s="66" t="inlineStr">
        <is>
          <t>Cooking Hardware</t>
        </is>
      </c>
      <c r="Q12" s="73">
        <f>IF(AND(N12="Active",C12&gt;=L12,C12&lt;=M12),"Y","N")</f>
        <v/>
      </c>
      <c r="R12" s="73">
        <f>IF(P12=O12,"Y","N")</f>
        <v/>
      </c>
      <c r="S12" s="66" t="inlineStr">
        <is>
          <t>N</t>
        </is>
      </c>
      <c r="T12" s="66" t="inlineStr">
        <is>
          <t>Received</t>
        </is>
      </c>
      <c r="U12" s="66" t="inlineStr">
        <is>
          <t>Validated</t>
        </is>
      </c>
      <c r="V12" s="66" t="inlineStr">
        <is>
          <t>CLEAR</t>
        </is>
      </c>
      <c r="W12" s="66" t="inlineStr">
        <is>
          <t>Y</t>
        </is>
      </c>
      <c r="X12" s="66" t="inlineStr">
        <is>
          <t>N</t>
        </is>
      </c>
      <c r="Y12" s="66" t="n"/>
      <c r="Z12" s="66" t="inlineStr">
        <is>
          <t>N</t>
        </is>
      </c>
      <c r="AA12" s="66" t="n"/>
      <c r="AB12" s="73" t="n">
        <v>40</v>
      </c>
      <c r="AC12" s="73">
        <f>IF(AB12&gt;=K12,"Y","N")</f>
        <v/>
      </c>
      <c r="AD12" s="81">
        <f>IF(Case_Register!J12&lt;&gt;"","DUPLICATE_REQUEST",IF(Requested_Items_Unclear!A12="Y","UNCLEAR_PRODUCT",IF(Q12&lt;&gt;"Y","EXPIRED_ENTITLEMENT",IF(R12&lt;&gt;"Y","FAMILY_NOT_COVERED",IF(AND(S12="Y",T12&lt;&gt;"Received"),"MISSING_PROOF",IF(U12&lt;&gt;"Validated","INVALID_ADDRESS",IF(V12&lt;&gt;"CLEAR","CREDIT_HOLD",IF(Z12="Y",IF(AA12="Blocked","SPECIAL_NONSTARTER","SPECIAL_FEASIBILITY"),IF(AND(X12="Y",Y12=""),"DISCONTINUED_NO_REPLACEMENT",IF(W12&lt;&gt;"Y","DISCONTINUED_NO_REPLACEMENT",IF(K12&lt;I12,"QTY_CAP_PARTIAL",IF(AC12&lt;&gt;"Y","BACKORDER",""))))))))))))</f>
        <v/>
      </c>
      <c r="AE12" s="81">
        <f>IF(AD12="SPECIAL_FEASIBILITY",IF(G12="SP-CUSTOM-PANEL","RTE-CUSTOM-PANEL",IF(G12="SP-ADAPT-KIT","RTE-ENG-ADAPT","")),"")</f>
        <v/>
      </c>
      <c r="AF12" s="81">
        <f>IF(AD12="",IF(Y12&lt;&gt;"","R_STANDARD_SUBSTITUTE","R_STANDARD_ORDER"),VLOOKUP(AD12,Rule_Codes!$A$2:$C$14,3,FALSE()))</f>
        <v/>
      </c>
      <c r="AG12" s="83">
        <f>IF(AD12="",IF(Y12&lt;&gt;"","STANDARD_ORDER_SUBSTITUTE_PREPARED","STANDARD_ORDER_PREPARED"),VLOOKUP(AD12,Rule_Codes!$A$2:$B$14,2,FALSE()))</f>
        <v/>
      </c>
      <c r="AH12" s="74">
        <f>IF(OR(AD12="",AD12="QTY_CAP_PARTIAL"),K12*Price_Map!B12,0)</f>
        <v/>
      </c>
    </row>
    <row r="13" ht="36" customHeight="1" s="16">
      <c r="A13" s="68" t="inlineStr">
        <is>
          <t>MRQ-2026-0710-012</t>
        </is>
      </c>
      <c r="B13" s="68" t="inlineStr">
        <is>
          <t>NHG-MRQ-2026-07-012</t>
        </is>
      </c>
      <c r="C13" s="75" t="n">
        <v>46210</v>
      </c>
      <c r="D13" s="68" t="inlineStr">
        <is>
          <t>CUST-1011</t>
        </is>
      </c>
      <c r="E13" s="68" t="inlineStr">
        <is>
          <t>ACCT-7711</t>
        </is>
      </c>
      <c r="F13" s="68" t="inlineStr">
        <is>
          <t>W-5511</t>
        </is>
      </c>
      <c r="G13" s="68" t="inlineStr">
        <is>
          <t>WH-SHELF-310</t>
        </is>
      </c>
      <c r="H13" s="68" t="inlineStr">
        <is>
          <t>WH-SHELF-310</t>
        </is>
      </c>
      <c r="I13" s="76" t="n">
        <v>3</v>
      </c>
      <c r="J13" s="76" t="n">
        <v>1</v>
      </c>
      <c r="K13" s="76">
        <f>IF(AND(N13="Active",C13&gt;=L13,C13&lt;=M13,P13=O13),MIN(I13,J13),0)</f>
        <v/>
      </c>
      <c r="L13" s="75" t="n">
        <v>45992</v>
      </c>
      <c r="M13" s="75" t="n">
        <v>46722</v>
      </c>
      <c r="N13" s="68" t="inlineStr">
        <is>
          <t>Active</t>
        </is>
      </c>
      <c r="O13" s="68" t="inlineStr">
        <is>
          <t>Refrigeration Storage</t>
        </is>
      </c>
      <c r="P13" s="68" t="inlineStr">
        <is>
          <t>Refrigeration Storage</t>
        </is>
      </c>
      <c r="Q13" s="76">
        <f>IF(AND(N13="Active",C13&gt;=L13,C13&lt;=M13),"Y","N")</f>
        <v/>
      </c>
      <c r="R13" s="76">
        <f>IF(P13=O13,"Y","N")</f>
        <v/>
      </c>
      <c r="S13" s="68" t="inlineStr">
        <is>
          <t>N</t>
        </is>
      </c>
      <c r="T13" s="68" t="inlineStr">
        <is>
          <t>Received</t>
        </is>
      </c>
      <c r="U13" s="68" t="inlineStr">
        <is>
          <t>Validated</t>
        </is>
      </c>
      <c r="V13" s="68" t="inlineStr">
        <is>
          <t>CLEAR</t>
        </is>
      </c>
      <c r="W13" s="68" t="inlineStr">
        <is>
          <t>Y</t>
        </is>
      </c>
      <c r="X13" s="68" t="inlineStr">
        <is>
          <t>N</t>
        </is>
      </c>
      <c r="Y13" s="68" t="n"/>
      <c r="Z13" s="68" t="inlineStr">
        <is>
          <t>N</t>
        </is>
      </c>
      <c r="AA13" s="68" t="n"/>
      <c r="AB13" s="76" t="n">
        <v>18</v>
      </c>
      <c r="AC13" s="76">
        <f>IF(AB13&gt;=K13,"Y","N")</f>
        <v/>
      </c>
      <c r="AD13" s="82">
        <f>IF(Case_Register!J13&lt;&gt;"","DUPLICATE_REQUEST",IF(Requested_Items_Unclear!A13="Y","UNCLEAR_PRODUCT",IF(Q13&lt;&gt;"Y","EXPIRED_ENTITLEMENT",IF(R13&lt;&gt;"Y","FAMILY_NOT_COVERED",IF(AND(S13="Y",T13&lt;&gt;"Received"),"MISSING_PROOF",IF(U13&lt;&gt;"Validated","INVALID_ADDRESS",IF(V13&lt;&gt;"CLEAR","CREDIT_HOLD",IF(Z13="Y",IF(AA13="Blocked","SPECIAL_NONSTARTER","SPECIAL_FEASIBILITY"),IF(AND(X13="Y",Y13=""),"DISCONTINUED_NO_REPLACEMENT",IF(W13&lt;&gt;"Y","DISCONTINUED_NO_REPLACEMENT",IF(K13&lt;I13,"QTY_CAP_PARTIAL",IF(AC13&lt;&gt;"Y","BACKORDER",""))))))))))))</f>
        <v/>
      </c>
      <c r="AE13" s="82">
        <f>IF(AD13="SPECIAL_FEASIBILITY",IF(G13="SP-CUSTOM-PANEL","RTE-CUSTOM-PANEL",IF(G13="SP-ADAPT-KIT","RTE-ENG-ADAPT","")),"")</f>
        <v/>
      </c>
      <c r="AF13" s="82">
        <f>IF(AD13="",IF(Y13&lt;&gt;"","R_STANDARD_SUBSTITUTE","R_STANDARD_ORDER"),VLOOKUP(AD13,Rule_Codes!$A$2:$C$14,3,FALSE()))</f>
        <v/>
      </c>
      <c r="AG13" s="84">
        <f>IF(AD13="",IF(Y13&lt;&gt;"","STANDARD_ORDER_SUBSTITUTE_PREPARED","STANDARD_ORDER_PREPARED"),VLOOKUP(AD13,Rule_Codes!$A$2:$B$14,2,FALSE()))</f>
        <v/>
      </c>
      <c r="AH13" s="77">
        <f>IF(OR(AD13="",AD13="QTY_CAP_PARTIAL"),K13*Price_Map!B13,0)</f>
        <v/>
      </c>
    </row>
    <row r="14" ht="36" customHeight="1" s="16">
      <c r="A14" s="66" t="inlineStr">
        <is>
          <t>MRQ-2026-0710-013</t>
        </is>
      </c>
      <c r="B14" s="66" t="inlineStr">
        <is>
          <t>NHG-MRQ-2026-07-013</t>
        </is>
      </c>
      <c r="C14" s="72" t="n">
        <v>46211</v>
      </c>
      <c r="D14" s="66" t="inlineStr">
        <is>
          <t>CUST-1012</t>
        </is>
      </c>
      <c r="E14" s="66" t="inlineStr">
        <is>
          <t>ACCT-7712</t>
        </is>
      </c>
      <c r="F14" s="66" t="inlineStr">
        <is>
          <t>W-5512</t>
        </is>
      </c>
      <c r="G14" s="66" t="inlineStr">
        <is>
          <t>SP-ADAPT-KIT</t>
        </is>
      </c>
      <c r="H14" s="66" t="inlineStr">
        <is>
          <t>SP-ADAPT-KIT</t>
        </is>
      </c>
      <c r="I14" s="73" t="n">
        <v>2</v>
      </c>
      <c r="J14" s="73" t="n">
        <v>2</v>
      </c>
      <c r="K14" s="73">
        <f>IF(AND(N14="Active",C14&gt;=L14,C14&lt;=M14,P14=O14),MIN(I14,J14),0)</f>
        <v/>
      </c>
      <c r="L14" s="72" t="n">
        <v>45708</v>
      </c>
      <c r="M14" s="72" t="n">
        <v>46438</v>
      </c>
      <c r="N14" s="66" t="inlineStr">
        <is>
          <t>Active</t>
        </is>
      </c>
      <c r="O14" s="66" t="inlineStr">
        <is>
          <t>Adapter Kits</t>
        </is>
      </c>
      <c r="P14" s="66" t="inlineStr">
        <is>
          <t>Adapter Kits</t>
        </is>
      </c>
      <c r="Q14" s="73">
        <f>IF(AND(N14="Active",C14&gt;=L14,C14&lt;=M14),"Y","N")</f>
        <v/>
      </c>
      <c r="R14" s="73">
        <f>IF(P14=O14,"Y","N")</f>
        <v/>
      </c>
      <c r="S14" s="66" t="inlineStr">
        <is>
          <t>N</t>
        </is>
      </c>
      <c r="T14" s="66" t="inlineStr">
        <is>
          <t>Received</t>
        </is>
      </c>
      <c r="U14" s="66" t="inlineStr">
        <is>
          <t>Validated</t>
        </is>
      </c>
      <c r="V14" s="66" t="inlineStr">
        <is>
          <t>CLEAR</t>
        </is>
      </c>
      <c r="W14" s="66" t="inlineStr">
        <is>
          <t>N</t>
        </is>
      </c>
      <c r="X14" s="66" t="inlineStr">
        <is>
          <t>N</t>
        </is>
      </c>
      <c r="Y14" s="66" t="n"/>
      <c r="Z14" s="66" t="inlineStr">
        <is>
          <t>Y</t>
        </is>
      </c>
      <c r="AA14" s="66" t="inlineStr">
        <is>
          <t>Limited</t>
        </is>
      </c>
      <c r="AB14" s="73" t="n">
        <v>0</v>
      </c>
      <c r="AC14" s="73">
        <f>IF(AB14&gt;=K14,"Y","N")</f>
        <v/>
      </c>
      <c r="AD14" s="81">
        <f>IF(Case_Register!J14&lt;&gt;"","DUPLICATE_REQUEST",IF(Requested_Items_Unclear!A14="Y","UNCLEAR_PRODUCT",IF(Q14&lt;&gt;"Y","EXPIRED_ENTITLEMENT",IF(R14&lt;&gt;"Y","FAMILY_NOT_COVERED",IF(AND(S14="Y",T14&lt;&gt;"Received"),"MISSING_PROOF",IF(U14&lt;&gt;"Validated","INVALID_ADDRESS",IF(V14&lt;&gt;"CLEAR","CREDIT_HOLD",IF(Z14="Y",IF(AA14="Blocked","SPECIAL_NONSTARTER","SPECIAL_FEASIBILITY"),IF(AND(X14="Y",Y14=""),"DISCONTINUED_NO_REPLACEMENT",IF(W14&lt;&gt;"Y","DISCONTINUED_NO_REPLACEMENT",IF(K14&lt;I14,"QTY_CAP_PARTIAL",IF(AC14&lt;&gt;"Y","BACKORDER",""))))))))))))</f>
        <v/>
      </c>
      <c r="AE14" s="81">
        <f>IF(AD14="SPECIAL_FEASIBILITY",IF(G14="SP-CUSTOM-PANEL","RTE-CUSTOM-PANEL",IF(G14="SP-ADAPT-KIT","RTE-ENG-ADAPT","")),"")</f>
        <v/>
      </c>
      <c r="AF14" s="81">
        <f>IF(AD14="",IF(Y14&lt;&gt;"","R_STANDARD_SUBSTITUTE","R_STANDARD_ORDER"),VLOOKUP(AD14,Rule_Codes!$A$2:$C$14,3,FALSE()))</f>
        <v/>
      </c>
      <c r="AG14" s="83">
        <f>IF(AD14="",IF(Y14&lt;&gt;"","STANDARD_ORDER_SUBSTITUTE_PREPARED","STANDARD_ORDER_PREPARED"),VLOOKUP(AD14,Rule_Codes!$A$2:$B$14,2,FALSE()))</f>
        <v/>
      </c>
      <c r="AH14" s="73">
        <f>IF(OR(AD14="",AD14="QTY_CAP_PARTIAL"),K14*Price_Map!B14,0)</f>
        <v/>
      </c>
    </row>
    <row r="15" ht="36" customHeight="1" s="16">
      <c r="A15" s="68" t="inlineStr">
        <is>
          <t>MRQ-2026-0710-014</t>
        </is>
      </c>
      <c r="B15" s="68" t="inlineStr">
        <is>
          <t>NHG-MRQ-2026-07-014</t>
        </is>
      </c>
      <c r="C15" s="75" t="n">
        <v>46211</v>
      </c>
      <c r="D15" s="68" t="inlineStr">
        <is>
          <t>CUST-1013</t>
        </is>
      </c>
      <c r="E15" s="68" t="inlineStr">
        <is>
          <t>ACCT-7713</t>
        </is>
      </c>
      <c r="F15" s="68" t="inlineStr">
        <is>
          <t>W-5513</t>
        </is>
      </c>
      <c r="G15" s="68" t="n"/>
      <c r="H15" s="68" t="n"/>
      <c r="I15" s="76" t="n">
        <v>1</v>
      </c>
      <c r="J15" s="76" t="n">
        <v>2</v>
      </c>
      <c r="K15" s="76">
        <f>IF(AND(N15="Active",C15&gt;=L15,C15&lt;=M15,P15=O15),MIN(I15,J15),0)</f>
        <v/>
      </c>
      <c r="L15" s="75" t="n">
        <v>45853</v>
      </c>
      <c r="M15" s="75" t="n">
        <v>46583</v>
      </c>
      <c r="N15" s="68" t="inlineStr">
        <is>
          <t>Active</t>
        </is>
      </c>
      <c r="O15" s="68" t="inlineStr">
        <is>
          <t>General Hardware</t>
        </is>
      </c>
      <c r="P15" s="68" t="n"/>
      <c r="Q15" s="76">
        <f>IF(AND(N15="Active",C15&gt;=L15,C15&lt;=M15),"Y","N")</f>
        <v/>
      </c>
      <c r="R15" s="76">
        <f>IF(P15=O15,"Y","N")</f>
        <v/>
      </c>
      <c r="S15" s="68" t="inlineStr">
        <is>
          <t>N</t>
        </is>
      </c>
      <c r="T15" s="68" t="inlineStr">
        <is>
          <t>Received</t>
        </is>
      </c>
      <c r="U15" s="68" t="inlineStr">
        <is>
          <t>Validated</t>
        </is>
      </c>
      <c r="V15" s="68" t="inlineStr">
        <is>
          <t>CLEAR</t>
        </is>
      </c>
      <c r="W15" s="68" t="inlineStr">
        <is>
          <t>N</t>
        </is>
      </c>
      <c r="X15" s="68" t="inlineStr">
        <is>
          <t>N</t>
        </is>
      </c>
      <c r="Y15" s="68" t="n"/>
      <c r="Z15" s="68" t="inlineStr">
        <is>
          <t>N</t>
        </is>
      </c>
      <c r="AA15" s="68" t="n"/>
      <c r="AB15" s="76" t="n">
        <v>0</v>
      </c>
      <c r="AC15" s="76">
        <f>IF(AB15&gt;=K15,"Y","N")</f>
        <v/>
      </c>
      <c r="AD15" s="82">
        <f>IF(Case_Register!J15&lt;&gt;"","DUPLICATE_REQUEST",IF(Requested_Items_Unclear!A15="Y","UNCLEAR_PRODUCT",IF(Q15&lt;&gt;"Y","EXPIRED_ENTITLEMENT",IF(R15&lt;&gt;"Y","FAMILY_NOT_COVERED",IF(AND(S15="Y",T15&lt;&gt;"Received"),"MISSING_PROOF",IF(U15&lt;&gt;"Validated","INVALID_ADDRESS",IF(V15&lt;&gt;"CLEAR","CREDIT_HOLD",IF(Z15="Y",IF(AA15="Blocked","SPECIAL_NONSTARTER","SPECIAL_FEASIBILITY"),IF(AND(X15="Y",Y15=""),"DISCONTINUED_NO_REPLACEMENT",IF(W15&lt;&gt;"Y","DISCONTINUED_NO_REPLACEMENT",IF(K15&lt;I15,"QTY_CAP_PARTIAL",IF(AC15&lt;&gt;"Y","BACKORDER",""))))))))))))</f>
        <v/>
      </c>
      <c r="AE15" s="82">
        <f>IF(AD15="SPECIAL_FEASIBILITY",IF(G15="SP-CUSTOM-PANEL","RTE-CUSTOM-PANEL",IF(G15="SP-ADAPT-KIT","RTE-ENG-ADAPT","")),"")</f>
        <v/>
      </c>
      <c r="AF15" s="82">
        <f>IF(AD15="",IF(Y15&lt;&gt;"","R_STANDARD_SUBSTITUTE","R_STANDARD_ORDER"),VLOOKUP(AD15,Rule_Codes!$A$2:$C$14,3,FALSE()))</f>
        <v/>
      </c>
      <c r="AG15" s="84">
        <f>IF(AD15="",IF(Y15&lt;&gt;"","STANDARD_ORDER_SUBSTITUTE_PREPARED","STANDARD_ORDER_PREPARED"),VLOOKUP(AD15,Rule_Codes!$A$2:$B$14,2,FALSE()))</f>
        <v/>
      </c>
      <c r="AH15" s="76">
        <f>IF(OR(AD15="",AD15="QTY_CAP_PARTIAL"),K15*Price_Map!B15,0)</f>
        <v/>
      </c>
    </row>
    <row r="16" ht="36" customHeight="1" s="16">
      <c r="A16" s="66" t="inlineStr">
        <is>
          <t>MRQ-2026-0710-015</t>
        </is>
      </c>
      <c r="B16" s="66" t="inlineStr">
        <is>
          <t>NHG-MRQ-2026-07-015</t>
        </is>
      </c>
      <c r="C16" s="72" t="n">
        <v>46212</v>
      </c>
      <c r="D16" s="66" t="inlineStr">
        <is>
          <t>CUST-1014</t>
        </is>
      </c>
      <c r="E16" s="66" t="inlineStr">
        <is>
          <t>ACCT-7714</t>
        </is>
      </c>
      <c r="F16" s="66" t="inlineStr">
        <is>
          <t>W-5514</t>
        </is>
      </c>
      <c r="G16" s="66" t="inlineStr">
        <is>
          <t>WH-GASK-410</t>
        </is>
      </c>
      <c r="H16" s="66" t="inlineStr">
        <is>
          <t>WH-GASK-410</t>
        </is>
      </c>
      <c r="I16" s="73" t="n">
        <v>1</v>
      </c>
      <c r="J16" s="73" t="n">
        <v>3</v>
      </c>
      <c r="K16" s="73">
        <f>IF(AND(N16="Active",C16&gt;=L16,C16&lt;=M16,P16=O16),MIN(I16,J16),0)</f>
        <v/>
      </c>
      <c r="L16" s="72" t="n">
        <v>45667</v>
      </c>
      <c r="M16" s="72" t="n">
        <v>46397</v>
      </c>
      <c r="N16" s="66" t="inlineStr">
        <is>
          <t>Active</t>
        </is>
      </c>
      <c r="O16" s="66" t="inlineStr">
        <is>
          <t>Laundry Hardware</t>
        </is>
      </c>
      <c r="P16" s="66" t="inlineStr">
        <is>
          <t>Laundry Hardware</t>
        </is>
      </c>
      <c r="Q16" s="73">
        <f>IF(AND(N16="Active",C16&gt;=L16,C16&lt;=M16),"Y","N")</f>
        <v/>
      </c>
      <c r="R16" s="73">
        <f>IF(P16=O16,"Y","N")</f>
        <v/>
      </c>
      <c r="S16" s="66" t="inlineStr">
        <is>
          <t>N</t>
        </is>
      </c>
      <c r="T16" s="66" t="inlineStr">
        <is>
          <t>Received</t>
        </is>
      </c>
      <c r="U16" s="66" t="inlineStr">
        <is>
          <t>Validated</t>
        </is>
      </c>
      <c r="V16" s="66" t="inlineStr">
        <is>
          <t>CLEAR</t>
        </is>
      </c>
      <c r="W16" s="66" t="inlineStr">
        <is>
          <t>Y</t>
        </is>
      </c>
      <c r="X16" s="66" t="inlineStr">
        <is>
          <t>N</t>
        </is>
      </c>
      <c r="Y16" s="66" t="n"/>
      <c r="Z16" s="66" t="inlineStr">
        <is>
          <t>N</t>
        </is>
      </c>
      <c r="AA16" s="66" t="n"/>
      <c r="AB16" s="73" t="n">
        <v>7</v>
      </c>
      <c r="AC16" s="73">
        <f>IF(AB16&gt;=K16,"Y","N")</f>
        <v/>
      </c>
      <c r="AD16" s="81">
        <f>IF(Case_Register!J16&lt;&gt;"","DUPLICATE_REQUEST",IF(Requested_Items_Unclear!A16="Y","UNCLEAR_PRODUCT",IF(Q16&lt;&gt;"Y","EXPIRED_ENTITLEMENT",IF(R16&lt;&gt;"Y","FAMILY_NOT_COVERED",IF(AND(S16="Y",T16&lt;&gt;"Received"),"MISSING_PROOF",IF(U16&lt;&gt;"Validated","INVALID_ADDRESS",IF(V16&lt;&gt;"CLEAR","CREDIT_HOLD",IF(Z16="Y",IF(AA16="Blocked","SPECIAL_NONSTARTER","SPECIAL_FEASIBILITY"),IF(AND(X16="Y",Y16=""),"DISCONTINUED_NO_REPLACEMENT",IF(W16&lt;&gt;"Y","DISCONTINUED_NO_REPLACEMENT",IF(K16&lt;I16,"QTY_CAP_PARTIAL",IF(AC16&lt;&gt;"Y","BACKORDER",""))))))))))))</f>
        <v/>
      </c>
      <c r="AE16" s="81">
        <f>IF(AD16="SPECIAL_FEASIBILITY",IF(G16="SP-CUSTOM-PANEL","RTE-CUSTOM-PANEL",IF(G16="SP-ADAPT-KIT","RTE-ENG-ADAPT","")),"")</f>
        <v/>
      </c>
      <c r="AF16" s="81">
        <f>IF(AD16="",IF(Y16&lt;&gt;"","R_STANDARD_SUBSTITUTE","R_STANDARD_ORDER"),VLOOKUP(AD16,Rule_Codes!$A$2:$C$14,3,FALSE()))</f>
        <v/>
      </c>
      <c r="AG16" s="83">
        <f>IF(AD16="",IF(Y16&lt;&gt;"","STANDARD_ORDER_SUBSTITUTE_PREPARED","STANDARD_ORDER_PREPARED"),VLOOKUP(AD16,Rule_Codes!$A$2:$B$14,2,FALSE()))</f>
        <v/>
      </c>
      <c r="AH16" s="74">
        <f>IF(OR(AD16="",AD16="QTY_CAP_PARTIAL"),K16*Price_Map!B16,0)</f>
        <v/>
      </c>
    </row>
    <row r="17" ht="36" customHeight="1" s="16">
      <c r="A17" s="68" t="inlineStr">
        <is>
          <t>MRQ-2026-0710-016</t>
        </is>
      </c>
      <c r="B17" s="68" t="inlineStr">
        <is>
          <t>NHG-MRQ-2026-07-016</t>
        </is>
      </c>
      <c r="C17" s="75" t="n">
        <v>46212</v>
      </c>
      <c r="D17" s="68" t="inlineStr">
        <is>
          <t>CUST-1015</t>
        </is>
      </c>
      <c r="E17" s="68" t="inlineStr">
        <is>
          <t>ACCT-7715</t>
        </is>
      </c>
      <c r="F17" s="68" t="inlineStr">
        <is>
          <t>W-5515</t>
        </is>
      </c>
      <c r="G17" s="68" t="inlineStr">
        <is>
          <t>WH-MOTOR-660</t>
        </is>
      </c>
      <c r="H17" s="68" t="inlineStr">
        <is>
          <t>WH-MOTOR-660</t>
        </is>
      </c>
      <c r="I17" s="76" t="n">
        <v>1</v>
      </c>
      <c r="J17" s="76" t="n">
        <v>1</v>
      </c>
      <c r="K17" s="76">
        <f>IF(AND(N17="Active",C17&gt;=L17,C17&lt;=M17,P17=O17),MIN(I17,J17),0)</f>
        <v/>
      </c>
      <c r="L17" s="75" t="n">
        <v>45826</v>
      </c>
      <c r="M17" s="75" t="n">
        <v>46556</v>
      </c>
      <c r="N17" s="68" t="inlineStr">
        <is>
          <t>Active</t>
        </is>
      </c>
      <c r="O17" s="68" t="inlineStr">
        <is>
          <t>Cooking Hardware</t>
        </is>
      </c>
      <c r="P17" s="68" t="inlineStr">
        <is>
          <t>Appliance Electrical</t>
        </is>
      </c>
      <c r="Q17" s="76">
        <f>IF(AND(N17="Active",C17&gt;=L17,C17&lt;=M17),"Y","N")</f>
        <v/>
      </c>
      <c r="R17" s="76">
        <f>IF(P17=O17,"Y","N")</f>
        <v/>
      </c>
      <c r="S17" s="68" t="inlineStr">
        <is>
          <t>N</t>
        </is>
      </c>
      <c r="T17" s="68" t="inlineStr">
        <is>
          <t>Received</t>
        </is>
      </c>
      <c r="U17" s="68" t="inlineStr">
        <is>
          <t>Validated</t>
        </is>
      </c>
      <c r="V17" s="68" t="inlineStr">
        <is>
          <t>CLEAR</t>
        </is>
      </c>
      <c r="W17" s="68" t="inlineStr">
        <is>
          <t>Y</t>
        </is>
      </c>
      <c r="X17" s="68" t="inlineStr">
        <is>
          <t>N</t>
        </is>
      </c>
      <c r="Y17" s="68" t="n"/>
      <c r="Z17" s="68" t="inlineStr">
        <is>
          <t>N</t>
        </is>
      </c>
      <c r="AA17" s="68" t="n"/>
      <c r="AB17" s="76" t="n">
        <v>4</v>
      </c>
      <c r="AC17" s="76">
        <f>IF(AB17&gt;=K17,"Y","N")</f>
        <v/>
      </c>
      <c r="AD17" s="82">
        <f>IF(Case_Register!J17&lt;&gt;"","DUPLICATE_REQUEST",IF(Requested_Items_Unclear!A17="Y","UNCLEAR_PRODUCT",IF(Q17&lt;&gt;"Y","EXPIRED_ENTITLEMENT",IF(R17&lt;&gt;"Y","FAMILY_NOT_COVERED",IF(AND(S17="Y",T17&lt;&gt;"Received"),"MISSING_PROOF",IF(U17&lt;&gt;"Validated","INVALID_ADDRESS",IF(V17&lt;&gt;"CLEAR","CREDIT_HOLD",IF(Z17="Y",IF(AA17="Blocked","SPECIAL_NONSTARTER","SPECIAL_FEASIBILITY"),IF(AND(X17="Y",Y17=""),"DISCONTINUED_NO_REPLACEMENT",IF(W17&lt;&gt;"Y","DISCONTINUED_NO_REPLACEMENT",IF(K17&lt;I17,"QTY_CAP_PARTIAL",IF(AC17&lt;&gt;"Y","BACKORDER",""))))))))))))</f>
        <v/>
      </c>
      <c r="AE17" s="82">
        <f>IF(AD17="SPECIAL_FEASIBILITY",IF(G17="SP-CUSTOM-PANEL","RTE-CUSTOM-PANEL",IF(G17="SP-ADAPT-KIT","RTE-ENG-ADAPT","")),"")</f>
        <v/>
      </c>
      <c r="AF17" s="82">
        <f>IF(AD17="",IF(Y17&lt;&gt;"","R_STANDARD_SUBSTITUTE","R_STANDARD_ORDER"),VLOOKUP(AD17,Rule_Codes!$A$2:$C$14,3,FALSE()))</f>
        <v/>
      </c>
      <c r="AG17" s="84">
        <f>IF(AD17="",IF(Y17&lt;&gt;"","STANDARD_ORDER_SUBSTITUTE_PREPARED","STANDARD_ORDER_PREPARED"),VLOOKUP(AD17,Rule_Codes!$A$2:$B$14,2,FALSE()))</f>
        <v/>
      </c>
      <c r="AH17" s="76">
        <f>IF(OR(AD17="",AD17="QTY_CAP_PARTIAL"),K17*Price_Map!B17,0)</f>
        <v/>
      </c>
    </row>
    <row r="18" ht="36" customHeight="1" s="16">
      <c r="A18" s="66" t="inlineStr">
        <is>
          <t>MRQ-2026-0710-017</t>
        </is>
      </c>
      <c r="B18" s="66" t="inlineStr">
        <is>
          <t>NHG-MRQ-2026-07-017</t>
        </is>
      </c>
      <c r="C18" s="72" t="n">
        <v>46212</v>
      </c>
      <c r="D18" s="66" t="inlineStr">
        <is>
          <t>CUST-1016</t>
        </is>
      </c>
      <c r="E18" s="66" t="inlineStr">
        <is>
          <t>ACCT-7716</t>
        </is>
      </c>
      <c r="F18" s="66" t="inlineStr">
        <is>
          <t>W-5516</t>
        </is>
      </c>
      <c r="G18" s="66" t="inlineStr">
        <is>
          <t>WH-LEG-700</t>
        </is>
      </c>
      <c r="H18" s="66" t="inlineStr">
        <is>
          <t>WH-LEG-700</t>
        </is>
      </c>
      <c r="I18" s="73" t="n">
        <v>2</v>
      </c>
      <c r="J18" s="73" t="n">
        <v>2</v>
      </c>
      <c r="K18" s="73">
        <f>IF(AND(N18="Active",C18&gt;=L18,C18&lt;=M18,P18=O18),MIN(I18,J18),0)</f>
        <v/>
      </c>
      <c r="L18" s="72" t="n">
        <v>45902</v>
      </c>
      <c r="M18" s="72" t="n">
        <v>46632</v>
      </c>
      <c r="N18" s="66" t="inlineStr">
        <is>
          <t>Active</t>
        </is>
      </c>
      <c r="O18" s="66" t="inlineStr">
        <is>
          <t>Utility Hardware</t>
        </is>
      </c>
      <c r="P18" s="66" t="inlineStr">
        <is>
          <t>Utility Hardware</t>
        </is>
      </c>
      <c r="Q18" s="73">
        <f>IF(AND(N18="Active",C18&gt;=L18,C18&lt;=M18),"Y","N")</f>
        <v/>
      </c>
      <c r="R18" s="73">
        <f>IF(P18=O18,"Y","N")</f>
        <v/>
      </c>
      <c r="S18" s="66" t="inlineStr">
        <is>
          <t>N</t>
        </is>
      </c>
      <c r="T18" s="66" t="inlineStr">
        <is>
          <t>Received</t>
        </is>
      </c>
      <c r="U18" s="66" t="inlineStr">
        <is>
          <t>Validated</t>
        </is>
      </c>
      <c r="V18" s="66" t="inlineStr">
        <is>
          <t>CLEAR</t>
        </is>
      </c>
      <c r="W18" s="66" t="inlineStr">
        <is>
          <t>Y</t>
        </is>
      </c>
      <c r="X18" s="66" t="inlineStr">
        <is>
          <t>N</t>
        </is>
      </c>
      <c r="Y18" s="66" t="n"/>
      <c r="Z18" s="66" t="inlineStr">
        <is>
          <t>N</t>
        </is>
      </c>
      <c r="AA18" s="66" t="n"/>
      <c r="AB18" s="73" t="n">
        <v>0</v>
      </c>
      <c r="AC18" s="73">
        <f>IF(AB18&gt;=K18,"Y","N")</f>
        <v/>
      </c>
      <c r="AD18" s="81">
        <f>IF(Case_Register!J18&lt;&gt;"","DUPLICATE_REQUEST",IF(Requested_Items_Unclear!A18="Y","UNCLEAR_PRODUCT",IF(Q18&lt;&gt;"Y","EXPIRED_ENTITLEMENT",IF(R18&lt;&gt;"Y","FAMILY_NOT_COVERED",IF(AND(S18="Y",T18&lt;&gt;"Received"),"MISSING_PROOF",IF(U18&lt;&gt;"Validated","INVALID_ADDRESS",IF(V18&lt;&gt;"CLEAR","CREDIT_HOLD",IF(Z18="Y",IF(AA18="Blocked","SPECIAL_NONSTARTER","SPECIAL_FEASIBILITY"),IF(AND(X18="Y",Y18=""),"DISCONTINUED_NO_REPLACEMENT",IF(W18&lt;&gt;"Y","DISCONTINUED_NO_REPLACEMENT",IF(K18&lt;I18,"QTY_CAP_PARTIAL",IF(AC18&lt;&gt;"Y","BACKORDER",""))))))))))))</f>
        <v/>
      </c>
      <c r="AE18" s="81">
        <f>IF(AD18="SPECIAL_FEASIBILITY",IF(G18="SP-CUSTOM-PANEL","RTE-CUSTOM-PANEL",IF(G18="SP-ADAPT-KIT","RTE-ENG-ADAPT","")),"")</f>
        <v/>
      </c>
      <c r="AF18" s="81">
        <f>IF(AD18="",IF(Y18&lt;&gt;"","R_STANDARD_SUBSTITUTE","R_STANDARD_ORDER"),VLOOKUP(AD18,Rule_Codes!$A$2:$C$14,3,FALSE()))</f>
        <v/>
      </c>
      <c r="AG18" s="83">
        <f>IF(AD18="",IF(Y18&lt;&gt;"","STANDARD_ORDER_SUBSTITUTE_PREPARED","STANDARD_ORDER_PREPARED"),VLOOKUP(AD18,Rule_Codes!$A$2:$B$14,2,FALSE()))</f>
        <v/>
      </c>
      <c r="AH18" s="73">
        <f>IF(OR(AD18="",AD18="QTY_CAP_PARTIAL"),K18*Price_Map!B18,0)</f>
        <v/>
      </c>
    </row>
    <row r="19" ht="36" customHeight="1" s="16">
      <c r="A19" s="68" t="inlineStr">
        <is>
          <t>MRQ-2026-0710-018</t>
        </is>
      </c>
      <c r="B19" s="68" t="inlineStr">
        <is>
          <t>NHG-MRQ-2026-07-018</t>
        </is>
      </c>
      <c r="C19" s="75" t="n">
        <v>46213</v>
      </c>
      <c r="D19" s="68" t="inlineStr">
        <is>
          <t>CUST-1017</t>
        </is>
      </c>
      <c r="E19" s="68" t="inlineStr">
        <is>
          <t>ACCT-7717</t>
        </is>
      </c>
      <c r="F19" s="68" t="inlineStr">
        <is>
          <t>W-5517</t>
        </is>
      </c>
      <c r="G19" s="68" t="inlineStr">
        <is>
          <t>SP-FINISH-MATCH</t>
        </is>
      </c>
      <c r="H19" s="68" t="inlineStr">
        <is>
          <t>SP-FINISH-MATCH</t>
        </is>
      </c>
      <c r="I19" s="76" t="n">
        <v>1</v>
      </c>
      <c r="J19" s="76" t="n">
        <v>1</v>
      </c>
      <c r="K19" s="76">
        <f>IF(AND(N19="Active",C19&gt;=L19,C19&lt;=M19,P19=O19),MIN(I19,J19),0)</f>
        <v/>
      </c>
      <c r="L19" s="75" t="n">
        <v>45770</v>
      </c>
      <c r="M19" s="75" t="n">
        <v>46500</v>
      </c>
      <c r="N19" s="68" t="inlineStr">
        <is>
          <t>Active</t>
        </is>
      </c>
      <c r="O19" s="68" t="inlineStr">
        <is>
          <t>Finish Matching</t>
        </is>
      </c>
      <c r="P19" s="68" t="inlineStr">
        <is>
          <t>Finish Matching</t>
        </is>
      </c>
      <c r="Q19" s="76">
        <f>IF(AND(N19="Active",C19&gt;=L19,C19&lt;=M19),"Y","N")</f>
        <v/>
      </c>
      <c r="R19" s="76">
        <f>IF(P19=O19,"Y","N")</f>
        <v/>
      </c>
      <c r="S19" s="68" t="inlineStr">
        <is>
          <t>N</t>
        </is>
      </c>
      <c r="T19" s="68" t="inlineStr">
        <is>
          <t>Received</t>
        </is>
      </c>
      <c r="U19" s="68" t="inlineStr">
        <is>
          <t>Validated</t>
        </is>
      </c>
      <c r="V19" s="68" t="inlineStr">
        <is>
          <t>CLEAR</t>
        </is>
      </c>
      <c r="W19" s="68" t="inlineStr">
        <is>
          <t>N</t>
        </is>
      </c>
      <c r="X19" s="68" t="inlineStr">
        <is>
          <t>N</t>
        </is>
      </c>
      <c r="Y19" s="68" t="n"/>
      <c r="Z19" s="68" t="inlineStr">
        <is>
          <t>Y</t>
        </is>
      </c>
      <c r="AA19" s="78" t="inlineStr">
        <is>
          <t>Blocked</t>
        </is>
      </c>
      <c r="AB19" s="76" t="n">
        <v>0</v>
      </c>
      <c r="AC19" s="76">
        <f>IF(AB19&gt;=K19,"Y","N")</f>
        <v/>
      </c>
      <c r="AD19" s="82">
        <f>IF(Case_Register!J19&lt;&gt;"","DUPLICATE_REQUEST",IF(Requested_Items_Unclear!A19="Y","UNCLEAR_PRODUCT",IF(Q19&lt;&gt;"Y","EXPIRED_ENTITLEMENT",IF(R19&lt;&gt;"Y","FAMILY_NOT_COVERED",IF(AND(S19="Y",T19&lt;&gt;"Received"),"MISSING_PROOF",IF(U19&lt;&gt;"Validated","INVALID_ADDRESS",IF(V19&lt;&gt;"CLEAR","CREDIT_HOLD",IF(Z19="Y",IF(AA19="Blocked","SPECIAL_NONSTARTER","SPECIAL_FEASIBILITY"),IF(AND(X19="Y",Y19=""),"DISCONTINUED_NO_REPLACEMENT",IF(W19&lt;&gt;"Y","DISCONTINUED_NO_REPLACEMENT",IF(K19&lt;I19,"QTY_CAP_PARTIAL",IF(AC19&lt;&gt;"Y","BACKORDER",""))))))))))))</f>
        <v/>
      </c>
      <c r="AE19" s="82">
        <f>IF(AD19="SPECIAL_FEASIBILITY",IF(G19="SP-CUSTOM-PANEL","RTE-CUSTOM-PANEL",IF(G19="SP-ADAPT-KIT","RTE-ENG-ADAPT","")),"")</f>
        <v/>
      </c>
      <c r="AF19" s="82">
        <f>IF(AD19="",IF(Y19&lt;&gt;"","R_STANDARD_SUBSTITUTE","R_STANDARD_ORDER"),VLOOKUP(AD19,Rule_Codes!$A$2:$C$14,3,FALSE()))</f>
        <v/>
      </c>
      <c r="AG19" s="84">
        <f>IF(AD19="",IF(Y19&lt;&gt;"","STANDARD_ORDER_SUBSTITUTE_PREPARED","STANDARD_ORDER_PREPARED"),VLOOKUP(AD19,Rule_Codes!$A$2:$B$14,2,FALSE()))</f>
        <v/>
      </c>
      <c r="AH19" s="76">
        <f>IF(OR(AD19="",AD19="QTY_CAP_PARTIAL"),K19*Price_Map!B19,0)</f>
        <v/>
      </c>
    </row>
  </sheetData>
  <autoFilter ref="A1:AH19"/>
  <conditionalFormatting sqref="A1:AH19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6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A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</cols>
  <sheetData>
    <row r="1" ht="29" customHeight="1" s="16">
      <c r="A1" s="65" t="inlineStr">
        <is>
          <t>Unclear_Product_Flag</t>
        </is>
      </c>
    </row>
    <row r="2" ht="22" customHeight="1" s="16">
      <c r="A2" s="66" t="inlineStr">
        <is>
          <t>N</t>
        </is>
      </c>
    </row>
    <row r="3" ht="22" customHeight="1" s="16">
      <c r="A3" s="68" t="inlineStr">
        <is>
          <t>N</t>
        </is>
      </c>
    </row>
    <row r="4" ht="22" customHeight="1" s="16">
      <c r="A4" s="66" t="inlineStr">
        <is>
          <t>N</t>
        </is>
      </c>
    </row>
    <row r="5" ht="22" customHeight="1" s="16">
      <c r="A5" s="68" t="inlineStr">
        <is>
          <t>N</t>
        </is>
      </c>
    </row>
    <row r="6" ht="22" customHeight="1" s="16">
      <c r="A6" s="66" t="inlineStr">
        <is>
          <t>N</t>
        </is>
      </c>
    </row>
    <row r="7" ht="22" customHeight="1" s="16">
      <c r="A7" s="68" t="inlineStr">
        <is>
          <t>N</t>
        </is>
      </c>
    </row>
    <row r="8" ht="22" customHeight="1" s="16">
      <c r="A8" s="66" t="inlineStr">
        <is>
          <t>N</t>
        </is>
      </c>
    </row>
    <row r="9" ht="22" customHeight="1" s="16">
      <c r="A9" s="68" t="inlineStr">
        <is>
          <t>N</t>
        </is>
      </c>
    </row>
    <row r="10" ht="22" customHeight="1" s="16">
      <c r="A10" s="66" t="inlineStr">
        <is>
          <t>N</t>
        </is>
      </c>
    </row>
    <row r="11" ht="22" customHeight="1" s="16">
      <c r="A11" s="68" t="inlineStr">
        <is>
          <t>N</t>
        </is>
      </c>
    </row>
    <row r="12" ht="22" customHeight="1" s="16">
      <c r="A12" s="66" t="inlineStr">
        <is>
          <t>N</t>
        </is>
      </c>
    </row>
    <row r="13" ht="22" customHeight="1" s="16">
      <c r="A13" s="68" t="inlineStr">
        <is>
          <t>N</t>
        </is>
      </c>
    </row>
    <row r="14" ht="22" customHeight="1" s="16">
      <c r="A14" s="66" t="inlineStr">
        <is>
          <t>N</t>
        </is>
      </c>
    </row>
    <row r="15" ht="22" customHeight="1" s="16">
      <c r="A15" s="68" t="inlineStr">
        <is>
          <t>Y</t>
        </is>
      </c>
    </row>
    <row r="16" ht="22" customHeight="1" s="16">
      <c r="A16" s="66" t="inlineStr">
        <is>
          <t>N</t>
        </is>
      </c>
    </row>
    <row r="17" ht="22" customHeight="1" s="16">
      <c r="A17" s="68" t="inlineStr">
        <is>
          <t>N</t>
        </is>
      </c>
    </row>
    <row r="18" ht="22" customHeight="1" s="16">
      <c r="A18" s="66" t="inlineStr">
        <is>
          <t>N</t>
        </is>
      </c>
    </row>
    <row r="19" ht="22" customHeight="1" s="16">
      <c r="A19" s="68" t="inlineStr">
        <is>
          <t>N</t>
        </is>
      </c>
    </row>
  </sheetData>
  <autoFilter ref="A1:A19"/>
  <conditionalFormatting sqref="A1:A19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5" min="1" max="1"/>
    <col width="44" customWidth="1" style="15" min="2" max="2"/>
    <col width="27" customWidth="1" style="15" min="3" max="3"/>
  </cols>
  <sheetData>
    <row r="1" ht="29" customHeight="1" s="16">
      <c r="A1" s="65" t="inlineStr">
        <is>
          <t>Exception_Code</t>
        </is>
      </c>
      <c r="B1" s="65" t="inlineStr">
        <is>
          <t>Final_Disposition</t>
        </is>
      </c>
      <c r="C1" s="65" t="inlineStr">
        <is>
          <t>Response_Type_Code</t>
        </is>
      </c>
    </row>
    <row r="2" ht="22" customHeight="1" s="16">
      <c r="A2" s="66" t="inlineStr">
        <is>
          <t>QTY_CAP_PARTIAL</t>
        </is>
      </c>
      <c r="B2" s="70" t="inlineStr">
        <is>
          <t>PARTIAL_STANDARD_ORDER_PREPARED</t>
        </is>
      </c>
      <c r="C2" s="66" t="inlineStr">
        <is>
          <t>R_PARTIAL_STANDARD</t>
        </is>
      </c>
    </row>
    <row r="3" ht="22" customHeight="1" s="16">
      <c r="A3" s="68" t="inlineStr">
        <is>
          <t>BACKORDER</t>
        </is>
      </c>
      <c r="B3" s="68" t="inlineStr">
        <is>
          <t>AVAILABILITY_RESPONSE_SENT</t>
        </is>
      </c>
      <c r="C3" s="68" t="inlineStr">
        <is>
          <t>R_BACKORDER_NOTICE</t>
        </is>
      </c>
    </row>
    <row r="4" ht="22" customHeight="1" s="16">
      <c r="A4" s="66" t="inlineStr">
        <is>
          <t>EXPIRED_ENTITLEMENT</t>
        </is>
      </c>
      <c r="B4" s="66" t="inlineStr">
        <is>
          <t>INELIGIBLE_RESPONSE_SENT</t>
        </is>
      </c>
      <c r="C4" s="66" t="inlineStr">
        <is>
          <t>R_INELIGIBLE</t>
        </is>
      </c>
    </row>
    <row r="5" ht="22" customHeight="1" s="16">
      <c r="A5" s="68" t="inlineStr">
        <is>
          <t>SPECIAL_FEASIBILITY</t>
        </is>
      </c>
      <c r="B5" s="68" t="inlineStr">
        <is>
          <t>SPECIAL_ROUTE_PREPARED</t>
        </is>
      </c>
      <c r="C5" s="68" t="inlineStr">
        <is>
          <t>R_SPECIAL_ACK</t>
        </is>
      </c>
    </row>
    <row r="6" ht="22" customHeight="1" s="16">
      <c r="A6" s="66" t="inlineStr">
        <is>
          <t>CREDIT_HOLD</t>
        </is>
      </c>
      <c r="B6" s="66" t="inlineStr">
        <is>
          <t>HELD_CREDIT_RELEASE_REQUIRED</t>
        </is>
      </c>
      <c r="C6" s="66" t="inlineStr">
        <is>
          <t>R_CREDIT_HOLD</t>
        </is>
      </c>
    </row>
    <row r="7" ht="22" customHeight="1" s="16">
      <c r="A7" s="68" t="inlineStr">
        <is>
          <t>MISSING_PROOF</t>
        </is>
      </c>
      <c r="B7" s="68" t="inlineStr">
        <is>
          <t>HELD_CUSTOMER_PROOF_REQUIRED</t>
        </is>
      </c>
      <c r="C7" s="68" t="inlineStr">
        <is>
          <t>R_MISSING_PROOF</t>
        </is>
      </c>
    </row>
    <row r="8" ht="22" customHeight="1" s="16">
      <c r="A8" s="66" t="inlineStr">
        <is>
          <t>INVALID_ADDRESS</t>
        </is>
      </c>
      <c r="B8" s="70" t="inlineStr">
        <is>
          <t>HELD_ADDRESS_CORRECTION_REQUIRED</t>
        </is>
      </c>
      <c r="C8" s="66" t="inlineStr">
        <is>
          <t>R_ADDRESS_FIX</t>
        </is>
      </c>
    </row>
    <row r="9" ht="22" customHeight="1" s="16">
      <c r="A9" s="68" t="inlineStr">
        <is>
          <t>DISCONTINUED_NO_REPLACEMENT</t>
        </is>
      </c>
      <c r="B9" s="68" t="inlineStr">
        <is>
          <t>UNAVAILABLE_RESPONSE_SENT</t>
        </is>
      </c>
      <c r="C9" s="68" t="inlineStr">
        <is>
          <t>R_UNAVAILABLE</t>
        </is>
      </c>
    </row>
    <row r="10" ht="22" customHeight="1" s="16">
      <c r="A10" s="66" t="inlineStr">
        <is>
          <t>DUPLICATE_REQUEST</t>
        </is>
      </c>
      <c r="B10" s="66" t="inlineStr">
        <is>
          <t>DUPLICATE_CLOSED</t>
        </is>
      </c>
      <c r="C10" s="66" t="inlineStr">
        <is>
          <t>R_DUPLICATE</t>
        </is>
      </c>
    </row>
    <row r="11" ht="22" customHeight="1" s="16">
      <c r="A11" s="68" t="inlineStr">
        <is>
          <t>UNCLEAR_PRODUCT</t>
        </is>
      </c>
      <c r="B11" s="71" t="inlineStr">
        <is>
          <t>HELD_PRODUCT_CLARIFICATION_REQUIRED</t>
        </is>
      </c>
      <c r="C11" s="68" t="inlineStr">
        <is>
          <t>R_CLARIFICATION</t>
        </is>
      </c>
    </row>
    <row r="12" ht="22" customHeight="1" s="16">
      <c r="A12" s="66" t="inlineStr">
        <is>
          <t>FAMILY_NOT_COVERED</t>
        </is>
      </c>
      <c r="B12" s="66" t="inlineStr">
        <is>
          <t>INELIGIBLE_RESPONSE_SENT</t>
        </is>
      </c>
      <c r="C12" s="66" t="inlineStr">
        <is>
          <t>R_INELIGIBLE</t>
        </is>
      </c>
    </row>
    <row r="13" ht="22" customHeight="1" s="16">
      <c r="A13" s="68" t="inlineStr">
        <is>
          <t>SPECIAL_NONSTARTER</t>
        </is>
      </c>
      <c r="B13" s="71" t="inlineStr">
        <is>
          <t>SPECIAL_UNAVAILABLE_RESPONSE_SENT</t>
        </is>
      </c>
      <c r="C13" s="68" t="inlineStr">
        <is>
          <t>R_SPECIAL_UNAVAILABLE</t>
        </is>
      </c>
    </row>
    <row r="14" ht="22" customHeight="1" s="16">
      <c r="A14" s="66" t="inlineStr">
        <is>
          <t>SUBSTITUTION_REVIEW</t>
        </is>
      </c>
      <c r="B14" s="66" t="inlineStr">
        <is>
          <t>RESOLVED_STANDARD_SUBSTITUTE</t>
        </is>
      </c>
      <c r="C14" s="66" t="inlineStr">
        <is>
          <t>R_STANDARD_SUBSTITUTE</t>
        </is>
      </c>
    </row>
  </sheetData>
  <autoFilter ref="A1:C14"/>
  <conditionalFormatting sqref="A1:C14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14" customWidth="1" style="15" min="2" max="2"/>
  </cols>
  <sheetData>
    <row r="1" ht="29" customHeight="1" s="16">
      <c r="A1" s="65" t="inlineStr">
        <is>
          <t>Case_ID</t>
        </is>
      </c>
      <c r="B1" s="65" t="inlineStr">
        <is>
          <t>Unit_Price</t>
        </is>
      </c>
    </row>
    <row r="2" ht="22" customHeight="1" s="16">
      <c r="A2" s="66" t="inlineStr">
        <is>
          <t>MRQ-2026-0710-001</t>
        </is>
      </c>
      <c r="B2" s="74" t="n">
        <v>24</v>
      </c>
    </row>
    <row r="3" ht="22" customHeight="1" s="16">
      <c r="A3" s="68" t="inlineStr">
        <is>
          <t>MRQ-2026-0710-002</t>
        </is>
      </c>
      <c r="B3" s="77" t="n">
        <v>14.75</v>
      </c>
    </row>
    <row r="4" ht="22" customHeight="1" s="16">
      <c r="A4" s="66" t="inlineStr">
        <is>
          <t>MRQ-2026-0710-003</t>
        </is>
      </c>
      <c r="B4" s="74" t="n">
        <v>11</v>
      </c>
    </row>
    <row r="5" ht="22" customHeight="1" s="16">
      <c r="A5" s="68" t="inlineStr">
        <is>
          <t>MRQ-2026-0710-004</t>
        </is>
      </c>
      <c r="B5" s="77" t="n">
        <v>9.5</v>
      </c>
    </row>
    <row r="6" ht="22" customHeight="1" s="16">
      <c r="A6" s="66" t="inlineStr">
        <is>
          <t>MRQ-2026-0710-005</t>
        </is>
      </c>
      <c r="B6" s="74" t="n">
        <v>0</v>
      </c>
    </row>
    <row r="7" ht="22" customHeight="1" s="16">
      <c r="A7" s="68" t="inlineStr">
        <is>
          <t>MRQ-2026-0710-006</t>
        </is>
      </c>
      <c r="B7" s="77" t="n">
        <v>32</v>
      </c>
    </row>
    <row r="8" ht="22" customHeight="1" s="16">
      <c r="A8" s="66" t="inlineStr">
        <is>
          <t>MRQ-2026-0710-007</t>
        </is>
      </c>
      <c r="B8" s="74" t="n">
        <v>24</v>
      </c>
    </row>
    <row r="9" ht="22" customHeight="1" s="16">
      <c r="A9" s="68" t="inlineStr">
        <is>
          <t>MRQ-2026-0710-008</t>
        </is>
      </c>
      <c r="B9" s="77" t="n">
        <v>18.25</v>
      </c>
    </row>
    <row r="10" ht="22" customHeight="1" s="16">
      <c r="A10" s="66" t="inlineStr">
        <is>
          <t>MRQ-2026-0710-009</t>
        </is>
      </c>
      <c r="B10" s="74" t="n">
        <v>0</v>
      </c>
    </row>
    <row r="11" ht="22" customHeight="1" s="16">
      <c r="A11" s="68" t="inlineStr">
        <is>
          <t>MRQ-2026-0710-010</t>
        </is>
      </c>
      <c r="B11" s="77" t="n">
        <v>24</v>
      </c>
    </row>
    <row r="12" ht="22" customHeight="1" s="16">
      <c r="A12" s="66" t="inlineStr">
        <is>
          <t>MRQ-2026-0710-011</t>
        </is>
      </c>
      <c r="B12" s="74" t="n">
        <v>9.5</v>
      </c>
    </row>
    <row r="13" ht="22" customHeight="1" s="16">
      <c r="A13" s="68" t="inlineStr">
        <is>
          <t>MRQ-2026-0710-012</t>
        </is>
      </c>
      <c r="B13" s="77" t="n">
        <v>32</v>
      </c>
    </row>
    <row r="14" ht="22" customHeight="1" s="16">
      <c r="A14" s="66" t="inlineStr">
        <is>
          <t>MRQ-2026-0710-013</t>
        </is>
      </c>
      <c r="B14" s="74" t="n">
        <v>0</v>
      </c>
    </row>
    <row r="15" ht="22" customHeight="1" s="16">
      <c r="A15" s="68" t="inlineStr">
        <is>
          <t>MRQ-2026-0710-014</t>
        </is>
      </c>
      <c r="B15" s="77" t="n">
        <v>0</v>
      </c>
    </row>
    <row r="16" ht="22" customHeight="1" s="16">
      <c r="A16" s="66" t="inlineStr">
        <is>
          <t>MRQ-2026-0710-015</t>
        </is>
      </c>
      <c r="B16" s="74" t="n">
        <v>18.25</v>
      </c>
    </row>
    <row r="17" ht="22" customHeight="1" s="16">
      <c r="A17" s="68" t="inlineStr">
        <is>
          <t>MRQ-2026-0710-016</t>
        </is>
      </c>
      <c r="B17" s="77" t="n">
        <v>88</v>
      </c>
    </row>
    <row r="18" ht="22" customHeight="1" s="16">
      <c r="A18" s="66" t="inlineStr">
        <is>
          <t>MRQ-2026-0710-017</t>
        </is>
      </c>
      <c r="B18" s="74" t="n">
        <v>11</v>
      </c>
    </row>
    <row r="19" ht="22" customHeight="1" s="16">
      <c r="A19" s="68" t="inlineStr">
        <is>
          <t>MRQ-2026-0710-018</t>
        </is>
      </c>
      <c r="B19" s="77" t="n">
        <v>0</v>
      </c>
    </row>
  </sheetData>
  <autoFilter ref="A1:B19"/>
  <conditionalFormatting sqref="A1:B19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S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25" customWidth="1" style="15" min="2" max="2"/>
    <col width="15" customWidth="1" style="15" min="3" max="3"/>
    <col width="14" customWidth="1" style="15" min="4" max="4"/>
    <col width="20" customWidth="1" style="15" min="5" max="6"/>
    <col width="20" customWidth="1" style="16" min="6" max="6"/>
    <col width="24" customWidth="1" style="15" min="7" max="7"/>
    <col width="23" customWidth="1" style="15" min="8" max="8"/>
    <col width="12" customWidth="1" style="15" min="9" max="9"/>
    <col width="23" customWidth="1" style="15" min="10" max="10"/>
    <col width="36" customWidth="1" style="15" min="11" max="14"/>
    <col width="20" customWidth="1" style="16" min="12" max="12"/>
    <col width="30" customWidth="1" style="16" min="13" max="13"/>
    <col width="44" customWidth="1" style="16" min="14" max="14"/>
    <col width="38" customWidth="1" style="15" min="15" max="15"/>
    <col width="32" customWidth="1" style="15" min="16" max="16"/>
    <col width="15" customWidth="1" style="15" min="17" max="17"/>
    <col width="12" customWidth="1" style="15" min="18" max="18"/>
    <col width="35" customWidth="1" style="15" min="19" max="19"/>
  </cols>
  <sheetData>
    <row r="1" ht="29" customHeight="1" s="16">
      <c r="A1" s="65" t="inlineStr">
        <is>
          <t>Case_ID</t>
        </is>
      </c>
      <c r="B1" s="65" t="inlineStr">
        <is>
          <t>Source_Corr_ID</t>
        </is>
      </c>
      <c r="C1" s="65" t="inlineStr">
        <is>
          <t>Customer_ID</t>
        </is>
      </c>
      <c r="D1" s="65" t="inlineStr">
        <is>
          <t>Account_ID</t>
        </is>
      </c>
      <c r="E1" s="65" t="inlineStr">
        <is>
          <t>Requested_SKU</t>
        </is>
      </c>
      <c r="F1" s="65" t="inlineStr">
        <is>
          <t>Resolved_SKU</t>
        </is>
      </c>
      <c r="G1" s="65" t="inlineStr">
        <is>
          <t>Quantity_Requested</t>
        </is>
      </c>
      <c r="H1" s="65" t="inlineStr">
        <is>
          <t>Quantity_Approved</t>
        </is>
      </c>
      <c r="I1" s="65" t="inlineStr">
        <is>
          <t>Owner_ID</t>
        </is>
      </c>
      <c r="J1" s="65" t="inlineStr">
        <is>
          <t>Duplicate_Of</t>
        </is>
      </c>
      <c r="K1" s="65" t="inlineStr">
        <is>
          <t>Exception_Code</t>
        </is>
      </c>
      <c r="L1" s="65" t="inlineStr">
        <is>
          <t>Route_Code</t>
        </is>
      </c>
      <c r="M1" s="65" t="inlineStr">
        <is>
          <t>Response_Type_Code</t>
        </is>
      </c>
      <c r="N1" s="65" t="inlineStr">
        <is>
          <t>Final_Disposition</t>
        </is>
      </c>
      <c r="O1" s="65" t="inlineStr">
        <is>
          <t>Lifecycle_State</t>
        </is>
      </c>
      <c r="P1" s="65" t="inlineStr">
        <is>
          <t>Order_Action_Status</t>
        </is>
      </c>
      <c r="Q1" s="65" t="inlineStr">
        <is>
          <t>Line_Value</t>
        </is>
      </c>
      <c r="R1" s="65" t="inlineStr">
        <is>
          <t>Age_Band</t>
        </is>
      </c>
      <c r="S1" s="65" t="inlineStr">
        <is>
          <t>Next_Action_Owner</t>
        </is>
      </c>
    </row>
    <row r="2" ht="36" customHeight="1" s="16">
      <c r="A2" s="66" t="inlineStr">
        <is>
          <t>MRQ-2026-0710-001</t>
        </is>
      </c>
      <c r="B2" s="66" t="inlineStr">
        <is>
          <t>NHG-MRQ-2026-07-001</t>
        </is>
      </c>
      <c r="C2" s="66" t="inlineStr">
        <is>
          <t>CUST-1001</t>
        </is>
      </c>
      <c r="D2" s="66" t="inlineStr">
        <is>
          <t>ACCT-7701</t>
        </is>
      </c>
      <c r="E2" s="66" t="inlineStr">
        <is>
          <t>WH-FLTR-200</t>
        </is>
      </c>
      <c r="F2" s="66" t="inlineStr">
        <is>
          <t>WH-FLTR-200</t>
        </is>
      </c>
      <c r="G2" s="73" t="n">
        <v>2</v>
      </c>
      <c r="H2" s="73">
        <f>Eligibility_Calcs!K2</f>
        <v/>
      </c>
      <c r="I2" s="66" t="inlineStr">
        <is>
          <t>ALOPEZ</t>
        </is>
      </c>
      <c r="J2" s="81" t="n"/>
      <c r="K2" s="81">
        <f>Eligibility_Calcs!AD2</f>
        <v/>
      </c>
      <c r="L2" s="81">
        <f>Eligibility_Calcs!AE2</f>
        <v/>
      </c>
      <c r="M2" s="81">
        <f>Eligibility_Calcs!AF2</f>
        <v/>
      </c>
      <c r="N2" s="83">
        <f>Eligibility_Calcs!AG2</f>
        <v/>
      </c>
      <c r="O2" s="81" t="inlineStr">
        <is>
          <t>Order request prepared</t>
        </is>
      </c>
      <c r="P2" s="81" t="inlineStr">
        <is>
          <t>ORDER_REQUEST_PREPARED</t>
        </is>
      </c>
      <c r="Q2" s="74">
        <f>Eligibility_Calcs!AH2</f>
        <v/>
      </c>
      <c r="R2" s="66" t="inlineStr">
        <is>
          <t>6-10 days</t>
        </is>
      </c>
      <c r="S2" s="81" t="inlineStr">
        <is>
          <t>Fulfillment import coordinator</t>
        </is>
      </c>
    </row>
    <row r="3" ht="36" customHeight="1" s="16">
      <c r="A3" s="68" t="inlineStr">
        <is>
          <t>MRQ-2026-0710-002</t>
        </is>
      </c>
      <c r="B3" s="68" t="inlineStr">
        <is>
          <t>NHG-MRQ-2026-07-002</t>
        </is>
      </c>
      <c r="C3" s="68" t="inlineStr">
        <is>
          <t>CUST-1002</t>
        </is>
      </c>
      <c r="D3" s="68" t="inlineStr">
        <is>
          <t>ACCT-7702</t>
        </is>
      </c>
      <c r="E3" s="68" t="inlineStr">
        <is>
          <t>WH-HINGE-510</t>
        </is>
      </c>
      <c r="F3" s="68" t="inlineStr">
        <is>
          <t>WH-HINGE-520</t>
        </is>
      </c>
      <c r="G3" s="76" t="n">
        <v>1</v>
      </c>
      <c r="H3" s="76">
        <f>Eligibility_Calcs!K3</f>
        <v/>
      </c>
      <c r="I3" s="68" t="inlineStr">
        <is>
          <t>MCHEN</t>
        </is>
      </c>
      <c r="J3" s="82" t="n"/>
      <c r="K3" s="82">
        <f>Eligibility_Calcs!AD3</f>
        <v/>
      </c>
      <c r="L3" s="82">
        <f>Eligibility_Calcs!AE3</f>
        <v/>
      </c>
      <c r="M3" s="82">
        <f>Eligibility_Calcs!AF3</f>
        <v/>
      </c>
      <c r="N3" s="84">
        <f>Eligibility_Calcs!AG3</f>
        <v/>
      </c>
      <c r="O3" s="82" t="inlineStr">
        <is>
          <t>Order request prepared</t>
        </is>
      </c>
      <c r="P3" s="82" t="inlineStr">
        <is>
          <t>ORDER_REQUEST_PREPARED</t>
        </is>
      </c>
      <c r="Q3" s="77">
        <f>Eligibility_Calcs!AH3</f>
        <v/>
      </c>
      <c r="R3" s="68" t="inlineStr">
        <is>
          <t>6-10 days</t>
        </is>
      </c>
      <c r="S3" s="82" t="inlineStr">
        <is>
          <t>Fulfillment import coordinator</t>
        </is>
      </c>
    </row>
    <row r="4" ht="36" customHeight="1" s="16">
      <c r="A4" s="66" t="inlineStr">
        <is>
          <t>MRQ-2026-0710-003</t>
        </is>
      </c>
      <c r="B4" s="66" t="inlineStr">
        <is>
          <t>NHG-MRQ-2026-07-003</t>
        </is>
      </c>
      <c r="C4" s="66" t="inlineStr">
        <is>
          <t>CUST-1003</t>
        </is>
      </c>
      <c r="D4" s="66" t="inlineStr">
        <is>
          <t>ACCT-7703</t>
        </is>
      </c>
      <c r="E4" s="66" t="inlineStr">
        <is>
          <t>WH-LEG-700</t>
        </is>
      </c>
      <c r="F4" s="66" t="inlineStr">
        <is>
          <t>WH-LEG-700</t>
        </is>
      </c>
      <c r="G4" s="73" t="n">
        <v>1</v>
      </c>
      <c r="H4" s="73">
        <f>Eligibility_Calcs!K4</f>
        <v/>
      </c>
      <c r="I4" s="66" t="inlineStr">
        <is>
          <t>RPATEL</t>
        </is>
      </c>
      <c r="J4" s="81" t="n"/>
      <c r="K4" s="81">
        <f>Eligibility_Calcs!AD4</f>
        <v/>
      </c>
      <c r="L4" s="81">
        <f>Eligibility_Calcs!AE4</f>
        <v/>
      </c>
      <c r="M4" s="81">
        <f>Eligibility_Calcs!AF4</f>
        <v/>
      </c>
      <c r="N4" s="83">
        <f>Eligibility_Calcs!AG4</f>
        <v/>
      </c>
      <c r="O4" s="81" t="inlineStr">
        <is>
          <t>Closed response sent</t>
        </is>
      </c>
      <c r="P4" s="81" t="inlineStr">
        <is>
          <t>NOT_IN_IMPORT</t>
        </is>
      </c>
      <c r="Q4" s="73">
        <f>Eligibility_Calcs!AH4</f>
        <v/>
      </c>
      <c r="R4" s="66" t="inlineStr">
        <is>
          <t>6-10 days</t>
        </is>
      </c>
      <c r="S4" s="81" t="inlineStr">
        <is>
          <t>Inventory planning</t>
        </is>
      </c>
    </row>
    <row r="5" ht="36" customHeight="1" s="16">
      <c r="A5" s="68" t="inlineStr">
        <is>
          <t>MRQ-2026-0710-004</t>
        </is>
      </c>
      <c r="B5" s="68" t="inlineStr">
        <is>
          <t>NHG-MRQ-2026-07-004</t>
        </is>
      </c>
      <c r="C5" s="68" t="inlineStr">
        <is>
          <t>CUST-1004</t>
        </is>
      </c>
      <c r="D5" s="68" t="inlineStr">
        <is>
          <t>ACCT-7704</t>
        </is>
      </c>
      <c r="E5" s="68" t="inlineStr">
        <is>
          <t>WH-KNOB-110</t>
        </is>
      </c>
      <c r="F5" s="68" t="inlineStr">
        <is>
          <t>WH-KNOB-110</t>
        </is>
      </c>
      <c r="G5" s="76" t="n">
        <v>2</v>
      </c>
      <c r="H5" s="76">
        <f>Eligibility_Calcs!K5</f>
        <v/>
      </c>
      <c r="I5" s="68" t="inlineStr">
        <is>
          <t>JPARK</t>
        </is>
      </c>
      <c r="J5" s="82" t="n"/>
      <c r="K5" s="82">
        <f>Eligibility_Calcs!AD5</f>
        <v/>
      </c>
      <c r="L5" s="82">
        <f>Eligibility_Calcs!AE5</f>
        <v/>
      </c>
      <c r="M5" s="82">
        <f>Eligibility_Calcs!AF5</f>
        <v/>
      </c>
      <c r="N5" s="84">
        <f>Eligibility_Calcs!AG5</f>
        <v/>
      </c>
      <c r="O5" s="82" t="inlineStr">
        <is>
          <t>Closed response sent</t>
        </is>
      </c>
      <c r="P5" s="82" t="inlineStr">
        <is>
          <t>NOT_IN_IMPORT</t>
        </is>
      </c>
      <c r="Q5" s="76">
        <f>Eligibility_Calcs!AH5</f>
        <v/>
      </c>
      <c r="R5" s="68" t="inlineStr">
        <is>
          <t>6-10 days</t>
        </is>
      </c>
      <c r="S5" s="82" t="inlineStr">
        <is>
          <t>Customer</t>
        </is>
      </c>
    </row>
    <row r="6" ht="36" customHeight="1" s="16">
      <c r="A6" s="66" t="inlineStr">
        <is>
          <t>MRQ-2026-0710-005</t>
        </is>
      </c>
      <c r="B6" s="66" t="inlineStr">
        <is>
          <t>NHG-MRQ-2026-07-005</t>
        </is>
      </c>
      <c r="C6" s="66" t="inlineStr">
        <is>
          <t>CUST-1005</t>
        </is>
      </c>
      <c r="D6" s="66" t="inlineStr">
        <is>
          <t>ACCT-7705</t>
        </is>
      </c>
      <c r="E6" s="66" t="inlineStr">
        <is>
          <t>SP-CUSTOM-PANEL</t>
        </is>
      </c>
      <c r="F6" s="66" t="inlineStr">
        <is>
          <t>SP-CUSTOM-PANEL</t>
        </is>
      </c>
      <c r="G6" s="73" t="n">
        <v>1</v>
      </c>
      <c r="H6" s="73">
        <f>Eligibility_Calcs!K6</f>
        <v/>
      </c>
      <c r="I6" s="66" t="inlineStr">
        <is>
          <t>ALOPEZ</t>
        </is>
      </c>
      <c r="J6" s="81" t="n"/>
      <c r="K6" s="81">
        <f>Eligibility_Calcs!AD6</f>
        <v/>
      </c>
      <c r="L6" s="81">
        <f>Eligibility_Calcs!AE6</f>
        <v/>
      </c>
      <c r="M6" s="81">
        <f>Eligibility_Calcs!AF6</f>
        <v/>
      </c>
      <c r="N6" s="83">
        <f>Eligibility_Calcs!AG6</f>
        <v/>
      </c>
      <c r="O6" s="81" t="inlineStr">
        <is>
          <t>Routed feasibility request</t>
        </is>
      </c>
      <c r="P6" s="81" t="inlineStr">
        <is>
          <t>NOT_IN_IMPORT</t>
        </is>
      </c>
      <c r="Q6" s="73">
        <f>Eligibility_Calcs!AH6</f>
        <v/>
      </c>
      <c r="R6" s="66" t="inlineStr">
        <is>
          <t>6-10 days</t>
        </is>
      </c>
      <c r="S6" s="81" t="inlineStr">
        <is>
          <t>Special-product owner</t>
        </is>
      </c>
    </row>
    <row r="7" ht="36" customHeight="1" s="16">
      <c r="A7" s="68" t="inlineStr">
        <is>
          <t>MRQ-2026-0710-006</t>
        </is>
      </c>
      <c r="B7" s="68" t="inlineStr">
        <is>
          <t>NHG-MRQ-2026-07-006</t>
        </is>
      </c>
      <c r="C7" s="68" t="inlineStr">
        <is>
          <t>CUST-1006</t>
        </is>
      </c>
      <c r="D7" s="68" t="inlineStr">
        <is>
          <t>ACCT-7706</t>
        </is>
      </c>
      <c r="E7" s="68" t="inlineStr">
        <is>
          <t>WH-SHELF-310</t>
        </is>
      </c>
      <c r="F7" s="68" t="inlineStr">
        <is>
          <t>WH-SHELF-310</t>
        </is>
      </c>
      <c r="G7" s="76" t="n">
        <v>1</v>
      </c>
      <c r="H7" s="76">
        <f>Eligibility_Calcs!K7</f>
        <v/>
      </c>
      <c r="I7" s="68" t="inlineStr">
        <is>
          <t>MCHEN</t>
        </is>
      </c>
      <c r="J7" s="82" t="n"/>
      <c r="K7" s="82">
        <f>Eligibility_Calcs!AD7</f>
        <v/>
      </c>
      <c r="L7" s="82">
        <f>Eligibility_Calcs!AE7</f>
        <v/>
      </c>
      <c r="M7" s="82">
        <f>Eligibility_Calcs!AF7</f>
        <v/>
      </c>
      <c r="N7" s="84">
        <f>Eligibility_Calcs!AG7</f>
        <v/>
      </c>
      <c r="O7" s="82" t="inlineStr">
        <is>
          <t>Held with customer or account action</t>
        </is>
      </c>
      <c r="P7" s="82" t="inlineStr">
        <is>
          <t>NOT_IN_IMPORT</t>
        </is>
      </c>
      <c r="Q7" s="76">
        <f>Eligibility_Calcs!AH7</f>
        <v/>
      </c>
      <c r="R7" s="68" t="inlineStr">
        <is>
          <t>6-10 days</t>
        </is>
      </c>
      <c r="S7" s="82" t="inlineStr">
        <is>
          <t>Credit desk</t>
        </is>
      </c>
    </row>
    <row r="8" ht="36" customHeight="1" s="16">
      <c r="A8" s="66" t="inlineStr">
        <is>
          <t>MRQ-2026-0710-007</t>
        </is>
      </c>
      <c r="B8" s="66" t="inlineStr">
        <is>
          <t>NHG-MRQ-2026-07-007</t>
        </is>
      </c>
      <c r="C8" s="66" t="inlineStr">
        <is>
          <t>CUST-1007</t>
        </is>
      </c>
      <c r="D8" s="66" t="inlineStr">
        <is>
          <t>ACCT-7707</t>
        </is>
      </c>
      <c r="E8" s="66" t="inlineStr">
        <is>
          <t>WH-FLTR-200</t>
        </is>
      </c>
      <c r="F8" s="66" t="inlineStr">
        <is>
          <t>WH-FLTR-200</t>
        </is>
      </c>
      <c r="G8" s="73" t="n">
        <v>1</v>
      </c>
      <c r="H8" s="73">
        <f>Eligibility_Calcs!K8</f>
        <v/>
      </c>
      <c r="I8" s="66" t="inlineStr">
        <is>
          <t>RPATEL</t>
        </is>
      </c>
      <c r="J8" s="81" t="n"/>
      <c r="K8" s="81">
        <f>Eligibility_Calcs!AD8</f>
        <v/>
      </c>
      <c r="L8" s="81">
        <f>Eligibility_Calcs!AE8</f>
        <v/>
      </c>
      <c r="M8" s="81">
        <f>Eligibility_Calcs!AF8</f>
        <v/>
      </c>
      <c r="N8" s="83">
        <f>Eligibility_Calcs!AG8</f>
        <v/>
      </c>
      <c r="O8" s="81" t="inlineStr">
        <is>
          <t>Held with customer or account action</t>
        </is>
      </c>
      <c r="P8" s="81" t="inlineStr">
        <is>
          <t>NOT_IN_IMPORT</t>
        </is>
      </c>
      <c r="Q8" s="73">
        <f>Eligibility_Calcs!AH8</f>
        <v/>
      </c>
      <c r="R8" s="66" t="inlineStr">
        <is>
          <t>3-5 days</t>
        </is>
      </c>
      <c r="S8" s="81" t="inlineStr">
        <is>
          <t>Customer</t>
        </is>
      </c>
    </row>
    <row r="9" ht="36" customHeight="1" s="16">
      <c r="A9" s="68" t="inlineStr">
        <is>
          <t>MRQ-2026-0710-008</t>
        </is>
      </c>
      <c r="B9" s="68" t="inlineStr">
        <is>
          <t>NHG-MRQ-2026-07-008</t>
        </is>
      </c>
      <c r="C9" s="68" t="inlineStr">
        <is>
          <t>CUST-1008</t>
        </is>
      </c>
      <c r="D9" s="68" t="inlineStr">
        <is>
          <t>ACCT-7708</t>
        </is>
      </c>
      <c r="E9" s="68" t="inlineStr">
        <is>
          <t>WH-GASK-410</t>
        </is>
      </c>
      <c r="F9" s="68" t="inlineStr">
        <is>
          <t>WH-GASK-410</t>
        </is>
      </c>
      <c r="G9" s="76" t="n">
        <v>1</v>
      </c>
      <c r="H9" s="76">
        <f>Eligibility_Calcs!K9</f>
        <v/>
      </c>
      <c r="I9" s="68" t="inlineStr">
        <is>
          <t>JPARK</t>
        </is>
      </c>
      <c r="J9" s="82" t="n"/>
      <c r="K9" s="82">
        <f>Eligibility_Calcs!AD9</f>
        <v/>
      </c>
      <c r="L9" s="82">
        <f>Eligibility_Calcs!AE9</f>
        <v/>
      </c>
      <c r="M9" s="82">
        <f>Eligibility_Calcs!AF9</f>
        <v/>
      </c>
      <c r="N9" s="84">
        <f>Eligibility_Calcs!AG9</f>
        <v/>
      </c>
      <c r="O9" s="82" t="inlineStr">
        <is>
          <t>Held with customer or account action</t>
        </is>
      </c>
      <c r="P9" s="82" t="inlineStr">
        <is>
          <t>NOT_IN_IMPORT</t>
        </is>
      </c>
      <c r="Q9" s="76">
        <f>Eligibility_Calcs!AH9</f>
        <v/>
      </c>
      <c r="R9" s="68" t="inlineStr">
        <is>
          <t>3-5 days</t>
        </is>
      </c>
      <c r="S9" s="82" t="inlineStr">
        <is>
          <t>Customer</t>
        </is>
      </c>
    </row>
    <row r="10" ht="36" customHeight="1" s="16">
      <c r="A10" s="66" t="inlineStr">
        <is>
          <t>MRQ-2026-0710-009</t>
        </is>
      </c>
      <c r="B10" s="66" t="inlineStr">
        <is>
          <t>NHG-MRQ-2026-07-009</t>
        </is>
      </c>
      <c r="C10" s="66" t="inlineStr">
        <is>
          <t>CUST-1009</t>
        </is>
      </c>
      <c r="D10" s="66" t="inlineStr">
        <is>
          <t>ACCT-7709</t>
        </is>
      </c>
      <c r="E10" s="66" t="inlineStr">
        <is>
          <t>WH-TRAY-125</t>
        </is>
      </c>
      <c r="F10" s="66" t="inlineStr">
        <is>
          <t>WH-TRAY-125</t>
        </is>
      </c>
      <c r="G10" s="73" t="n">
        <v>1</v>
      </c>
      <c r="H10" s="73">
        <f>Eligibility_Calcs!K10</f>
        <v/>
      </c>
      <c r="I10" s="66" t="inlineStr">
        <is>
          <t>ALOPEZ</t>
        </is>
      </c>
      <c r="J10" s="81" t="n"/>
      <c r="K10" s="81">
        <f>Eligibility_Calcs!AD10</f>
        <v/>
      </c>
      <c r="L10" s="81">
        <f>Eligibility_Calcs!AE10</f>
        <v/>
      </c>
      <c r="M10" s="81">
        <f>Eligibility_Calcs!AF10</f>
        <v/>
      </c>
      <c r="N10" s="83">
        <f>Eligibility_Calcs!AG10</f>
        <v/>
      </c>
      <c r="O10" s="81" t="inlineStr">
        <is>
          <t>Closed response sent</t>
        </is>
      </c>
      <c r="P10" s="81" t="inlineStr">
        <is>
          <t>NOT_IN_IMPORT</t>
        </is>
      </c>
      <c r="Q10" s="73">
        <f>Eligibility_Calcs!AH10</f>
        <v/>
      </c>
      <c r="R10" s="66" t="inlineStr">
        <is>
          <t>3-5 days</t>
        </is>
      </c>
      <c r="S10" s="81" t="inlineStr">
        <is>
          <t>Customer</t>
        </is>
      </c>
    </row>
    <row r="11" ht="36" customHeight="1" s="16">
      <c r="A11" s="68" t="inlineStr">
        <is>
          <t>MRQ-2026-0710-010</t>
        </is>
      </c>
      <c r="B11" s="68" t="inlineStr">
        <is>
          <t>NHG-MRQ-2026-07-010</t>
        </is>
      </c>
      <c r="C11" s="68" t="inlineStr">
        <is>
          <t>CUST-1001</t>
        </is>
      </c>
      <c r="D11" s="68" t="inlineStr">
        <is>
          <t>ACCT-7701</t>
        </is>
      </c>
      <c r="E11" s="68" t="inlineStr">
        <is>
          <t>WH-FLTR-200</t>
        </is>
      </c>
      <c r="F11" s="68" t="inlineStr">
        <is>
          <t>WH-FLTR-200</t>
        </is>
      </c>
      <c r="G11" s="76" t="n">
        <v>2</v>
      </c>
      <c r="H11" s="76">
        <f>Eligibility_Calcs!K11</f>
        <v/>
      </c>
      <c r="I11" s="68" t="inlineStr">
        <is>
          <t>MCHEN</t>
        </is>
      </c>
      <c r="J11" s="82" t="inlineStr">
        <is>
          <t>MRQ-2026-0710-001</t>
        </is>
      </c>
      <c r="K11" s="82">
        <f>Eligibility_Calcs!AD11</f>
        <v/>
      </c>
      <c r="L11" s="82">
        <f>Eligibility_Calcs!AE11</f>
        <v/>
      </c>
      <c r="M11" s="82">
        <f>Eligibility_Calcs!AF11</f>
        <v/>
      </c>
      <c r="N11" s="84">
        <f>Eligibility_Calcs!AG11</f>
        <v/>
      </c>
      <c r="O11" s="82" t="inlineStr">
        <is>
          <t>Closed response sent</t>
        </is>
      </c>
      <c r="P11" s="82" t="inlineStr">
        <is>
          <t>NOT_IN_IMPORT</t>
        </is>
      </c>
      <c r="Q11" s="76">
        <f>Eligibility_Calcs!AH11</f>
        <v/>
      </c>
      <c r="R11" s="68" t="inlineStr">
        <is>
          <t>3-5 days</t>
        </is>
      </c>
      <c r="S11" s="82" t="inlineStr">
        <is>
          <t>Customer</t>
        </is>
      </c>
    </row>
    <row r="12" ht="36" customHeight="1" s="16">
      <c r="A12" s="66" t="inlineStr">
        <is>
          <t>MRQ-2026-0710-011</t>
        </is>
      </c>
      <c r="B12" s="66" t="inlineStr">
        <is>
          <t>NHG-MRQ-2026-07-011</t>
        </is>
      </c>
      <c r="C12" s="66" t="inlineStr">
        <is>
          <t>CUST-1010</t>
        </is>
      </c>
      <c r="D12" s="66" t="inlineStr">
        <is>
          <t>ACCT-7710</t>
        </is>
      </c>
      <c r="E12" s="66" t="inlineStr">
        <is>
          <t>WH-KNOB-110</t>
        </is>
      </c>
      <c r="F12" s="66" t="inlineStr">
        <is>
          <t>WH-KNOB-110</t>
        </is>
      </c>
      <c r="G12" s="73" t="n">
        <v>4</v>
      </c>
      <c r="H12" s="73">
        <f>Eligibility_Calcs!K12</f>
        <v/>
      </c>
      <c r="I12" s="66" t="inlineStr">
        <is>
          <t>RPATEL</t>
        </is>
      </c>
      <c r="J12" s="81" t="n"/>
      <c r="K12" s="81">
        <f>Eligibility_Calcs!AD12</f>
        <v/>
      </c>
      <c r="L12" s="81">
        <f>Eligibility_Calcs!AE12</f>
        <v/>
      </c>
      <c r="M12" s="81">
        <f>Eligibility_Calcs!AF12</f>
        <v/>
      </c>
      <c r="N12" s="83">
        <f>Eligibility_Calcs!AG12</f>
        <v/>
      </c>
      <c r="O12" s="81" t="inlineStr">
        <is>
          <t>Order request prepared</t>
        </is>
      </c>
      <c r="P12" s="81" t="inlineStr">
        <is>
          <t>ORDER_REQUEST_PREPARED</t>
        </is>
      </c>
      <c r="Q12" s="74">
        <f>Eligibility_Calcs!AH12</f>
        <v/>
      </c>
      <c r="R12" s="66" t="inlineStr">
        <is>
          <t>3-5 days</t>
        </is>
      </c>
      <c r="S12" s="81" t="inlineStr">
        <is>
          <t>Fulfillment import coordinator</t>
        </is>
      </c>
    </row>
    <row r="13" ht="36" customHeight="1" s="16">
      <c r="A13" s="68" t="inlineStr">
        <is>
          <t>MRQ-2026-0710-012</t>
        </is>
      </c>
      <c r="B13" s="68" t="inlineStr">
        <is>
          <t>NHG-MRQ-2026-07-012</t>
        </is>
      </c>
      <c r="C13" s="68" t="inlineStr">
        <is>
          <t>CUST-1011</t>
        </is>
      </c>
      <c r="D13" s="68" t="inlineStr">
        <is>
          <t>ACCT-7711</t>
        </is>
      </c>
      <c r="E13" s="68" t="inlineStr">
        <is>
          <t>WH-SHELF-310</t>
        </is>
      </c>
      <c r="F13" s="68" t="inlineStr">
        <is>
          <t>WH-SHELF-310</t>
        </is>
      </c>
      <c r="G13" s="76" t="n">
        <v>3</v>
      </c>
      <c r="H13" s="76">
        <f>Eligibility_Calcs!K13</f>
        <v/>
      </c>
      <c r="I13" s="68" t="inlineStr">
        <is>
          <t>JPARK</t>
        </is>
      </c>
      <c r="J13" s="82" t="n"/>
      <c r="K13" s="82">
        <f>Eligibility_Calcs!AD13</f>
        <v/>
      </c>
      <c r="L13" s="82">
        <f>Eligibility_Calcs!AE13</f>
        <v/>
      </c>
      <c r="M13" s="82">
        <f>Eligibility_Calcs!AF13</f>
        <v/>
      </c>
      <c r="N13" s="84">
        <f>Eligibility_Calcs!AG13</f>
        <v/>
      </c>
      <c r="O13" s="82" t="inlineStr">
        <is>
          <t>Order request prepared</t>
        </is>
      </c>
      <c r="P13" s="82" t="inlineStr">
        <is>
          <t>ORDER_REQUEST_PREPARED</t>
        </is>
      </c>
      <c r="Q13" s="77">
        <f>Eligibility_Calcs!AH13</f>
        <v/>
      </c>
      <c r="R13" s="68" t="inlineStr">
        <is>
          <t>3-5 days</t>
        </is>
      </c>
      <c r="S13" s="82" t="inlineStr">
        <is>
          <t>Fulfillment import coordinator</t>
        </is>
      </c>
    </row>
    <row r="14" ht="36" customHeight="1" s="16">
      <c r="A14" s="66" t="inlineStr">
        <is>
          <t>MRQ-2026-0710-013</t>
        </is>
      </c>
      <c r="B14" s="66" t="inlineStr">
        <is>
          <t>NHG-MRQ-2026-07-013</t>
        </is>
      </c>
      <c r="C14" s="66" t="inlineStr">
        <is>
          <t>CUST-1012</t>
        </is>
      </c>
      <c r="D14" s="66" t="inlineStr">
        <is>
          <t>ACCT-7712</t>
        </is>
      </c>
      <c r="E14" s="66" t="inlineStr">
        <is>
          <t>SP-ADAPT-KIT</t>
        </is>
      </c>
      <c r="F14" s="66" t="inlineStr">
        <is>
          <t>SP-ADAPT-KIT</t>
        </is>
      </c>
      <c r="G14" s="73" t="n">
        <v>2</v>
      </c>
      <c r="H14" s="73">
        <f>Eligibility_Calcs!K14</f>
        <v/>
      </c>
      <c r="I14" s="66" t="inlineStr">
        <is>
          <t>ALOPEZ</t>
        </is>
      </c>
      <c r="J14" s="81" t="n"/>
      <c r="K14" s="81">
        <f>Eligibility_Calcs!AD14</f>
        <v/>
      </c>
      <c r="L14" s="81">
        <f>Eligibility_Calcs!AE14</f>
        <v/>
      </c>
      <c r="M14" s="81">
        <f>Eligibility_Calcs!AF14</f>
        <v/>
      </c>
      <c r="N14" s="83">
        <f>Eligibility_Calcs!AG14</f>
        <v/>
      </c>
      <c r="O14" s="81" t="inlineStr">
        <is>
          <t>Routed feasibility request</t>
        </is>
      </c>
      <c r="P14" s="81" t="inlineStr">
        <is>
          <t>NOT_IN_IMPORT</t>
        </is>
      </c>
      <c r="Q14" s="73">
        <f>Eligibility_Calcs!AH14</f>
        <v/>
      </c>
      <c r="R14" s="66" t="inlineStr">
        <is>
          <t>0-2 days</t>
        </is>
      </c>
      <c r="S14" s="81" t="inlineStr">
        <is>
          <t>Special-product owner</t>
        </is>
      </c>
    </row>
    <row r="15" ht="36" customHeight="1" s="16">
      <c r="A15" s="68" t="inlineStr">
        <is>
          <t>MRQ-2026-0710-014</t>
        </is>
      </c>
      <c r="B15" s="68" t="inlineStr">
        <is>
          <t>NHG-MRQ-2026-07-014</t>
        </is>
      </c>
      <c r="C15" s="68" t="inlineStr">
        <is>
          <t>CUST-1013</t>
        </is>
      </c>
      <c r="D15" s="68" t="inlineStr">
        <is>
          <t>ACCT-7713</t>
        </is>
      </c>
      <c r="E15" s="68" t="n"/>
      <c r="F15" s="68" t="n"/>
      <c r="G15" s="76" t="n">
        <v>1</v>
      </c>
      <c r="H15" s="76">
        <f>Eligibility_Calcs!K15</f>
        <v/>
      </c>
      <c r="I15" s="68" t="inlineStr">
        <is>
          <t>MCHEN</t>
        </is>
      </c>
      <c r="J15" s="82" t="n"/>
      <c r="K15" s="82">
        <f>Eligibility_Calcs!AD15</f>
        <v/>
      </c>
      <c r="L15" s="82">
        <f>Eligibility_Calcs!AE15</f>
        <v/>
      </c>
      <c r="M15" s="82">
        <f>Eligibility_Calcs!AF15</f>
        <v/>
      </c>
      <c r="N15" s="84">
        <f>Eligibility_Calcs!AG15</f>
        <v/>
      </c>
      <c r="O15" s="82" t="inlineStr">
        <is>
          <t>Held with customer or account action</t>
        </is>
      </c>
      <c r="P15" s="82" t="inlineStr">
        <is>
          <t>NOT_IN_IMPORT</t>
        </is>
      </c>
      <c r="Q15" s="76">
        <f>Eligibility_Calcs!AH15</f>
        <v/>
      </c>
      <c r="R15" s="68" t="inlineStr">
        <is>
          <t>0-2 days</t>
        </is>
      </c>
      <c r="S15" s="82" t="inlineStr">
        <is>
          <t>Customer</t>
        </is>
      </c>
    </row>
    <row r="16" ht="36" customHeight="1" s="16">
      <c r="A16" s="66" t="inlineStr">
        <is>
          <t>MRQ-2026-0710-015</t>
        </is>
      </c>
      <c r="B16" s="66" t="inlineStr">
        <is>
          <t>NHG-MRQ-2026-07-015</t>
        </is>
      </c>
      <c r="C16" s="66" t="inlineStr">
        <is>
          <t>CUST-1014</t>
        </is>
      </c>
      <c r="D16" s="66" t="inlineStr">
        <is>
          <t>ACCT-7714</t>
        </is>
      </c>
      <c r="E16" s="66" t="inlineStr">
        <is>
          <t>WH-GASK-410</t>
        </is>
      </c>
      <c r="F16" s="66" t="inlineStr">
        <is>
          <t>WH-GASK-410</t>
        </is>
      </c>
      <c r="G16" s="73" t="n">
        <v>1</v>
      </c>
      <c r="H16" s="73">
        <f>Eligibility_Calcs!K16</f>
        <v/>
      </c>
      <c r="I16" s="66" t="inlineStr">
        <is>
          <t>RPATEL</t>
        </is>
      </c>
      <c r="J16" s="81" t="n"/>
      <c r="K16" s="81">
        <f>Eligibility_Calcs!AD16</f>
        <v/>
      </c>
      <c r="L16" s="81">
        <f>Eligibility_Calcs!AE16</f>
        <v/>
      </c>
      <c r="M16" s="81">
        <f>Eligibility_Calcs!AF16</f>
        <v/>
      </c>
      <c r="N16" s="83">
        <f>Eligibility_Calcs!AG16</f>
        <v/>
      </c>
      <c r="O16" s="81" t="inlineStr">
        <is>
          <t>Order request prepared</t>
        </is>
      </c>
      <c r="P16" s="81" t="inlineStr">
        <is>
          <t>ORDER_REQUEST_PREPARED</t>
        </is>
      </c>
      <c r="Q16" s="74">
        <f>Eligibility_Calcs!AH16</f>
        <v/>
      </c>
      <c r="R16" s="66" t="inlineStr">
        <is>
          <t>0-2 days</t>
        </is>
      </c>
      <c r="S16" s="81" t="inlineStr">
        <is>
          <t>Fulfillment import coordinator</t>
        </is>
      </c>
    </row>
    <row r="17" ht="36" customHeight="1" s="16">
      <c r="A17" s="68" t="inlineStr">
        <is>
          <t>MRQ-2026-0710-016</t>
        </is>
      </c>
      <c r="B17" s="68" t="inlineStr">
        <is>
          <t>NHG-MRQ-2026-07-016</t>
        </is>
      </c>
      <c r="C17" s="68" t="inlineStr">
        <is>
          <t>CUST-1015</t>
        </is>
      </c>
      <c r="D17" s="68" t="inlineStr">
        <is>
          <t>ACCT-7715</t>
        </is>
      </c>
      <c r="E17" s="68" t="inlineStr">
        <is>
          <t>WH-MOTOR-660</t>
        </is>
      </c>
      <c r="F17" s="68" t="inlineStr">
        <is>
          <t>WH-MOTOR-660</t>
        </is>
      </c>
      <c r="G17" s="76" t="n">
        <v>1</v>
      </c>
      <c r="H17" s="76">
        <f>Eligibility_Calcs!K17</f>
        <v/>
      </c>
      <c r="I17" s="68" t="inlineStr">
        <is>
          <t>JPARK</t>
        </is>
      </c>
      <c r="J17" s="82" t="n"/>
      <c r="K17" s="82">
        <f>Eligibility_Calcs!AD17</f>
        <v/>
      </c>
      <c r="L17" s="82">
        <f>Eligibility_Calcs!AE17</f>
        <v/>
      </c>
      <c r="M17" s="82">
        <f>Eligibility_Calcs!AF17</f>
        <v/>
      </c>
      <c r="N17" s="84">
        <f>Eligibility_Calcs!AG17</f>
        <v/>
      </c>
      <c r="O17" s="82" t="inlineStr">
        <is>
          <t>Closed response sent</t>
        </is>
      </c>
      <c r="P17" s="82" t="inlineStr">
        <is>
          <t>NOT_IN_IMPORT</t>
        </is>
      </c>
      <c r="Q17" s="76">
        <f>Eligibility_Calcs!AH17</f>
        <v/>
      </c>
      <c r="R17" s="68" t="inlineStr">
        <is>
          <t>0-2 days</t>
        </is>
      </c>
      <c r="S17" s="82" t="inlineStr">
        <is>
          <t>Customer</t>
        </is>
      </c>
    </row>
    <row r="18" ht="36" customHeight="1" s="16">
      <c r="A18" s="66" t="inlineStr">
        <is>
          <t>MRQ-2026-0710-017</t>
        </is>
      </c>
      <c r="B18" s="66" t="inlineStr">
        <is>
          <t>NHG-MRQ-2026-07-017</t>
        </is>
      </c>
      <c r="C18" s="66" t="inlineStr">
        <is>
          <t>CUST-1016</t>
        </is>
      </c>
      <c r="D18" s="66" t="inlineStr">
        <is>
          <t>ACCT-7716</t>
        </is>
      </c>
      <c r="E18" s="66" t="inlineStr">
        <is>
          <t>WH-LEG-700</t>
        </is>
      </c>
      <c r="F18" s="66" t="inlineStr">
        <is>
          <t>WH-LEG-700</t>
        </is>
      </c>
      <c r="G18" s="73" t="n">
        <v>2</v>
      </c>
      <c r="H18" s="73">
        <f>Eligibility_Calcs!K18</f>
        <v/>
      </c>
      <c r="I18" s="66" t="inlineStr">
        <is>
          <t>ALOPEZ</t>
        </is>
      </c>
      <c r="J18" s="81" t="n"/>
      <c r="K18" s="81">
        <f>Eligibility_Calcs!AD18</f>
        <v/>
      </c>
      <c r="L18" s="81">
        <f>Eligibility_Calcs!AE18</f>
        <v/>
      </c>
      <c r="M18" s="81">
        <f>Eligibility_Calcs!AF18</f>
        <v/>
      </c>
      <c r="N18" s="83">
        <f>Eligibility_Calcs!AG18</f>
        <v/>
      </c>
      <c r="O18" s="81" t="inlineStr">
        <is>
          <t>Closed response sent</t>
        </is>
      </c>
      <c r="P18" s="81" t="inlineStr">
        <is>
          <t>NOT_IN_IMPORT</t>
        </is>
      </c>
      <c r="Q18" s="73">
        <f>Eligibility_Calcs!AH18</f>
        <v/>
      </c>
      <c r="R18" s="66" t="inlineStr">
        <is>
          <t>0-2 days</t>
        </is>
      </c>
      <c r="S18" s="81" t="inlineStr">
        <is>
          <t>Inventory planning</t>
        </is>
      </c>
    </row>
    <row r="19" ht="36" customHeight="1" s="16">
      <c r="A19" s="68" t="inlineStr">
        <is>
          <t>MRQ-2026-0710-018</t>
        </is>
      </c>
      <c r="B19" s="68" t="inlineStr">
        <is>
          <t>NHG-MRQ-2026-07-018</t>
        </is>
      </c>
      <c r="C19" s="68" t="inlineStr">
        <is>
          <t>CUST-1017</t>
        </is>
      </c>
      <c r="D19" s="68" t="inlineStr">
        <is>
          <t>ACCT-7717</t>
        </is>
      </c>
      <c r="E19" s="68" t="inlineStr">
        <is>
          <t>SP-FINISH-MATCH</t>
        </is>
      </c>
      <c r="F19" s="68" t="inlineStr">
        <is>
          <t>SP-FINISH-MATCH</t>
        </is>
      </c>
      <c r="G19" s="76" t="n">
        <v>1</v>
      </c>
      <c r="H19" s="76">
        <f>Eligibility_Calcs!K19</f>
        <v/>
      </c>
      <c r="I19" s="68" t="inlineStr">
        <is>
          <t>MCHEN</t>
        </is>
      </c>
      <c r="J19" s="82" t="n"/>
      <c r="K19" s="82">
        <f>Eligibility_Calcs!AD19</f>
        <v/>
      </c>
      <c r="L19" s="82">
        <f>Eligibility_Calcs!AE19</f>
        <v/>
      </c>
      <c r="M19" s="82">
        <f>Eligibility_Calcs!AF19</f>
        <v/>
      </c>
      <c r="N19" s="84">
        <f>Eligibility_Calcs!AG19</f>
        <v/>
      </c>
      <c r="O19" s="82" t="inlineStr">
        <is>
          <t>Closed response sent</t>
        </is>
      </c>
      <c r="P19" s="82" t="inlineStr">
        <is>
          <t>NOT_IN_IMPORT</t>
        </is>
      </c>
      <c r="Q19" s="76">
        <f>Eligibility_Calcs!AH19</f>
        <v/>
      </c>
      <c r="R19" s="68" t="inlineStr">
        <is>
          <t>0-2 days</t>
        </is>
      </c>
      <c r="S19" s="82" t="inlineStr">
        <is>
          <t>Customer</t>
        </is>
      </c>
    </row>
  </sheetData>
  <autoFilter ref="A1:S19"/>
  <conditionalFormatting sqref="A1:S19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dataValidations count="2">
    <dataValidation sqref="K2:K19" showDropDown="0" showInputMessage="0" showErrorMessage="0" allowBlank="1" type="list" errorStyle="stop" operator="between">
      <formula1>"BACKORDER,CREDIT_HOLD,DISCONTINUED_NO_REPLACEMENT,DUPLICATE_REQUEST,EXPIRED_ENTITLEMENT,FAMILY_NOT_COVERED,INVALID_ADDRESS,MISSING_PROOF,QTY_CAP_PARTIAL,SPECIAL_FEASIBILITY,SPECIAL_NONSTARTER,SUBSTITUTION_REVIEW,UNCLEAR_PRODUCT"</formula1>
      <formula2>0</formula2>
    </dataValidation>
    <dataValidation sqref="I2:I19" showDropDown="0" showInputMessage="0" showErrorMessage="0" allowBlank="1" type="list" errorStyle="stop" operator="between">
      <formula1>"ALOPEZ,JPARK,MCHEN,RPATEL"</formula1>
      <formula2>0</formula2>
    </dataValidation>
  </dataValidations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4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F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25" customWidth="1" style="15" min="2" max="2"/>
    <col width="17" customWidth="1" style="15" min="3" max="3"/>
    <col width="23" customWidth="1" style="15" min="4" max="4"/>
    <col width="14" customWidth="1" style="15" min="5" max="5"/>
    <col width="28" customWidth="1" style="15" min="6" max="6"/>
  </cols>
  <sheetData>
    <row r="1" ht="29" customHeight="1" s="16">
      <c r="A1" s="65" t="inlineStr">
        <is>
          <t>Case_ID</t>
        </is>
      </c>
      <c r="B1" s="65" t="inlineStr">
        <is>
          <t>Source_Corr_ID</t>
        </is>
      </c>
      <c r="C1" s="65" t="inlineStr">
        <is>
          <t>Resolved_SKU</t>
        </is>
      </c>
      <c r="D1" s="65" t="inlineStr">
        <is>
          <t>Quantity_Approved</t>
        </is>
      </c>
      <c r="E1" s="65" t="inlineStr">
        <is>
          <t>Line_Value</t>
        </is>
      </c>
      <c r="F1" s="65" t="inlineStr">
        <is>
          <t>Status</t>
        </is>
      </c>
    </row>
    <row r="2" ht="22" customHeight="1" s="16">
      <c r="A2" s="66" t="inlineStr">
        <is>
          <t>MRQ-2026-0710-001</t>
        </is>
      </c>
      <c r="B2" s="66" t="inlineStr">
        <is>
          <t>NHG-MRQ-2026-07-001</t>
        </is>
      </c>
      <c r="C2" s="66" t="inlineStr">
        <is>
          <t>WH-FLTR-200</t>
        </is>
      </c>
      <c r="D2" s="79" t="n">
        <v>2</v>
      </c>
      <c r="E2" s="74" t="n">
        <v>48</v>
      </c>
      <c r="F2" s="66" t="inlineStr">
        <is>
          <t>ORDER_REQUEST_PREPARED</t>
        </is>
      </c>
    </row>
    <row r="3" ht="22" customHeight="1" s="16">
      <c r="A3" s="68" t="inlineStr">
        <is>
          <t>MRQ-2026-0710-002</t>
        </is>
      </c>
      <c r="B3" s="68" t="inlineStr">
        <is>
          <t>NHG-MRQ-2026-07-002</t>
        </is>
      </c>
      <c r="C3" s="68" t="inlineStr">
        <is>
          <t>WH-HINGE-520</t>
        </is>
      </c>
      <c r="D3" s="80" t="n">
        <v>1</v>
      </c>
      <c r="E3" s="77" t="n">
        <v>14.75</v>
      </c>
      <c r="F3" s="68" t="inlineStr">
        <is>
          <t>ORDER_REQUEST_PREPARED</t>
        </is>
      </c>
    </row>
    <row r="4" ht="22" customHeight="1" s="16">
      <c r="A4" s="66" t="inlineStr">
        <is>
          <t>MRQ-2026-0710-011</t>
        </is>
      </c>
      <c r="B4" s="66" t="inlineStr">
        <is>
          <t>NHG-MRQ-2026-07-011</t>
        </is>
      </c>
      <c r="C4" s="66" t="inlineStr">
        <is>
          <t>WH-KNOB-110</t>
        </is>
      </c>
      <c r="D4" s="79" t="n">
        <v>4</v>
      </c>
      <c r="E4" s="74" t="n">
        <v>38</v>
      </c>
      <c r="F4" s="66" t="inlineStr">
        <is>
          <t>ORDER_REQUEST_PREPARED</t>
        </is>
      </c>
    </row>
    <row r="5" ht="22" customHeight="1" s="16">
      <c r="A5" s="68" t="inlineStr">
        <is>
          <t>MRQ-2026-0710-012</t>
        </is>
      </c>
      <c r="B5" s="68" t="inlineStr">
        <is>
          <t>NHG-MRQ-2026-07-012</t>
        </is>
      </c>
      <c r="C5" s="68" t="inlineStr">
        <is>
          <t>WH-SHELF-310</t>
        </is>
      </c>
      <c r="D5" s="80" t="n">
        <v>1</v>
      </c>
      <c r="E5" s="77" t="n">
        <v>32</v>
      </c>
      <c r="F5" s="68" t="inlineStr">
        <is>
          <t>ORDER_REQUEST_PREPARED</t>
        </is>
      </c>
    </row>
    <row r="6" ht="22" customHeight="1" s="16">
      <c r="A6" s="66" t="inlineStr">
        <is>
          <t>MRQ-2026-0710-015</t>
        </is>
      </c>
      <c r="B6" s="66" t="inlineStr">
        <is>
          <t>NHG-MRQ-2026-07-015</t>
        </is>
      </c>
      <c r="C6" s="66" t="inlineStr">
        <is>
          <t>WH-GASK-410</t>
        </is>
      </c>
      <c r="D6" s="79" t="n">
        <v>1</v>
      </c>
      <c r="E6" s="74" t="n">
        <v>18.25</v>
      </c>
      <c r="F6" s="66" t="inlineStr">
        <is>
          <t>ORDER_REQUEST_PREPARED</t>
        </is>
      </c>
    </row>
  </sheetData>
  <autoFilter ref="A1:F6"/>
  <conditionalFormatting sqref="A1:F6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F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25" customWidth="1" style="15" min="2" max="2"/>
    <col width="21" customWidth="1" style="15" min="3" max="3"/>
    <col width="31" customWidth="1" style="15" min="4" max="4"/>
    <col width="23" customWidth="1" style="15" min="5" max="5"/>
    <col width="21" customWidth="1" style="15" min="6" max="6"/>
  </cols>
  <sheetData>
    <row r="1" ht="29" customHeight="1" s="16">
      <c r="A1" s="65" t="inlineStr">
        <is>
          <t>Case_ID</t>
        </is>
      </c>
      <c r="B1" s="65" t="inlineStr">
        <is>
          <t>Source_Corr_ID</t>
        </is>
      </c>
      <c r="C1" s="65" t="inlineStr">
        <is>
          <t>Route_Code</t>
        </is>
      </c>
      <c r="D1" s="65" t="inlineStr">
        <is>
          <t>Owner_Queue</t>
        </is>
      </c>
      <c r="E1" s="65" t="inlineStr">
        <is>
          <t>Customer_Deadline</t>
        </is>
      </c>
      <c r="F1" s="65" t="inlineStr">
        <is>
          <t>Route_Status</t>
        </is>
      </c>
    </row>
    <row r="2" ht="22" customHeight="1" s="16">
      <c r="A2" s="66" t="inlineStr">
        <is>
          <t>MRQ-2026-0710-005</t>
        </is>
      </c>
      <c r="B2" s="66" t="inlineStr">
        <is>
          <t>NHG-MRQ-2026-07-005</t>
        </is>
      </c>
      <c r="C2" s="66" t="inlineStr">
        <is>
          <t>RTE-CUSTOM-PANEL</t>
        </is>
      </c>
      <c r="D2" s="66" t="inlineStr">
        <is>
          <t>Product Config Team</t>
        </is>
      </c>
      <c r="E2" s="72" t="n">
        <v>46228</v>
      </c>
      <c r="F2" s="66" t="inlineStr">
        <is>
          <t>Referral prepared</t>
        </is>
      </c>
    </row>
    <row r="3" ht="22" customHeight="1" s="16">
      <c r="A3" s="68" t="inlineStr">
        <is>
          <t>MRQ-2026-0710-013</t>
        </is>
      </c>
      <c r="B3" s="68" t="inlineStr">
        <is>
          <t>NHG-MRQ-2026-07-013</t>
        </is>
      </c>
      <c r="C3" s="68" t="inlineStr">
        <is>
          <t>RTE-ENG-ADAPT</t>
        </is>
      </c>
      <c r="D3" s="68" t="inlineStr">
        <is>
          <t>Service Engineering Intake</t>
        </is>
      </c>
      <c r="E3" s="75" t="n">
        <v>46231</v>
      </c>
      <c r="F3" s="68" t="inlineStr">
        <is>
          <t>Referral prepared</t>
        </is>
      </c>
    </row>
  </sheetData>
  <autoFilter ref="A1:F3"/>
  <conditionalFormatting sqref="A1:F3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15" min="1" max="1"/>
    <col width="25" customWidth="1" style="15" min="2" max="2"/>
    <col width="27" customWidth="1" style="15" min="3" max="3"/>
    <col width="23" customWidth="1" style="15" min="4" max="4"/>
    <col width="13" customWidth="1" style="15" min="5" max="5"/>
    <col width="38" customWidth="1" style="15" min="6" max="6"/>
    <col width="13" customWidth="1" style="15" min="7" max="7"/>
  </cols>
  <sheetData>
    <row r="1" ht="29" customHeight="1" s="16">
      <c r="A1" s="65" t="inlineStr">
        <is>
          <t>Case_ID</t>
        </is>
      </c>
      <c r="B1" s="65" t="inlineStr">
        <is>
          <t>Source_Corr_ID</t>
        </is>
      </c>
      <c r="C1" s="65" t="inlineStr">
        <is>
          <t>Response_Type_Code</t>
        </is>
      </c>
      <c r="D1" s="65" t="inlineStr">
        <is>
          <t>Response_Date</t>
        </is>
      </c>
      <c r="E1" s="65" t="inlineStr">
        <is>
          <t>Signer</t>
        </is>
      </c>
      <c r="F1" s="65" t="inlineStr">
        <is>
          <t>Distribution_Record</t>
        </is>
      </c>
      <c r="G1" s="65" t="inlineStr">
        <is>
          <t>Reviewer</t>
        </is>
      </c>
    </row>
    <row r="2" ht="22" customHeight="1" s="16">
      <c r="A2" s="66" t="inlineStr">
        <is>
          <t>MRQ-2026-0710-001</t>
        </is>
      </c>
      <c r="B2" s="66" t="inlineStr">
        <is>
          <t>NHG-MRQ-2026-07-001</t>
        </is>
      </c>
      <c r="C2" s="66" t="inlineStr">
        <is>
          <t>R_STANDARD_ORDER</t>
        </is>
      </c>
      <c r="D2" s="72" t="n">
        <v>46213</v>
      </c>
      <c r="E2" s="66" t="inlineStr">
        <is>
          <t>Priya Nair</t>
        </is>
      </c>
      <c r="F2" s="66" t="inlineStr">
        <is>
          <t>customer_response_letters.docx</t>
        </is>
      </c>
      <c r="G2" s="66" t="inlineStr">
        <is>
          <t>Priya Nair</t>
        </is>
      </c>
    </row>
    <row r="3" ht="22" customHeight="1" s="16">
      <c r="A3" s="68" t="inlineStr">
        <is>
          <t>MRQ-2026-0710-002</t>
        </is>
      </c>
      <c r="B3" s="68" t="inlineStr">
        <is>
          <t>NHG-MRQ-2026-07-002</t>
        </is>
      </c>
      <c r="C3" s="68" t="inlineStr">
        <is>
          <t>R_STANDARD_SUBSTITUTE</t>
        </is>
      </c>
      <c r="D3" s="75" t="n">
        <v>46213</v>
      </c>
      <c r="E3" s="68" t="inlineStr">
        <is>
          <t>Priya Nair</t>
        </is>
      </c>
      <c r="F3" s="68" t="inlineStr">
        <is>
          <t>customer_response_letters.docx</t>
        </is>
      </c>
      <c r="G3" s="68" t="inlineStr">
        <is>
          <t>Priya Nair</t>
        </is>
      </c>
    </row>
    <row r="4" ht="22" customHeight="1" s="16">
      <c r="A4" s="66" t="inlineStr">
        <is>
          <t>MRQ-2026-0710-003</t>
        </is>
      </c>
      <c r="B4" s="66" t="inlineStr">
        <is>
          <t>NHG-MRQ-2026-07-003</t>
        </is>
      </c>
      <c r="C4" s="66" t="inlineStr">
        <is>
          <t>R_BACKORDER_NOTICE</t>
        </is>
      </c>
      <c r="D4" s="72" t="n">
        <v>46213</v>
      </c>
      <c r="E4" s="66" t="inlineStr">
        <is>
          <t>Priya Nair</t>
        </is>
      </c>
      <c r="F4" s="66" t="inlineStr">
        <is>
          <t>customer_response_letters.docx</t>
        </is>
      </c>
      <c r="G4" s="66" t="inlineStr">
        <is>
          <t>Priya Nair</t>
        </is>
      </c>
    </row>
    <row r="5" ht="22" customHeight="1" s="16">
      <c r="A5" s="68" t="inlineStr">
        <is>
          <t>MRQ-2026-0710-004</t>
        </is>
      </c>
      <c r="B5" s="68" t="inlineStr">
        <is>
          <t>NHG-MRQ-2026-07-004</t>
        </is>
      </c>
      <c r="C5" s="68" t="inlineStr">
        <is>
          <t>R_INELIGIBLE</t>
        </is>
      </c>
      <c r="D5" s="75" t="n">
        <v>46213</v>
      </c>
      <c r="E5" s="68" t="inlineStr">
        <is>
          <t>Priya Nair</t>
        </is>
      </c>
      <c r="F5" s="68" t="inlineStr">
        <is>
          <t>customer_response_letters.docx</t>
        </is>
      </c>
      <c r="G5" s="68" t="inlineStr">
        <is>
          <t>Priya Nair</t>
        </is>
      </c>
    </row>
    <row r="6" ht="22" customHeight="1" s="16">
      <c r="A6" s="66" t="inlineStr">
        <is>
          <t>MRQ-2026-0710-005</t>
        </is>
      </c>
      <c r="B6" s="66" t="inlineStr">
        <is>
          <t>NHG-MRQ-2026-07-005</t>
        </is>
      </c>
      <c r="C6" s="66" t="inlineStr">
        <is>
          <t>R_SPECIAL_ACK</t>
        </is>
      </c>
      <c r="D6" s="72" t="n">
        <v>46213</v>
      </c>
      <c r="E6" s="66" t="inlineStr">
        <is>
          <t>Priya Nair</t>
        </is>
      </c>
      <c r="F6" s="66" t="inlineStr">
        <is>
          <t>customer_response_letters.docx</t>
        </is>
      </c>
      <c r="G6" s="66" t="inlineStr">
        <is>
          <t>Priya Nair</t>
        </is>
      </c>
    </row>
    <row r="7" ht="22" customHeight="1" s="16">
      <c r="A7" s="68" t="inlineStr">
        <is>
          <t>MRQ-2026-0710-006</t>
        </is>
      </c>
      <c r="B7" s="68" t="inlineStr">
        <is>
          <t>NHG-MRQ-2026-07-006</t>
        </is>
      </c>
      <c r="C7" s="68" t="inlineStr">
        <is>
          <t>R_CREDIT_HOLD</t>
        </is>
      </c>
      <c r="D7" s="75" t="n">
        <v>46213</v>
      </c>
      <c r="E7" s="68" t="inlineStr">
        <is>
          <t>Priya Nair</t>
        </is>
      </c>
      <c r="F7" s="68" t="inlineStr">
        <is>
          <t>customer_response_letters.docx</t>
        </is>
      </c>
      <c r="G7" s="68" t="inlineStr">
        <is>
          <t>Priya Nair</t>
        </is>
      </c>
    </row>
    <row r="8" ht="22" customHeight="1" s="16">
      <c r="A8" s="66" t="inlineStr">
        <is>
          <t>MRQ-2026-0710-007</t>
        </is>
      </c>
      <c r="B8" s="66" t="inlineStr">
        <is>
          <t>NHG-MRQ-2026-07-007</t>
        </is>
      </c>
      <c r="C8" s="66" t="inlineStr">
        <is>
          <t>R_MISSING_PROOF</t>
        </is>
      </c>
      <c r="D8" s="72" t="n">
        <v>46213</v>
      </c>
      <c r="E8" s="66" t="inlineStr">
        <is>
          <t>Priya Nair</t>
        </is>
      </c>
      <c r="F8" s="66" t="inlineStr">
        <is>
          <t>customer_response_letters.docx</t>
        </is>
      </c>
      <c r="G8" s="66" t="inlineStr">
        <is>
          <t>Priya Nair</t>
        </is>
      </c>
    </row>
    <row r="9" ht="22" customHeight="1" s="16">
      <c r="A9" s="68" t="inlineStr">
        <is>
          <t>MRQ-2026-0710-008</t>
        </is>
      </c>
      <c r="B9" s="68" t="inlineStr">
        <is>
          <t>NHG-MRQ-2026-07-008</t>
        </is>
      </c>
      <c r="C9" s="68" t="inlineStr">
        <is>
          <t>R_ADDRESS_FIX</t>
        </is>
      </c>
      <c r="D9" s="75" t="n">
        <v>46213</v>
      </c>
      <c r="E9" s="68" t="inlineStr">
        <is>
          <t>Priya Nair</t>
        </is>
      </c>
      <c r="F9" s="68" t="inlineStr">
        <is>
          <t>customer_response_letters.docx</t>
        </is>
      </c>
      <c r="G9" s="68" t="inlineStr">
        <is>
          <t>Priya Nair</t>
        </is>
      </c>
    </row>
    <row r="10" ht="22" customHeight="1" s="16">
      <c r="A10" s="66" t="inlineStr">
        <is>
          <t>MRQ-2026-0710-009</t>
        </is>
      </c>
      <c r="B10" s="66" t="inlineStr">
        <is>
          <t>NHG-MRQ-2026-07-009</t>
        </is>
      </c>
      <c r="C10" s="66" t="inlineStr">
        <is>
          <t>R_UNAVAILABLE</t>
        </is>
      </c>
      <c r="D10" s="72" t="n">
        <v>46213</v>
      </c>
      <c r="E10" s="66" t="inlineStr">
        <is>
          <t>Priya Nair</t>
        </is>
      </c>
      <c r="F10" s="66" t="inlineStr">
        <is>
          <t>customer_response_letters.docx</t>
        </is>
      </c>
      <c r="G10" s="66" t="inlineStr">
        <is>
          <t>Priya Nair</t>
        </is>
      </c>
    </row>
    <row r="11" ht="22" customHeight="1" s="16">
      <c r="A11" s="68" t="inlineStr">
        <is>
          <t>MRQ-2026-0710-010</t>
        </is>
      </c>
      <c r="B11" s="68" t="inlineStr">
        <is>
          <t>NHG-MRQ-2026-07-010</t>
        </is>
      </c>
      <c r="C11" s="68" t="inlineStr">
        <is>
          <t>R_DUPLICATE</t>
        </is>
      </c>
      <c r="D11" s="75" t="n">
        <v>46213</v>
      </c>
      <c r="E11" s="68" t="inlineStr">
        <is>
          <t>Priya Nair</t>
        </is>
      </c>
      <c r="F11" s="68" t="inlineStr">
        <is>
          <t>customer_response_letters.docx</t>
        </is>
      </c>
      <c r="G11" s="68" t="inlineStr">
        <is>
          <t>Priya Nair</t>
        </is>
      </c>
    </row>
    <row r="12" ht="22" customHeight="1" s="16">
      <c r="A12" s="66" t="inlineStr">
        <is>
          <t>MRQ-2026-0710-011</t>
        </is>
      </c>
      <c r="B12" s="66" t="inlineStr">
        <is>
          <t>NHG-MRQ-2026-07-011</t>
        </is>
      </c>
      <c r="C12" s="66" t="inlineStr">
        <is>
          <t>R_STANDARD_ORDER</t>
        </is>
      </c>
      <c r="D12" s="72" t="n">
        <v>46213</v>
      </c>
      <c r="E12" s="66" t="inlineStr">
        <is>
          <t>Priya Nair</t>
        </is>
      </c>
      <c r="F12" s="66" t="inlineStr">
        <is>
          <t>customer_response_letters.docx</t>
        </is>
      </c>
      <c r="G12" s="66" t="inlineStr">
        <is>
          <t>Priya Nair</t>
        </is>
      </c>
    </row>
    <row r="13" ht="22" customHeight="1" s="16">
      <c r="A13" s="68" t="inlineStr">
        <is>
          <t>MRQ-2026-0710-012</t>
        </is>
      </c>
      <c r="B13" s="68" t="inlineStr">
        <is>
          <t>NHG-MRQ-2026-07-012</t>
        </is>
      </c>
      <c r="C13" s="68" t="inlineStr">
        <is>
          <t>R_PARTIAL_STANDARD</t>
        </is>
      </c>
      <c r="D13" s="75" t="n">
        <v>46213</v>
      </c>
      <c r="E13" s="68" t="inlineStr">
        <is>
          <t>Priya Nair</t>
        </is>
      </c>
      <c r="F13" s="68" t="inlineStr">
        <is>
          <t>customer_response_letters.docx</t>
        </is>
      </c>
      <c r="G13" s="68" t="inlineStr">
        <is>
          <t>Priya Nair</t>
        </is>
      </c>
    </row>
    <row r="14" ht="22" customHeight="1" s="16">
      <c r="A14" s="66" t="inlineStr">
        <is>
          <t>MRQ-2026-0710-013</t>
        </is>
      </c>
      <c r="B14" s="66" t="inlineStr">
        <is>
          <t>NHG-MRQ-2026-07-013</t>
        </is>
      </c>
      <c r="C14" s="66" t="inlineStr">
        <is>
          <t>R_SPECIAL_ACK</t>
        </is>
      </c>
      <c r="D14" s="72" t="n">
        <v>46213</v>
      </c>
      <c r="E14" s="66" t="inlineStr">
        <is>
          <t>Priya Nair</t>
        </is>
      </c>
      <c r="F14" s="66" t="inlineStr">
        <is>
          <t>customer_response_letters.docx</t>
        </is>
      </c>
      <c r="G14" s="66" t="inlineStr">
        <is>
          <t>Priya Nair</t>
        </is>
      </c>
    </row>
    <row r="15" ht="22" customHeight="1" s="16">
      <c r="A15" s="68" t="inlineStr">
        <is>
          <t>MRQ-2026-0710-014</t>
        </is>
      </c>
      <c r="B15" s="68" t="inlineStr">
        <is>
          <t>NHG-MRQ-2026-07-014</t>
        </is>
      </c>
      <c r="C15" s="68" t="inlineStr">
        <is>
          <t>R_CLARIFICATION</t>
        </is>
      </c>
      <c r="D15" s="75" t="n">
        <v>46213</v>
      </c>
      <c r="E15" s="68" t="inlineStr">
        <is>
          <t>Priya Nair</t>
        </is>
      </c>
      <c r="F15" s="68" t="inlineStr">
        <is>
          <t>customer_response_letters.docx</t>
        </is>
      </c>
      <c r="G15" s="68" t="inlineStr">
        <is>
          <t>Priya Nair</t>
        </is>
      </c>
    </row>
    <row r="16" ht="22" customHeight="1" s="16">
      <c r="A16" s="66" t="inlineStr">
        <is>
          <t>MRQ-2026-0710-015</t>
        </is>
      </c>
      <c r="B16" s="66" t="inlineStr">
        <is>
          <t>NHG-MRQ-2026-07-015</t>
        </is>
      </c>
      <c r="C16" s="66" t="inlineStr">
        <is>
          <t>R_STANDARD_ORDER</t>
        </is>
      </c>
      <c r="D16" s="72" t="n">
        <v>46213</v>
      </c>
      <c r="E16" s="66" t="inlineStr">
        <is>
          <t>Priya Nair</t>
        </is>
      </c>
      <c r="F16" s="66" t="inlineStr">
        <is>
          <t>customer_response_letters.docx</t>
        </is>
      </c>
      <c r="G16" s="66" t="inlineStr">
        <is>
          <t>Priya Nair</t>
        </is>
      </c>
    </row>
    <row r="17" ht="22" customHeight="1" s="16">
      <c r="A17" s="68" t="inlineStr">
        <is>
          <t>MRQ-2026-0710-016</t>
        </is>
      </c>
      <c r="B17" s="68" t="inlineStr">
        <is>
          <t>NHG-MRQ-2026-07-016</t>
        </is>
      </c>
      <c r="C17" s="68" t="inlineStr">
        <is>
          <t>R_INELIGIBLE</t>
        </is>
      </c>
      <c r="D17" s="75" t="n">
        <v>46213</v>
      </c>
      <c r="E17" s="68" t="inlineStr">
        <is>
          <t>Priya Nair</t>
        </is>
      </c>
      <c r="F17" s="68" t="inlineStr">
        <is>
          <t>customer_response_letters.docx</t>
        </is>
      </c>
      <c r="G17" s="68" t="inlineStr">
        <is>
          <t>Priya Nair</t>
        </is>
      </c>
    </row>
    <row r="18" ht="22" customHeight="1" s="16">
      <c r="A18" s="66" t="inlineStr">
        <is>
          <t>MRQ-2026-0710-017</t>
        </is>
      </c>
      <c r="B18" s="66" t="inlineStr">
        <is>
          <t>NHG-MRQ-2026-07-017</t>
        </is>
      </c>
      <c r="C18" s="66" t="inlineStr">
        <is>
          <t>R_BACKORDER_NOTICE</t>
        </is>
      </c>
      <c r="D18" s="72" t="n">
        <v>46213</v>
      </c>
      <c r="E18" s="66" t="inlineStr">
        <is>
          <t>Priya Nair</t>
        </is>
      </c>
      <c r="F18" s="66" t="inlineStr">
        <is>
          <t>customer_response_letters.docx</t>
        </is>
      </c>
      <c r="G18" s="66" t="inlineStr">
        <is>
          <t>Priya Nair</t>
        </is>
      </c>
    </row>
    <row r="19" ht="22" customHeight="1" s="16">
      <c r="A19" s="68" t="inlineStr">
        <is>
          <t>MRQ-2026-0710-018</t>
        </is>
      </c>
      <c r="B19" s="68" t="inlineStr">
        <is>
          <t>NHG-MRQ-2026-07-018</t>
        </is>
      </c>
      <c r="C19" s="68" t="inlineStr">
        <is>
          <t>R_SPECIAL_UNAVAILABLE</t>
        </is>
      </c>
      <c r="D19" s="75" t="n">
        <v>46213</v>
      </c>
      <c r="E19" s="68" t="inlineStr">
        <is>
          <t>Priya Nair</t>
        </is>
      </c>
      <c r="F19" s="68" t="inlineStr">
        <is>
          <t>customer_response_letters.docx</t>
        </is>
      </c>
      <c r="G19" s="68" t="inlineStr">
        <is>
          <t>Priya Nair</t>
        </is>
      </c>
    </row>
  </sheetData>
  <autoFilter ref="A1:G19"/>
  <conditionalFormatting sqref="A1:G19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landscape" paperSize="8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E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5" min="1" max="1"/>
    <col width="15" customWidth="1" style="15" min="2" max="4"/>
    <col width="12" customWidth="1" style="16" min="3" max="3"/>
    <col width="15" customWidth="1" style="16" min="4" max="4"/>
    <col width="23" customWidth="1" style="15" min="5" max="5"/>
    <col width="2" customWidth="1" style="16" min="6" max="6"/>
    <col width="2" customWidth="1" style="16" min="7" max="7"/>
    <col width="2" customWidth="1" style="16" min="8" max="8"/>
    <col width="2" customWidth="1" style="16" min="9" max="9"/>
    <col width="2" customWidth="1" style="16" min="10" max="10"/>
    <col width="13" customWidth="1" style="16" min="11" max="11"/>
    <col width="13" customWidth="1" style="16" min="12" max="12"/>
    <col width="13" customWidth="1" style="16" min="13" max="13"/>
    <col width="13" customWidth="1" style="16" min="14" max="14"/>
    <col width="13" customWidth="1" style="16" min="15" max="15"/>
    <col width="13" customWidth="1" style="16" min="16" max="16"/>
    <col width="13" customWidth="1" style="16" min="17" max="17"/>
    <col width="13" customWidth="1" style="16" min="18" max="18"/>
    <col width="13" customWidth="1" style="16" min="19" max="19"/>
  </cols>
  <sheetData>
    <row r="1" ht="29" customHeight="1" s="16">
      <c r="A1" s="65" t="inlineStr">
        <is>
          <t>Exception_Code</t>
        </is>
      </c>
      <c r="B1" s="65" t="inlineStr">
        <is>
          <t>0-2 Days</t>
        </is>
      </c>
      <c r="C1" s="65" t="inlineStr">
        <is>
          <t>3-5 Days</t>
        </is>
      </c>
      <c r="D1" s="65" t="inlineStr">
        <is>
          <t>6-10 Days</t>
        </is>
      </c>
      <c r="E1" s="65" t="inlineStr">
        <is>
          <t>Chart_Label</t>
        </is>
      </c>
    </row>
    <row r="2" ht="22" customHeight="1" s="16">
      <c r="A2" s="66" t="inlineStr">
        <is>
          <t>BACKORDER</t>
        </is>
      </c>
      <c r="B2" s="79" t="n">
        <v>1</v>
      </c>
      <c r="C2" s="79" t="n">
        <v>0</v>
      </c>
      <c r="D2" s="79" t="n">
        <v>1</v>
      </c>
      <c r="E2" s="66" t="inlineStr">
        <is>
          <t>Backorder</t>
        </is>
      </c>
    </row>
    <row r="3" ht="22" customHeight="1" s="16">
      <c r="A3" s="68" t="inlineStr">
        <is>
          <t>CREDIT_HOLD</t>
        </is>
      </c>
      <c r="B3" s="80" t="n">
        <v>0</v>
      </c>
      <c r="C3" s="80" t="n">
        <v>0</v>
      </c>
      <c r="D3" s="80" t="n">
        <v>1</v>
      </c>
      <c r="E3" s="68" t="inlineStr">
        <is>
          <t>Credit hold</t>
        </is>
      </c>
    </row>
    <row r="4" ht="22" customHeight="1" s="16">
      <c r="A4" s="66" t="inlineStr">
        <is>
          <t>DISCONTINUED_NO_REPLACEMENT</t>
        </is>
      </c>
      <c r="B4" s="79" t="n">
        <v>0</v>
      </c>
      <c r="C4" s="79" t="n">
        <v>1</v>
      </c>
      <c r="D4" s="79" t="n">
        <v>0</v>
      </c>
      <c r="E4" s="66" t="inlineStr">
        <is>
          <t>Discontinued</t>
        </is>
      </c>
    </row>
    <row r="5" ht="22" customHeight="1" s="16">
      <c r="A5" s="68" t="inlineStr">
        <is>
          <t>DUPLICATE_REQUEST</t>
        </is>
      </c>
      <c r="B5" s="80" t="n">
        <v>0</v>
      </c>
      <c r="C5" s="80" t="n">
        <v>1</v>
      </c>
      <c r="D5" s="80" t="n">
        <v>0</v>
      </c>
      <c r="E5" s="68" t="inlineStr">
        <is>
          <t>Duplicate</t>
        </is>
      </c>
    </row>
    <row r="6" ht="22" customHeight="1" s="16">
      <c r="A6" s="66" t="inlineStr">
        <is>
          <t>EXPIRED_ENTITLEMENT</t>
        </is>
      </c>
      <c r="B6" s="79" t="n">
        <v>0</v>
      </c>
      <c r="C6" s="79" t="n">
        <v>0</v>
      </c>
      <c r="D6" s="79" t="n">
        <v>1</v>
      </c>
      <c r="E6" s="66" t="inlineStr">
        <is>
          <t>Expired entitlement</t>
        </is>
      </c>
    </row>
    <row r="7" ht="22" customHeight="1" s="16">
      <c r="A7" s="68" t="inlineStr">
        <is>
          <t>FAMILY_NOT_COVERED</t>
        </is>
      </c>
      <c r="B7" s="80" t="n">
        <v>1</v>
      </c>
      <c r="C7" s="80" t="n">
        <v>0</v>
      </c>
      <c r="D7" s="80" t="n">
        <v>0</v>
      </c>
      <c r="E7" s="68" t="inlineStr">
        <is>
          <t>Family not covered</t>
        </is>
      </c>
    </row>
    <row r="8" ht="22" customHeight="1" s="16">
      <c r="A8" s="66" t="inlineStr">
        <is>
          <t>INVALID_ADDRESS</t>
        </is>
      </c>
      <c r="B8" s="79" t="n">
        <v>0</v>
      </c>
      <c r="C8" s="79" t="n">
        <v>1</v>
      </c>
      <c r="D8" s="79" t="n">
        <v>0</v>
      </c>
      <c r="E8" s="66" t="inlineStr">
        <is>
          <t>Invalid address</t>
        </is>
      </c>
    </row>
    <row r="9" ht="22" customHeight="1" s="16">
      <c r="A9" s="68" t="inlineStr">
        <is>
          <t>MISSING_PROOF</t>
        </is>
      </c>
      <c r="B9" s="80" t="n">
        <v>0</v>
      </c>
      <c r="C9" s="80" t="n">
        <v>1</v>
      </c>
      <c r="D9" s="80" t="n">
        <v>0</v>
      </c>
      <c r="E9" s="68" t="inlineStr">
        <is>
          <t>Missing proof</t>
        </is>
      </c>
    </row>
    <row r="10" ht="22" customHeight="1" s="16">
      <c r="A10" s="66" t="inlineStr">
        <is>
          <t>QTY_CAP_PARTIAL</t>
        </is>
      </c>
      <c r="B10" s="79" t="n">
        <v>0</v>
      </c>
      <c r="C10" s="79" t="n">
        <v>1</v>
      </c>
      <c r="D10" s="79" t="n">
        <v>0</v>
      </c>
      <c r="E10" s="66" t="inlineStr">
        <is>
          <t>Qty cap partial</t>
        </is>
      </c>
    </row>
    <row r="11" ht="22" customHeight="1" s="16">
      <c r="A11" s="68" t="inlineStr">
        <is>
          <t>SPECIAL_FEASIBILITY</t>
        </is>
      </c>
      <c r="B11" s="80" t="n">
        <v>1</v>
      </c>
      <c r="C11" s="80" t="n">
        <v>0</v>
      </c>
      <c r="D11" s="80" t="n">
        <v>1</v>
      </c>
      <c r="E11" s="68" t="inlineStr">
        <is>
          <t>Special feasibility</t>
        </is>
      </c>
    </row>
    <row r="12" ht="22" customHeight="1" s="16">
      <c r="A12" s="66" t="inlineStr">
        <is>
          <t>SPECIAL_NONSTARTER</t>
        </is>
      </c>
      <c r="B12" s="79" t="n">
        <v>1</v>
      </c>
      <c r="C12" s="79" t="n">
        <v>0</v>
      </c>
      <c r="D12" s="79" t="n">
        <v>0</v>
      </c>
      <c r="E12" s="66" t="inlineStr">
        <is>
          <t>Special nonstarter</t>
        </is>
      </c>
    </row>
    <row r="13" ht="22" customHeight="1" s="16">
      <c r="A13" s="68" t="inlineStr">
        <is>
          <t>UNCLEAR_PRODUCT</t>
        </is>
      </c>
      <c r="B13" s="80" t="n">
        <v>1</v>
      </c>
      <c r="C13" s="80" t="n">
        <v>0</v>
      </c>
      <c r="D13" s="80" t="n">
        <v>0</v>
      </c>
      <c r="E13" s="68" t="inlineStr">
        <is>
          <t>Unclear product</t>
        </is>
      </c>
    </row>
    <row r="14" ht="22" customHeight="1" s="16">
      <c r="A14" s="66" t="n"/>
      <c r="B14" s="66" t="n"/>
      <c r="C14" s="66" t="n"/>
      <c r="D14" s="66" t="n"/>
      <c r="E14" s="66" t="n"/>
    </row>
    <row r="15" ht="22" customHeight="1" s="16">
      <c r="A15" s="68" t="n"/>
      <c r="B15" s="68" t="n"/>
      <c r="C15" s="68" t="n"/>
      <c r="D15" s="68" t="n"/>
      <c r="E15" s="68" t="n"/>
    </row>
    <row r="16" ht="22" customHeight="1" s="16">
      <c r="A16" s="66" t="n"/>
      <c r="B16" s="66" t="n"/>
      <c r="C16" s="66" t="n"/>
      <c r="D16" s="66" t="n"/>
      <c r="E16" s="66" t="n"/>
    </row>
    <row r="17" ht="22" customHeight="1" s="16">
      <c r="A17" s="68" t="n"/>
      <c r="B17" s="68" t="n"/>
      <c r="C17" s="68" t="n"/>
      <c r="D17" s="68" t="n"/>
      <c r="E17" s="68" t="n"/>
    </row>
    <row r="18" ht="22" customHeight="1" s="16">
      <c r="A18" s="66" t="inlineStr">
        <is>
          <t>Final chart denominator</t>
        </is>
      </c>
      <c r="B18" s="73">
        <f>SUM(B2:D13)</f>
        <v/>
      </c>
      <c r="C18" s="73" t="n">
        <v>14</v>
      </c>
      <c r="D18" s="73">
        <f>IF(B18=C18,"PASS","CHECK")</f>
        <v/>
      </c>
      <c r="E18" s="66" t="n"/>
    </row>
  </sheetData>
  <autoFilter ref="A1:D13"/>
  <conditionalFormatting sqref="A1:D18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portrait" paperSize="8" fitToHeight="1" fitToWidth="1" pageOrder="overThenDown" blackAndWhite="0" draft="0" horizontalDpi="300" verticalDpi="300" copies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9" customWidth="1" style="15" min="1" max="1"/>
    <col width="15" customWidth="1" style="15" min="2" max="2"/>
    <col width="12" customWidth="1" style="15" min="3" max="3"/>
    <col width="15" customWidth="1" style="15" min="4" max="4"/>
  </cols>
  <sheetData>
    <row r="1" ht="29" customHeight="1" s="16">
      <c r="A1" s="65" t="inlineStr">
        <is>
          <t>Check_Name</t>
        </is>
      </c>
      <c r="B1" s="65" t="inlineStr">
        <is>
          <t>Actual</t>
        </is>
      </c>
      <c r="C1" s="65" t="inlineStr">
        <is>
          <t>Expected</t>
        </is>
      </c>
      <c r="D1" s="65" t="inlineStr">
        <is>
          <t>Status</t>
        </is>
      </c>
    </row>
    <row r="2" ht="22" customHeight="1" s="16">
      <c r="A2" s="66" t="inlineStr">
        <is>
          <t>Source case count</t>
        </is>
      </c>
      <c r="B2" s="73">
        <f>COUNTA(Case_Register!A2:A19)</f>
        <v/>
      </c>
      <c r="C2" s="79" t="n">
        <v>18</v>
      </c>
      <c r="D2" s="73">
        <f>IF(B2=C2,"PASS","CHECK")</f>
        <v/>
      </c>
    </row>
    <row r="3" ht="22" customHeight="1" s="16">
      <c r="A3" s="68" t="inlineStr">
        <is>
          <t>One disposition per case</t>
        </is>
      </c>
      <c r="B3" s="76">
        <f>COUNTBLANK(Case_Register!N2:N19)</f>
        <v/>
      </c>
      <c r="C3" s="80" t="n">
        <v>0</v>
      </c>
      <c r="D3" s="76">
        <f>IF(B3=C3,"PASS","CHECK")</f>
        <v/>
      </c>
    </row>
    <row r="4" ht="22" customHeight="1" s="16">
      <c r="A4" s="66" t="inlineStr">
        <is>
          <t>Import prepared row count</t>
        </is>
      </c>
      <c r="B4" s="73">
        <f>COUNTIF(Case_Register!P2:P19,"ORDER_REQUEST_PREPARED")</f>
        <v/>
      </c>
      <c r="C4" s="79" t="n">
        <v>5</v>
      </c>
      <c r="D4" s="73">
        <f>IF(B4=C4,"PASS","CHECK")</f>
        <v/>
      </c>
    </row>
    <row r="5" ht="22" customHeight="1" s="16">
      <c r="A5" s="68" t="inlineStr">
        <is>
          <t>Import prepared quantity</t>
        </is>
      </c>
      <c r="B5" s="76">
        <f>SUMIF(Case_Register!P2:P19,"ORDER_REQUEST_PREPARED",Case_Register!H2:H19)</f>
        <v/>
      </c>
      <c r="C5" s="80" t="n">
        <v>9</v>
      </c>
      <c r="D5" s="76">
        <f>IF(B5=C5,"PASS","CHECK")</f>
        <v/>
      </c>
    </row>
    <row r="6" ht="22" customHeight="1" s="16">
      <c r="A6" s="66" t="inlineStr">
        <is>
          <t>Exception denominator</t>
        </is>
      </c>
      <c r="B6" s="73">
        <f>SUMPRODUCT(--(LEN(Case_Register!K2:K19)&gt;0))</f>
        <v/>
      </c>
      <c r="C6" s="79" t="n">
        <v>14</v>
      </c>
      <c r="D6" s="73">
        <f>IF(B6=C6,"PASS","CHECK")</f>
        <v/>
      </c>
    </row>
    <row r="7" ht="22" customHeight="1" s="16">
      <c r="A7" s="68" t="inlineStr">
        <is>
          <t>Response rows</t>
        </is>
      </c>
      <c r="B7" s="76">
        <f>COUNTA(Response_Tracking!A2:A19)</f>
        <v/>
      </c>
      <c r="C7" s="80" t="n">
        <v>18</v>
      </c>
      <c r="D7" s="76">
        <f>IF(B7=C7,"PASS","CHECK")</f>
        <v/>
      </c>
    </row>
    <row r="8" ht="22" customHeight="1" s="16">
      <c r="A8" s="66" t="inlineStr">
        <is>
          <t>Special routes</t>
        </is>
      </c>
      <c r="B8" s="73">
        <f>COUNTIF(Case_Register!K2:K19,"SPECIAL_FEASIBILITY")</f>
        <v/>
      </c>
      <c r="C8" s="79" t="n">
        <v>2</v>
      </c>
      <c r="D8" s="73">
        <f>IF(B8=C8,"PASS","CHECK")</f>
        <v/>
      </c>
    </row>
  </sheetData>
  <autoFilter ref="A1:D8"/>
  <conditionalFormatting sqref="A1:D8">
    <cfRule type="expression" rank="0" priority="2" equalAverage="0" aboveAverage="0" dxfId="3" text="" percent="0" bottom="0">
      <formula>ISNUMBER(SEARCH("HELD",$A1&amp;$B1&amp;$C1&amp;$D1&amp;$E1&amp;$F1&amp;$G1&amp;$H1&amp;$I1&amp;$J1&amp;$K1&amp;$L1&amp;$M1&amp;$N1&amp;$O1&amp;$P1))</formula>
    </cfRule>
  </conditionalFormatting>
  <printOptions horizontalCentered="1" verticalCentered="0" headings="0" gridLines="0" gridLinesSet="1"/>
  <pageMargins left="0.25" right="0.25" top="0.35" bottom="0.35" header="0.15" footer="0.15"/>
  <pageSetup orientation="portrait" paperSize="9" fitToHeight="1" fitToWidth="1" pageOrder="overThenDown" blackAndWhite="0" draft="0" horizontalDpi="300" verticalDpi="300" copies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Northstar Home Goods warranty correspondence operations</dc:creator>
  <dc:title xmlns:dc="http://purl.org/dc/elements/1.1/">Correspondence disposition register</dc:title>
  <dc:description xmlns:dc="http://purl.org/dc/elements/1.1/">Final July 2026 warranty merchandise request disposition and evidence register</dc:description>
  <dc:subject xmlns:dc="http://purl.org/dc/elements/1.1/">Final July 2026 warranty merchandise request disposition and evidence register</dc:subject>
  <dc:language xmlns:dc="http://purl.org/dc/elements/1.1/">en-US</dc:language>
  <dcterms:created xmlns:dcterms="http://purl.org/dc/terms/" xmlns:xsi="http://www.w3.org/2001/XMLSchema-instance" xsi:type="dcterms:W3CDTF">2026-07-16T01:11:04Z</dcterms:created>
  <dcterms:modified xmlns:dcterms="http://purl.org/dc/terms/" xmlns:xsi="http://www.w3.org/2001/XMLSchema-instance" xsi:type="dcterms:W3CDTF">2026-07-17T07:06:42Z</dcterms:modified>
  <cp:category>Warranty correspondence operations</cp:category>
  <cp:revision>3</cp:revision>
  <cp:keywords>warranty correspondence merchandise request closeout</cp:keywords>
</cp:coreProperties>
</file>