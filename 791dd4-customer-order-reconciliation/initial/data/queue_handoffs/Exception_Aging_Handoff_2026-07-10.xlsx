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Exception_Handoff" sheetId="2" state="visible" r:id="rId4"/>
    <sheet name="Owner_Notes" sheetId="3" state="visible" r:id="rId5"/>
    <sheet name="Chart_Data" sheetId="4" state="visible" r:id="rId6"/>
    <sheet name="Handoff_Checks" sheetId="5" state="visible" r:id="rId7"/>
  </sheets>
  <definedNames>
    <definedName function="false" hidden="false" localSheetId="3" name="_xlnm.Print_Area" vbProcedure="false">Chart_Data!$A$1:$S$28</definedName>
    <definedName function="false" hidden="true" localSheetId="3" name="_xlnm._FilterDatabase" vbProcedure="false">Chart_Data!$A$1:$D$14</definedName>
    <definedName function="false" hidden="true" localSheetId="1" name="_xlnm._FilterDatabase" vbProcedure="false">Exception_Handoff!$A$1:$H$16</definedName>
    <definedName function="false" hidden="true" localSheetId="4" name="_xlnm._FilterDatabase" vbProcedure="false">Handoff_Checks!$A$1:$D$4</definedName>
    <definedName function="false" hidden="true" localSheetId="2" name="_xlnm._FilterDatabase" vbProcedure="false">Owner_Notes!$A$1:$F$16</definedName>
    <definedName function="false" hidden="true" localSheetId="0" name="_xlnm._FilterDatabase" vbProcedure="false">Read_Me!$A$1:$B$5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<sst xmlns="http://schemas.openxmlformats.org/spreadsheetml/2006/main" count="230" uniqueCount="123">
  <si>
    <t xml:space="preserve">Field</t>
  </si>
  <si>
    <t xml:space="preserve">Value</t>
  </si>
  <si>
    <t xml:space="preserve">Handoff Timestamp</t>
  </si>
  <si>
    <t xml:space="preserve">2026-07-10 14:20 UTC</t>
  </si>
  <si>
    <t xml:space="preserve">Included States</t>
  </si>
  <si>
    <t xml:space="preserve">Unresolved, held, routed, unavailable, partial, and nonstandard review cases before final closeout.</t>
  </si>
  <si>
    <t xml:space="preserve">Source Queue</t>
  </si>
  <si>
    <t xml:space="preserve">Warranty_Merchandise_Request_Queue_2026-07-10.xlsx</t>
  </si>
  <si>
    <t xml:space="preserve">Tie-out Method</t>
  </si>
  <si>
    <t xml:space="preserve">Each row carries case_id and source_corr_id back to the queue export.</t>
  </si>
  <si>
    <t xml:space="preserve">Case_ID</t>
  </si>
  <si>
    <t xml:space="preserve">Source_Corr_ID</t>
  </si>
  <si>
    <t xml:space="preserve">Exception_Code</t>
  </si>
  <si>
    <t xml:space="preserve">Route_Code</t>
  </si>
  <si>
    <t xml:space="preserve">Owner_ID</t>
  </si>
  <si>
    <t xml:space="preserve">Days_Open</t>
  </si>
  <si>
    <t xml:space="preserve">Age_Band</t>
  </si>
  <si>
    <t xml:space="preserve">Current_Handoff_Status</t>
  </si>
  <si>
    <t xml:space="preserve">MRQ-2026-0710-003</t>
  </si>
  <si>
    <t xml:space="preserve">NHG-MRQ-2026-07-003</t>
  </si>
  <si>
    <t xml:space="preserve">BACKORDER</t>
  </si>
  <si>
    <t xml:space="preserve">RPATEL</t>
  </si>
  <si>
    <t xml:space="preserve">6-10 days</t>
  </si>
  <si>
    <t xml:space="preserve">Open for final response or route</t>
  </si>
  <si>
    <t xml:space="preserve">MRQ-2026-0710-004</t>
  </si>
  <si>
    <t xml:space="preserve">NHG-MRQ-2026-07-004</t>
  </si>
  <si>
    <t xml:space="preserve">EXPIRED_ENTITLEMENT</t>
  </si>
  <si>
    <t xml:space="preserve">JPARK</t>
  </si>
  <si>
    <t xml:space="preserve">MRQ-2026-0710-005</t>
  </si>
  <si>
    <t xml:space="preserve">NHG-MRQ-2026-07-005</t>
  </si>
  <si>
    <t xml:space="preserve">SPECIAL_FEASIBILITY</t>
  </si>
  <si>
    <t xml:space="preserve">RTE-CUSTOM-PANEL</t>
  </si>
  <si>
    <t xml:space="preserve">ALOPEZ</t>
  </si>
  <si>
    <t xml:space="preserve">MRQ-2026-0710-006</t>
  </si>
  <si>
    <t xml:space="preserve">NHG-MRQ-2026-07-006</t>
  </si>
  <si>
    <t xml:space="preserve">CREDIT_HOLD</t>
  </si>
  <si>
    <t xml:space="preserve">MCHEN</t>
  </si>
  <si>
    <t xml:space="preserve">MRQ-2026-0710-007</t>
  </si>
  <si>
    <t xml:space="preserve">NHG-MRQ-2026-07-007</t>
  </si>
  <si>
    <t xml:space="preserve">MISSING_PROOF</t>
  </si>
  <si>
    <t xml:space="preserve">3-5 days</t>
  </si>
  <si>
    <t xml:space="preserve">MRQ-2026-0710-008</t>
  </si>
  <si>
    <t xml:space="preserve">NHG-MRQ-2026-07-008</t>
  </si>
  <si>
    <t xml:space="preserve">INVALID_ADDRESS</t>
  </si>
  <si>
    <t xml:space="preserve">MRQ-2026-0710-009</t>
  </si>
  <si>
    <t xml:space="preserve">NHG-MRQ-2026-07-009</t>
  </si>
  <si>
    <t xml:space="preserve">DISCONTINUED_NO_REPLACEMENT</t>
  </si>
  <si>
    <t xml:space="preserve">MRQ-2026-0710-010</t>
  </si>
  <si>
    <t xml:space="preserve">NHG-MRQ-2026-07-010</t>
  </si>
  <si>
    <t xml:space="preserve">DUPLICATE_REQUEST</t>
  </si>
  <si>
    <t xml:space="preserve">MRQ-2026-0710-012</t>
  </si>
  <si>
    <t xml:space="preserve">NHG-MRQ-2026-07-012</t>
  </si>
  <si>
    <t xml:space="preserve">QTY_CAP_PARTIAL</t>
  </si>
  <si>
    <t xml:space="preserve">MRQ-2026-0710-013</t>
  </si>
  <si>
    <t xml:space="preserve">NHG-MRQ-2026-07-013</t>
  </si>
  <si>
    <t xml:space="preserve">RTE-ENG-ADAPT</t>
  </si>
  <si>
    <t xml:space="preserve">0-2 days</t>
  </si>
  <si>
    <t xml:space="preserve">MRQ-2026-0710-014</t>
  </si>
  <si>
    <t xml:space="preserve">NHG-MRQ-2026-07-014</t>
  </si>
  <si>
    <t xml:space="preserve">UNCLEAR_PRODUCT</t>
  </si>
  <si>
    <t xml:space="preserve">MRQ-2026-0710-016</t>
  </si>
  <si>
    <t xml:space="preserve">NHG-MRQ-2026-07-016</t>
  </si>
  <si>
    <t xml:space="preserve">FAMILY_NOT_COVERED</t>
  </si>
  <si>
    <t xml:space="preserve">MRQ-2026-0710-017</t>
  </si>
  <si>
    <t xml:space="preserve">NHG-MRQ-2026-07-017</t>
  </si>
  <si>
    <t xml:space="preserve">MRQ-2026-0710-018</t>
  </si>
  <si>
    <t xml:space="preserve">NHG-MRQ-2026-07-018</t>
  </si>
  <si>
    <t xml:space="preserve">SPECIAL_NONSTARTER</t>
  </si>
  <si>
    <t xml:space="preserve">MRQ-2026-0710-002</t>
  </si>
  <si>
    <t xml:space="preserve">NHG-MRQ-2026-07-002</t>
  </si>
  <si>
    <t xml:space="preserve">SUBSTITUTION_REVIEW</t>
  </si>
  <si>
    <t xml:space="preserve">Resolved by approved substitute before close</t>
  </si>
  <si>
    <t xml:space="preserve">Owner_Note</t>
  </si>
  <si>
    <t xml:space="preserve">Reassignment_Flag</t>
  </si>
  <si>
    <t xml:space="preserve">Next_Action_Owner</t>
  </si>
  <si>
    <t xml:space="preserve">Next_Action_Due_Date</t>
  </si>
  <si>
    <t xml:space="preserve">Closeout_Risk</t>
  </si>
  <si>
    <t xml:space="preserve">Preserve BACKORDER reason in final register.</t>
  </si>
  <si>
    <t xml:space="preserve">N</t>
  </si>
  <si>
    <t xml:space="preserve">Inventory planning</t>
  </si>
  <si>
    <t xml:space="preserve">Medium</t>
  </si>
  <si>
    <t xml:space="preserve">Preserve EXPIRED_ENTITLEMENT reason in final register.</t>
  </si>
  <si>
    <t xml:space="preserve">Customer</t>
  </si>
  <si>
    <t xml:space="preserve">Preserve SPECIAL_FEASIBILITY reason in final register.</t>
  </si>
  <si>
    <t xml:space="preserve">Special-product owner</t>
  </si>
  <si>
    <t xml:space="preserve">Preserve CREDIT_HOLD reason in final register.</t>
  </si>
  <si>
    <t xml:space="preserve">Credit desk</t>
  </si>
  <si>
    <t xml:space="preserve">Preserve MISSING_PROOF reason in final register.</t>
  </si>
  <si>
    <t xml:space="preserve">Low</t>
  </si>
  <si>
    <t xml:space="preserve">Preserve INVALID_ADDRESS reason in final register.</t>
  </si>
  <si>
    <t xml:space="preserve">Preserve DISCONTINUED_NO_REPLACEMENT reason in final register.</t>
  </si>
  <si>
    <t xml:space="preserve">Preserve DUPLICATE_REQUEST reason in final register.</t>
  </si>
  <si>
    <t xml:space="preserve">Preserve QTY_CAP_PARTIAL reason in final register.</t>
  </si>
  <si>
    <t xml:space="preserve">Fulfillment import coordinator</t>
  </si>
  <si>
    <t xml:space="preserve">Preserve UNCLEAR_PRODUCT reason in final register.</t>
  </si>
  <si>
    <t xml:space="preserve">Preserve FAMILY_NOT_COVERED reason in final register.</t>
  </si>
  <si>
    <t xml:space="preserve">Preserve SPECIAL_NONSTARTER reason in final register.</t>
  </si>
  <si>
    <t xml:space="preserve">Resolved to approved substitute before final close.</t>
  </si>
  <si>
    <t xml:space="preserve">0-2 Days</t>
  </si>
  <si>
    <t xml:space="preserve">3-5 Days</t>
  </si>
  <si>
    <t xml:space="preserve">6-10 Days</t>
  </si>
  <si>
    <t xml:space="preserve">Chart_Label</t>
  </si>
  <si>
    <t xml:space="preserve">Backorder</t>
  </si>
  <si>
    <t xml:space="preserve">Credit hold</t>
  </si>
  <si>
    <t xml:space="preserve">Discontinued</t>
  </si>
  <si>
    <t xml:space="preserve">Duplicate</t>
  </si>
  <si>
    <t xml:space="preserve">Expired entitlement</t>
  </si>
  <si>
    <t xml:space="preserve">Family not covered</t>
  </si>
  <si>
    <t xml:space="preserve">Invalid address</t>
  </si>
  <si>
    <t xml:space="preserve">Missing proof</t>
  </si>
  <si>
    <t xml:space="preserve">Qty cap partial</t>
  </si>
  <si>
    <t xml:space="preserve">Special feasibility</t>
  </si>
  <si>
    <t xml:space="preserve">Special nonstarter</t>
  </si>
  <si>
    <t xml:space="preserve">Substitution review</t>
  </si>
  <si>
    <t xml:space="preserve">Unclear product</t>
  </si>
  <si>
    <t xml:space="preserve">Check_Name</t>
  </si>
  <si>
    <t xml:space="preserve">Formula_Or_Value</t>
  </si>
  <si>
    <t xml:space="preserve">Expected</t>
  </si>
  <si>
    <t xml:space="preserve">Status</t>
  </si>
  <si>
    <t xml:space="preserve">Exception row count</t>
  </si>
  <si>
    <t xml:space="preserve">Unique case count</t>
  </si>
  <si>
    <t xml:space="preserve">Resolved substitution present</t>
  </si>
  <si>
    <t xml:space="preserve">Total days 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</si>
</sst>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0272E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027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27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BBAE"/>
      </left>
      <right style="thin">
        <color rgb="FFC7BBAE"/>
      </right>
      <top style="thin">
        <color rgb="FFC7BBAE"/>
      </top>
      <bottom style="thin">
        <color rgb="FFC7BB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027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BBAE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2027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Exception count by category and age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Chart_Data!B1</c:f>
              <c:strCache>
                <c:ptCount val="1"/>
                <c:pt idx="0">
                  <c:v>0-2 Days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Chart_Data!$E$2:$E$14</c:f>
              <c:strCache>
                <c:ptCount val="13"/>
                <c:pt idx="0">
                  <c:v>Backorder</c:v>
                </c:pt>
                <c:pt idx="1">
                  <c:v>Credit hold</c:v>
                </c:pt>
                <c:pt idx="2">
                  <c:v>Discontinued</c:v>
                </c:pt>
                <c:pt idx="3">
                  <c:v>Duplicate</c:v>
                </c:pt>
                <c:pt idx="4">
                  <c:v>Expired entitlement</c:v>
                </c:pt>
                <c:pt idx="5">
                  <c:v>Family not covered</c:v>
                </c:pt>
                <c:pt idx="6">
                  <c:v>Invalid address</c:v>
                </c:pt>
                <c:pt idx="7">
                  <c:v>Missing proof</c:v>
                </c:pt>
                <c:pt idx="8">
                  <c:v>Qty cap partial</c:v>
                </c:pt>
                <c:pt idx="9">
                  <c:v>Special feasibility</c:v>
                </c:pt>
                <c:pt idx="10">
                  <c:v>Special nonstarter</c:v>
                </c:pt>
                <c:pt idx="11">
                  <c:v>Substitution review</c:v>
                </c:pt>
                <c:pt idx="12">
                  <c:v>Unclear product</c:v>
                </c:pt>
              </c:strCache>
            </c:strRef>
          </c:cat>
          <c:val>
            <c:numRef>
              <c:f>Chart_Data!$B$2:$B$14</c:f>
              <c:numCache>
                <c:formatCode>#,##0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Chart_Data!C1</c:f>
              <c:strCache>
                <c:ptCount val="1"/>
                <c:pt idx="0">
                  <c:v>3-5 Days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Chart_Data!$E$2:$E$14</c:f>
              <c:strCache>
                <c:ptCount val="13"/>
                <c:pt idx="0">
                  <c:v>Backorder</c:v>
                </c:pt>
                <c:pt idx="1">
                  <c:v>Credit hold</c:v>
                </c:pt>
                <c:pt idx="2">
                  <c:v>Discontinued</c:v>
                </c:pt>
                <c:pt idx="3">
                  <c:v>Duplicate</c:v>
                </c:pt>
                <c:pt idx="4">
                  <c:v>Expired entitlement</c:v>
                </c:pt>
                <c:pt idx="5">
                  <c:v>Family not covered</c:v>
                </c:pt>
                <c:pt idx="6">
                  <c:v>Invalid address</c:v>
                </c:pt>
                <c:pt idx="7">
                  <c:v>Missing proof</c:v>
                </c:pt>
                <c:pt idx="8">
                  <c:v>Qty cap partial</c:v>
                </c:pt>
                <c:pt idx="9">
                  <c:v>Special feasibility</c:v>
                </c:pt>
                <c:pt idx="10">
                  <c:v>Special nonstarter</c:v>
                </c:pt>
                <c:pt idx="11">
                  <c:v>Substitution review</c:v>
                </c:pt>
                <c:pt idx="12">
                  <c:v>Unclear product</c:v>
                </c:pt>
              </c:strCache>
            </c:strRef>
          </c:cat>
          <c:val>
            <c:numRef>
              <c:f>Chart_Data!$C$2:$C$14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2"/>
          <c:order val="2"/>
          <c:tx>
            <c:strRef>
              <c:f>Chart_Data!D1</c:f>
              <c:strCache>
                <c:ptCount val="1"/>
                <c:pt idx="0">
                  <c:v>6-10 Days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Chart_Data!$E$2:$E$14</c:f>
              <c:strCache>
                <c:ptCount val="13"/>
                <c:pt idx="0">
                  <c:v>Backorder</c:v>
                </c:pt>
                <c:pt idx="1">
                  <c:v>Credit hold</c:v>
                </c:pt>
                <c:pt idx="2">
                  <c:v>Discontinued</c:v>
                </c:pt>
                <c:pt idx="3">
                  <c:v>Duplicate</c:v>
                </c:pt>
                <c:pt idx="4">
                  <c:v>Expired entitlement</c:v>
                </c:pt>
                <c:pt idx="5">
                  <c:v>Family not covered</c:v>
                </c:pt>
                <c:pt idx="6">
                  <c:v>Invalid address</c:v>
                </c:pt>
                <c:pt idx="7">
                  <c:v>Missing proof</c:v>
                </c:pt>
                <c:pt idx="8">
                  <c:v>Qty cap partial</c:v>
                </c:pt>
                <c:pt idx="9">
                  <c:v>Special feasibility</c:v>
                </c:pt>
                <c:pt idx="10">
                  <c:v>Special nonstarter</c:v>
                </c:pt>
                <c:pt idx="11">
                  <c:v>Substitution review</c:v>
                </c:pt>
                <c:pt idx="12">
                  <c:v>Unclear product</c:v>
                </c:pt>
              </c:strCache>
            </c:strRef>
          </c:cat>
          <c:val>
            <c:numRef>
              <c:f>Chart_Data!$D$2:$D$14</c:f>
              <c:numCache>
                <c:formatCode>#,##0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</c:ser>
        <c:gapWidth val="150"/>
        <c:overlap val="100"/>
        <c:axId val="7442960"/>
        <c:axId val="25061065"/>
      </c:barChart>
      <c:catAx>
        <c:axId val="744296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Exception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61065"/>
        <c:crosses val="autoZero"/>
        <c:auto val="1"/>
        <c:lblAlgn val="ctr"/>
        <c:lblOffset val="100"/>
        <c:noMultiLvlLbl val="0"/>
      </c:catAx>
      <c:valAx>
        <c:axId val="250610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29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581040</xdr:colOff>
      <xdr:row>21</xdr:row>
      <xdr:rowOff>126000</xdr:rowOff>
    </xdr:to>
    <xdr:graphicFrame>
      <xdr:nvGraphicFramePr>
        <xdr:cNvPr id="0" name="Chart 1"/>
        <xdr:cNvGraphicFramePr/>
      </xdr:nvGraphicFramePr>
      <xdr:xfrm>
        <a:off x="6602760" y="247680"/>
        <a:ext cx="791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hart_Data" displayName="Chart_Data" ref="A1:D14" headerRowCount="1" totalsRowCount="0" totalsRowShown="0">
  <autoFilter ref="A1:D14"/>
  <tableColumns count="4">
    <tableColumn id="1" name="Exception_Code"/>
    <tableColumn id="2" name="0-2 Days"/>
    <tableColumn id="3" name="3-5 Days"/>
    <tableColumn id="4" name="6-10 Days"/>
  </tableColumns>
</table>
</file>

<file path=xl/tables/table2.xml><?xml version="1.0" encoding="utf-8"?>
<table xmlns="http://schemas.openxmlformats.org/spreadsheetml/2006/main" id="2" name="Exception_Handoff" displayName="Exception_Handoff" ref="A1:H16" headerRowCount="1" totalsRowCount="0" totalsRowShown="0">
  <autoFilter ref="A1:H16"/>
  <tableColumns count="8">
    <tableColumn id="1" name="Case_ID"/>
    <tableColumn id="2" name="Source_Corr_ID"/>
    <tableColumn id="3" name="Exception_Code"/>
    <tableColumn id="4" name="Route_Code"/>
    <tableColumn id="5" name="Owner_ID"/>
    <tableColumn id="6" name="Days_Open"/>
    <tableColumn id="7" name="Age_Band"/>
    <tableColumn id="8" name="Current_Handoff_Status"/>
  </tableColumns>
</table>
</file>

<file path=xl/tables/table3.xml><?xml version="1.0" encoding="utf-8"?>
<table xmlns="http://schemas.openxmlformats.org/spreadsheetml/2006/main" id="3" name="Handoff_Checks" displayName="Handoff_Checks" ref="A1:D5" headerRowCount="1" totalsRowCount="0" totalsRowShown="0">
  <autoFilter ref="A1:D5"/>
  <tableColumns count="4">
    <tableColumn id="1" name="Check_Name"/>
    <tableColumn id="2" name="Formula_Or_Value"/>
    <tableColumn id="3" name="Expected"/>
    <tableColumn id="4" name="Status"/>
  </tableColumns>
</table>
</file>

<file path=xl/tables/table4.xml><?xml version="1.0" encoding="utf-8"?>
<table xmlns="http://schemas.openxmlformats.org/spreadsheetml/2006/main" id="4" name="Handoff_ReadMe" displayName="Handoff_ReadMe" ref="A1:B5" headerRowCount="1" totalsRowCount="0" totalsRowShown="0">
  <autoFilter ref="A1:B5"/>
  <tableColumns count="2">
    <tableColumn id="1" name="Field"/>
    <tableColumn id="2" name="Value"/>
  </tableColumns>
</table>
</file>

<file path=xl/tables/table5.xml><?xml version="1.0" encoding="utf-8"?>
<table xmlns="http://schemas.openxmlformats.org/spreadsheetml/2006/main" id="5" name="Owner_Notes" displayName="Owner_Notes" ref="A1:F16" headerRowCount="1" totalsRowCount="0" totalsRowShown="0">
  <autoFilter ref="A1:F16"/>
  <tableColumns count="6">
    <tableColumn id="1" name="Case_ID"/>
    <tableColumn id="2" name="Owner_Note"/>
    <tableColumn id="3" name="Reassignment_Flag"/>
    <tableColumn id="4" name="Next_Action_Owner"/>
    <tableColumn id="5" name="Next_Action_Due_Date"/>
    <tableColumn id="6" name="Closeout_Ris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04"/>
    <col collapsed="false" customWidth="true" hidden="false" outlineLevel="0" max="2" min="2" style="1" width="112.89"/>
  </cols>
  <sheetData>
    <row r="1" customFormat="false" ht="19.5" hidden="false" customHeight="true" outlineLevel="0" collapsed="false">
      <c r="A1" s="2" t="s">
        <v>0</v>
      </c>
      <c r="B1" s="2" t="s">
        <v>1</v>
      </c>
    </row>
    <row r="2" customFormat="false" ht="19.5" hidden="false" customHeight="true" outlineLevel="0" collapsed="false">
      <c r="A2" s="3" t="s">
        <v>2</v>
      </c>
      <c r="B2" s="3" t="s">
        <v>3</v>
      </c>
    </row>
    <row r="3" customFormat="false" ht="19.5" hidden="false" customHeight="true" outlineLevel="0" collapsed="false">
      <c r="A3" s="3" t="s">
        <v>4</v>
      </c>
      <c r="B3" s="3" t="s">
        <v>5</v>
      </c>
    </row>
    <row r="4" customFormat="false" ht="19.5" hidden="false" customHeight="true" outlineLevel="0" collapsed="false">
      <c r="A4" s="3" t="s">
        <v>6</v>
      </c>
      <c r="B4" s="3" t="s">
        <v>7</v>
      </c>
    </row>
    <row r="5" customFormat="false" ht="19.5" hidden="false" customHeight="true" outlineLevel="0" collapsed="false">
      <c r="A5" s="3" t="s">
        <v>8</v>
      </c>
      <c r="B5" s="3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04"/>
    <col collapsed="false" customWidth="true" hidden="false" outlineLevel="0" max="2" min="2" style="1" width="23.28"/>
    <col collapsed="false" customWidth="true" hidden="false" outlineLevel="0" max="3" min="3" style="1" width="32.24"/>
    <col collapsed="false" customWidth="true" hidden="false" outlineLevel="0" max="4" min="4" style="1" width="19.92"/>
    <col collapsed="false" customWidth="true" hidden="false" outlineLevel="0" max="5" min="5" style="1" width="12"/>
    <col collapsed="false" customWidth="true" hidden="false" outlineLevel="0" max="7" min="6" style="1" width="12.08"/>
    <col collapsed="false" customWidth="true" hidden="false" outlineLevel="0" max="8" min="8" style="1" width="51.28"/>
  </cols>
  <sheetData>
    <row r="1" customFormat="false" ht="19.5" hidden="false" customHeight="tru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customFormat="false" ht="19.5" hidden="false" customHeight="true" outlineLevel="0" collapsed="false">
      <c r="A2" s="3" t="s">
        <v>18</v>
      </c>
      <c r="B2" s="3" t="s">
        <v>19</v>
      </c>
      <c r="C2" s="3" t="s">
        <v>20</v>
      </c>
      <c r="D2" s="3"/>
      <c r="E2" s="3" t="s">
        <v>21</v>
      </c>
      <c r="F2" s="4" t="n">
        <v>8</v>
      </c>
      <c r="G2" s="3" t="s">
        <v>22</v>
      </c>
      <c r="H2" s="3" t="s">
        <v>23</v>
      </c>
    </row>
    <row r="3" customFormat="false" ht="19.5" hidden="false" customHeight="true" outlineLevel="0" collapsed="false">
      <c r="A3" s="3" t="s">
        <v>24</v>
      </c>
      <c r="B3" s="3" t="s">
        <v>25</v>
      </c>
      <c r="C3" s="3" t="s">
        <v>26</v>
      </c>
      <c r="D3" s="3"/>
      <c r="E3" s="3" t="s">
        <v>27</v>
      </c>
      <c r="F3" s="4" t="n">
        <v>7</v>
      </c>
      <c r="G3" s="3" t="s">
        <v>22</v>
      </c>
      <c r="H3" s="3" t="s">
        <v>23</v>
      </c>
    </row>
    <row r="4" customFormat="false" ht="19.5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4" t="n">
        <v>7</v>
      </c>
      <c r="G4" s="3" t="s">
        <v>22</v>
      </c>
      <c r="H4" s="3" t="s">
        <v>23</v>
      </c>
    </row>
    <row r="5" customFormat="false" ht="19.5" hidden="false" customHeight="true" outlineLevel="0" collapsed="false">
      <c r="A5" s="3" t="s">
        <v>33</v>
      </c>
      <c r="B5" s="3" t="s">
        <v>34</v>
      </c>
      <c r="C5" s="3" t="s">
        <v>35</v>
      </c>
      <c r="D5" s="3"/>
      <c r="E5" s="3" t="s">
        <v>36</v>
      </c>
      <c r="F5" s="4" t="n">
        <v>6</v>
      </c>
      <c r="G5" s="3" t="s">
        <v>22</v>
      </c>
      <c r="H5" s="3" t="s">
        <v>23</v>
      </c>
    </row>
    <row r="6" customFormat="false" ht="19.5" hidden="false" customHeight="true" outlineLevel="0" collapsed="false">
      <c r="A6" s="3" t="s">
        <v>37</v>
      </c>
      <c r="B6" s="3" t="s">
        <v>38</v>
      </c>
      <c r="C6" s="3" t="s">
        <v>39</v>
      </c>
      <c r="D6" s="3"/>
      <c r="E6" s="3" t="s">
        <v>21</v>
      </c>
      <c r="F6" s="4" t="n">
        <v>5</v>
      </c>
      <c r="G6" s="3" t="s">
        <v>40</v>
      </c>
      <c r="H6" s="3" t="s">
        <v>23</v>
      </c>
    </row>
    <row r="7" customFormat="false" ht="19.5" hidden="false" customHeight="true" outlineLevel="0" collapsed="false">
      <c r="A7" s="3" t="s">
        <v>41</v>
      </c>
      <c r="B7" s="3" t="s">
        <v>42</v>
      </c>
      <c r="C7" s="3" t="s">
        <v>43</v>
      </c>
      <c r="D7" s="3"/>
      <c r="E7" s="3" t="s">
        <v>27</v>
      </c>
      <c r="F7" s="4" t="n">
        <v>5</v>
      </c>
      <c r="G7" s="3" t="s">
        <v>40</v>
      </c>
      <c r="H7" s="3" t="s">
        <v>23</v>
      </c>
    </row>
    <row r="8" customFormat="false" ht="19.5" hidden="false" customHeight="true" outlineLevel="0" collapsed="false">
      <c r="A8" s="3" t="s">
        <v>44</v>
      </c>
      <c r="B8" s="3" t="s">
        <v>45</v>
      </c>
      <c r="C8" s="3" t="s">
        <v>46</v>
      </c>
      <c r="D8" s="3"/>
      <c r="E8" s="3" t="s">
        <v>32</v>
      </c>
      <c r="F8" s="4" t="n">
        <v>4</v>
      </c>
      <c r="G8" s="3" t="s">
        <v>40</v>
      </c>
      <c r="H8" s="3" t="s">
        <v>23</v>
      </c>
    </row>
    <row r="9" customFormat="false" ht="19.5" hidden="false" customHeight="true" outlineLevel="0" collapsed="false">
      <c r="A9" s="3" t="s">
        <v>47</v>
      </c>
      <c r="B9" s="3" t="s">
        <v>48</v>
      </c>
      <c r="C9" s="3" t="s">
        <v>49</v>
      </c>
      <c r="D9" s="3"/>
      <c r="E9" s="3" t="s">
        <v>36</v>
      </c>
      <c r="F9" s="4" t="n">
        <v>4</v>
      </c>
      <c r="G9" s="3" t="s">
        <v>40</v>
      </c>
      <c r="H9" s="3" t="s">
        <v>23</v>
      </c>
    </row>
    <row r="10" customFormat="false" ht="19.5" hidden="false" customHeight="true" outlineLevel="0" collapsed="false">
      <c r="A10" s="3" t="s">
        <v>50</v>
      </c>
      <c r="B10" s="3" t="s">
        <v>51</v>
      </c>
      <c r="C10" s="3" t="s">
        <v>52</v>
      </c>
      <c r="D10" s="3"/>
      <c r="E10" s="3" t="s">
        <v>27</v>
      </c>
      <c r="F10" s="4" t="n">
        <v>3</v>
      </c>
      <c r="G10" s="3" t="s">
        <v>40</v>
      </c>
      <c r="H10" s="3" t="s">
        <v>23</v>
      </c>
    </row>
    <row r="11" customFormat="false" ht="19.5" hidden="false" customHeight="true" outlineLevel="0" collapsed="false">
      <c r="A11" s="3" t="s">
        <v>53</v>
      </c>
      <c r="B11" s="3" t="s">
        <v>54</v>
      </c>
      <c r="C11" s="3" t="s">
        <v>30</v>
      </c>
      <c r="D11" s="3" t="s">
        <v>55</v>
      </c>
      <c r="E11" s="3" t="s">
        <v>32</v>
      </c>
      <c r="F11" s="4" t="n">
        <v>2</v>
      </c>
      <c r="G11" s="3" t="s">
        <v>56</v>
      </c>
      <c r="H11" s="3" t="s">
        <v>23</v>
      </c>
    </row>
    <row r="12" customFormat="false" ht="19.5" hidden="false" customHeight="true" outlineLevel="0" collapsed="false">
      <c r="A12" s="3" t="s">
        <v>57</v>
      </c>
      <c r="B12" s="3" t="s">
        <v>58</v>
      </c>
      <c r="C12" s="3" t="s">
        <v>59</v>
      </c>
      <c r="D12" s="3"/>
      <c r="E12" s="3" t="s">
        <v>36</v>
      </c>
      <c r="F12" s="4" t="n">
        <v>2</v>
      </c>
      <c r="G12" s="3" t="s">
        <v>56</v>
      </c>
      <c r="H12" s="3" t="s">
        <v>23</v>
      </c>
    </row>
    <row r="13" customFormat="false" ht="19.5" hidden="false" customHeight="true" outlineLevel="0" collapsed="false">
      <c r="A13" s="3" t="s">
        <v>60</v>
      </c>
      <c r="B13" s="3" t="s">
        <v>61</v>
      </c>
      <c r="C13" s="3" t="s">
        <v>62</v>
      </c>
      <c r="D13" s="3"/>
      <c r="E13" s="3" t="s">
        <v>27</v>
      </c>
      <c r="F13" s="4" t="n">
        <v>1</v>
      </c>
      <c r="G13" s="3" t="s">
        <v>56</v>
      </c>
      <c r="H13" s="3" t="s">
        <v>23</v>
      </c>
    </row>
    <row r="14" customFormat="false" ht="19.5" hidden="false" customHeight="true" outlineLevel="0" collapsed="false">
      <c r="A14" s="3" t="s">
        <v>63</v>
      </c>
      <c r="B14" s="3" t="s">
        <v>64</v>
      </c>
      <c r="C14" s="3" t="s">
        <v>20</v>
      </c>
      <c r="D14" s="3"/>
      <c r="E14" s="3" t="s">
        <v>32</v>
      </c>
      <c r="F14" s="4" t="n">
        <v>1</v>
      </c>
      <c r="G14" s="3" t="s">
        <v>56</v>
      </c>
      <c r="H14" s="3" t="s">
        <v>23</v>
      </c>
    </row>
    <row r="15" customFormat="false" ht="19.5" hidden="false" customHeight="true" outlineLevel="0" collapsed="false">
      <c r="A15" s="3" t="s">
        <v>65</v>
      </c>
      <c r="B15" s="3" t="s">
        <v>66</v>
      </c>
      <c r="C15" s="3" t="s">
        <v>67</v>
      </c>
      <c r="D15" s="3"/>
      <c r="E15" s="3" t="s">
        <v>36</v>
      </c>
      <c r="F15" s="4" t="n">
        <v>0</v>
      </c>
      <c r="G15" s="3" t="s">
        <v>56</v>
      </c>
      <c r="H15" s="3" t="s">
        <v>23</v>
      </c>
    </row>
    <row r="16" customFormat="false" ht="19.5" hidden="false" customHeight="true" outlineLevel="0" collapsed="false">
      <c r="A16" s="3" t="s">
        <v>68</v>
      </c>
      <c r="B16" s="3" t="s">
        <v>69</v>
      </c>
      <c r="C16" s="3" t="s">
        <v>70</v>
      </c>
      <c r="D16" s="3"/>
      <c r="E16" s="3" t="s">
        <v>36</v>
      </c>
      <c r="F16" s="4" t="n">
        <v>8</v>
      </c>
      <c r="G16" s="3" t="s">
        <v>22</v>
      </c>
      <c r="H16" s="3" t="s">
        <v>71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04"/>
    <col collapsed="false" customWidth="true" hidden="false" outlineLevel="0" max="2" min="2" style="1" width="71.44"/>
    <col collapsed="false" customWidth="true" hidden="false" outlineLevel="0" max="3" min="3" style="1" width="21.04"/>
    <col collapsed="false" customWidth="true" hidden="false" outlineLevel="0" max="4" min="4" style="1" width="35.6"/>
    <col collapsed="false" customWidth="true" hidden="false" outlineLevel="0" max="5" min="5" style="1" width="24.4"/>
    <col collapsed="false" customWidth="true" hidden="false" outlineLevel="0" max="6" min="6" style="1" width="16.56"/>
  </cols>
  <sheetData>
    <row r="1" customFormat="false" ht="19.5" hidden="false" customHeight="true" outlineLevel="0" collapsed="false">
      <c r="A1" s="2" t="s">
        <v>10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  <row r="2" customFormat="false" ht="19.5" hidden="false" customHeight="true" outlineLevel="0" collapsed="false">
      <c r="A2" s="3" t="s">
        <v>18</v>
      </c>
      <c r="B2" s="3" t="s">
        <v>77</v>
      </c>
      <c r="C2" s="3" t="s">
        <v>78</v>
      </c>
      <c r="D2" s="3" t="s">
        <v>79</v>
      </c>
      <c r="E2" s="5" t="n">
        <v>46213</v>
      </c>
      <c r="F2" s="3" t="s">
        <v>80</v>
      </c>
    </row>
    <row r="3" customFormat="false" ht="19.5" hidden="false" customHeight="true" outlineLevel="0" collapsed="false">
      <c r="A3" s="3" t="s">
        <v>24</v>
      </c>
      <c r="B3" s="3" t="s">
        <v>81</v>
      </c>
      <c r="C3" s="3" t="s">
        <v>78</v>
      </c>
      <c r="D3" s="3" t="s">
        <v>82</v>
      </c>
      <c r="E3" s="5" t="n">
        <v>46213</v>
      </c>
      <c r="F3" s="3" t="s">
        <v>80</v>
      </c>
    </row>
    <row r="4" customFormat="false" ht="19.5" hidden="false" customHeight="true" outlineLevel="0" collapsed="false">
      <c r="A4" s="3" t="s">
        <v>28</v>
      </c>
      <c r="B4" s="3" t="s">
        <v>83</v>
      </c>
      <c r="C4" s="3" t="s">
        <v>78</v>
      </c>
      <c r="D4" s="3" t="s">
        <v>84</v>
      </c>
      <c r="E4" s="5" t="n">
        <v>46213</v>
      </c>
      <c r="F4" s="3" t="s">
        <v>80</v>
      </c>
    </row>
    <row r="5" customFormat="false" ht="19.5" hidden="false" customHeight="true" outlineLevel="0" collapsed="false">
      <c r="A5" s="3" t="s">
        <v>33</v>
      </c>
      <c r="B5" s="3" t="s">
        <v>85</v>
      </c>
      <c r="C5" s="3" t="s">
        <v>78</v>
      </c>
      <c r="D5" s="3" t="s">
        <v>86</v>
      </c>
      <c r="E5" s="5" t="n">
        <v>46213</v>
      </c>
      <c r="F5" s="3" t="s">
        <v>80</v>
      </c>
    </row>
    <row r="6" customFormat="false" ht="19.5" hidden="false" customHeight="true" outlineLevel="0" collapsed="false">
      <c r="A6" s="3" t="s">
        <v>37</v>
      </c>
      <c r="B6" s="3" t="s">
        <v>87</v>
      </c>
      <c r="C6" s="3" t="s">
        <v>78</v>
      </c>
      <c r="D6" s="3" t="s">
        <v>82</v>
      </c>
      <c r="E6" s="5" t="n">
        <v>46213</v>
      </c>
      <c r="F6" s="3" t="s">
        <v>88</v>
      </c>
    </row>
    <row r="7" customFormat="false" ht="19.5" hidden="false" customHeight="true" outlineLevel="0" collapsed="false">
      <c r="A7" s="3" t="s">
        <v>41</v>
      </c>
      <c r="B7" s="3" t="s">
        <v>89</v>
      </c>
      <c r="C7" s="3" t="s">
        <v>78</v>
      </c>
      <c r="D7" s="3" t="s">
        <v>82</v>
      </c>
      <c r="E7" s="5" t="n">
        <v>46213</v>
      </c>
      <c r="F7" s="3" t="s">
        <v>88</v>
      </c>
    </row>
    <row r="8" customFormat="false" ht="19.5" hidden="false" customHeight="true" outlineLevel="0" collapsed="false">
      <c r="A8" s="3" t="s">
        <v>44</v>
      </c>
      <c r="B8" s="3" t="s">
        <v>90</v>
      </c>
      <c r="C8" s="3" t="s">
        <v>78</v>
      </c>
      <c r="D8" s="3" t="s">
        <v>82</v>
      </c>
      <c r="E8" s="5" t="n">
        <v>46213</v>
      </c>
      <c r="F8" s="3" t="s">
        <v>88</v>
      </c>
    </row>
    <row r="9" customFormat="false" ht="19.5" hidden="false" customHeight="true" outlineLevel="0" collapsed="false">
      <c r="A9" s="3" t="s">
        <v>47</v>
      </c>
      <c r="B9" s="3" t="s">
        <v>91</v>
      </c>
      <c r="C9" s="3" t="s">
        <v>78</v>
      </c>
      <c r="D9" s="3" t="s">
        <v>82</v>
      </c>
      <c r="E9" s="5" t="n">
        <v>46213</v>
      </c>
      <c r="F9" s="3" t="s">
        <v>88</v>
      </c>
    </row>
    <row r="10" customFormat="false" ht="19.5" hidden="false" customHeight="true" outlineLevel="0" collapsed="false">
      <c r="A10" s="3" t="s">
        <v>50</v>
      </c>
      <c r="B10" s="3" t="s">
        <v>92</v>
      </c>
      <c r="C10" s="3" t="s">
        <v>78</v>
      </c>
      <c r="D10" s="3" t="s">
        <v>93</v>
      </c>
      <c r="E10" s="5" t="n">
        <v>46213</v>
      </c>
      <c r="F10" s="3" t="s">
        <v>88</v>
      </c>
    </row>
    <row r="11" customFormat="false" ht="19.5" hidden="false" customHeight="true" outlineLevel="0" collapsed="false">
      <c r="A11" s="3" t="s">
        <v>53</v>
      </c>
      <c r="B11" s="3" t="s">
        <v>83</v>
      </c>
      <c r="C11" s="3" t="s">
        <v>78</v>
      </c>
      <c r="D11" s="3" t="s">
        <v>84</v>
      </c>
      <c r="E11" s="5" t="n">
        <v>46213</v>
      </c>
      <c r="F11" s="3" t="s">
        <v>88</v>
      </c>
    </row>
    <row r="12" customFormat="false" ht="19.5" hidden="false" customHeight="true" outlineLevel="0" collapsed="false">
      <c r="A12" s="3" t="s">
        <v>57</v>
      </c>
      <c r="B12" s="3" t="s">
        <v>94</v>
      </c>
      <c r="C12" s="3" t="s">
        <v>78</v>
      </c>
      <c r="D12" s="3" t="s">
        <v>82</v>
      </c>
      <c r="E12" s="5" t="n">
        <v>46213</v>
      </c>
      <c r="F12" s="3" t="s">
        <v>88</v>
      </c>
    </row>
    <row r="13" customFormat="false" ht="19.5" hidden="false" customHeight="true" outlineLevel="0" collapsed="false">
      <c r="A13" s="3" t="s">
        <v>60</v>
      </c>
      <c r="B13" s="3" t="s">
        <v>95</v>
      </c>
      <c r="C13" s="3" t="s">
        <v>78</v>
      </c>
      <c r="D13" s="3" t="s">
        <v>82</v>
      </c>
      <c r="E13" s="5" t="n">
        <v>46213</v>
      </c>
      <c r="F13" s="3" t="s">
        <v>88</v>
      </c>
    </row>
    <row r="14" customFormat="false" ht="19.5" hidden="false" customHeight="true" outlineLevel="0" collapsed="false">
      <c r="A14" s="3" t="s">
        <v>63</v>
      </c>
      <c r="B14" s="3" t="s">
        <v>77</v>
      </c>
      <c r="C14" s="3" t="s">
        <v>78</v>
      </c>
      <c r="D14" s="3" t="s">
        <v>79</v>
      </c>
      <c r="E14" s="5" t="n">
        <v>46213</v>
      </c>
      <c r="F14" s="3" t="s">
        <v>88</v>
      </c>
    </row>
    <row r="15" customFormat="false" ht="19.5" hidden="false" customHeight="true" outlineLevel="0" collapsed="false">
      <c r="A15" s="3" t="s">
        <v>65</v>
      </c>
      <c r="B15" s="3" t="s">
        <v>96</v>
      </c>
      <c r="C15" s="3" t="s">
        <v>78</v>
      </c>
      <c r="D15" s="3" t="s">
        <v>82</v>
      </c>
      <c r="E15" s="5" t="n">
        <v>46213</v>
      </c>
      <c r="F15" s="3" t="s">
        <v>88</v>
      </c>
    </row>
    <row r="16" customFormat="false" ht="19.5" hidden="false" customHeight="true" outlineLevel="0" collapsed="false">
      <c r="A16" s="3" t="s">
        <v>68</v>
      </c>
      <c r="B16" s="3" t="s">
        <v>97</v>
      </c>
      <c r="C16" s="3" t="s">
        <v>78</v>
      </c>
      <c r="D16" s="3" t="s">
        <v>93</v>
      </c>
      <c r="E16" s="5" t="n">
        <v>46213</v>
      </c>
      <c r="F16" s="3" t="s">
        <v>80</v>
      </c>
    </row>
  </sheetData>
  <autoFilter ref="A1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0"/>
    <col collapsed="false" customWidth="true" hidden="false" outlineLevel="0" max="5" min="5" style="1" width="23"/>
  </cols>
  <sheetData>
    <row r="1" customFormat="false" ht="19.5" hidden="false" customHeight="true" outlineLevel="0" collapsed="false">
      <c r="A1" s="6" t="s">
        <v>12</v>
      </c>
      <c r="B1" s="6" t="s">
        <v>98</v>
      </c>
      <c r="C1" s="6" t="s">
        <v>99</v>
      </c>
      <c r="D1" s="6" t="s">
        <v>100</v>
      </c>
      <c r="E1" s="6" t="s">
        <v>101</v>
      </c>
    </row>
    <row r="2" customFormat="false" ht="19.5" hidden="false" customHeight="true" outlineLevel="0" collapsed="false">
      <c r="A2" s="7" t="s">
        <v>20</v>
      </c>
      <c r="B2" s="8" t="n">
        <v>1</v>
      </c>
      <c r="C2" s="8" t="n">
        <v>0</v>
      </c>
      <c r="D2" s="8" t="n">
        <v>1</v>
      </c>
      <c r="E2" s="7" t="s">
        <v>102</v>
      </c>
    </row>
    <row r="3" customFormat="false" ht="19.5" hidden="false" customHeight="true" outlineLevel="0" collapsed="false">
      <c r="A3" s="7" t="s">
        <v>35</v>
      </c>
      <c r="B3" s="8" t="n">
        <v>0</v>
      </c>
      <c r="C3" s="8" t="n">
        <v>0</v>
      </c>
      <c r="D3" s="8" t="n">
        <v>1</v>
      </c>
      <c r="E3" s="7" t="s">
        <v>103</v>
      </c>
    </row>
    <row r="4" customFormat="false" ht="19.5" hidden="false" customHeight="true" outlineLevel="0" collapsed="false">
      <c r="A4" s="7" t="s">
        <v>46</v>
      </c>
      <c r="B4" s="8" t="n">
        <v>0</v>
      </c>
      <c r="C4" s="8" t="n">
        <v>1</v>
      </c>
      <c r="D4" s="8" t="n">
        <v>0</v>
      </c>
      <c r="E4" s="7" t="s">
        <v>104</v>
      </c>
    </row>
    <row r="5" customFormat="false" ht="19.5" hidden="false" customHeight="true" outlineLevel="0" collapsed="false">
      <c r="A5" s="7" t="s">
        <v>49</v>
      </c>
      <c r="B5" s="8" t="n">
        <v>0</v>
      </c>
      <c r="C5" s="8" t="n">
        <v>1</v>
      </c>
      <c r="D5" s="8" t="n">
        <v>0</v>
      </c>
      <c r="E5" s="7" t="s">
        <v>105</v>
      </c>
    </row>
    <row r="6" customFormat="false" ht="19.5" hidden="false" customHeight="true" outlineLevel="0" collapsed="false">
      <c r="A6" s="7" t="s">
        <v>26</v>
      </c>
      <c r="B6" s="8" t="n">
        <v>0</v>
      </c>
      <c r="C6" s="8" t="n">
        <v>0</v>
      </c>
      <c r="D6" s="8" t="n">
        <v>1</v>
      </c>
      <c r="E6" s="7" t="s">
        <v>106</v>
      </c>
    </row>
    <row r="7" customFormat="false" ht="19.5" hidden="false" customHeight="true" outlineLevel="0" collapsed="false">
      <c r="A7" s="7" t="s">
        <v>62</v>
      </c>
      <c r="B7" s="8" t="n">
        <v>1</v>
      </c>
      <c r="C7" s="8" t="n">
        <v>0</v>
      </c>
      <c r="D7" s="8" t="n">
        <v>0</v>
      </c>
      <c r="E7" s="7" t="s">
        <v>107</v>
      </c>
    </row>
    <row r="8" customFormat="false" ht="19.5" hidden="false" customHeight="true" outlineLevel="0" collapsed="false">
      <c r="A8" s="7" t="s">
        <v>43</v>
      </c>
      <c r="B8" s="8" t="n">
        <v>0</v>
      </c>
      <c r="C8" s="8" t="n">
        <v>1</v>
      </c>
      <c r="D8" s="8" t="n">
        <v>0</v>
      </c>
      <c r="E8" s="7" t="s">
        <v>108</v>
      </c>
    </row>
    <row r="9" customFormat="false" ht="19.5" hidden="false" customHeight="true" outlineLevel="0" collapsed="false">
      <c r="A9" s="7" t="s">
        <v>39</v>
      </c>
      <c r="B9" s="8" t="n">
        <v>0</v>
      </c>
      <c r="C9" s="8" t="n">
        <v>1</v>
      </c>
      <c r="D9" s="8" t="n">
        <v>0</v>
      </c>
      <c r="E9" s="7" t="s">
        <v>109</v>
      </c>
    </row>
    <row r="10" customFormat="false" ht="19.5" hidden="false" customHeight="true" outlineLevel="0" collapsed="false">
      <c r="A10" s="7" t="s">
        <v>52</v>
      </c>
      <c r="B10" s="8" t="n">
        <v>0</v>
      </c>
      <c r="C10" s="8" t="n">
        <v>1</v>
      </c>
      <c r="D10" s="8" t="n">
        <v>0</v>
      </c>
      <c r="E10" s="7" t="s">
        <v>110</v>
      </c>
    </row>
    <row r="11" customFormat="false" ht="19.5" hidden="false" customHeight="true" outlineLevel="0" collapsed="false">
      <c r="A11" s="7" t="s">
        <v>30</v>
      </c>
      <c r="B11" s="8" t="n">
        <v>1</v>
      </c>
      <c r="C11" s="8" t="n">
        <v>0</v>
      </c>
      <c r="D11" s="8" t="n">
        <v>1</v>
      </c>
      <c r="E11" s="7" t="s">
        <v>111</v>
      </c>
    </row>
    <row r="12" customFormat="false" ht="19.5" hidden="false" customHeight="true" outlineLevel="0" collapsed="false">
      <c r="A12" s="7" t="s">
        <v>67</v>
      </c>
      <c r="B12" s="8" t="n">
        <v>1</v>
      </c>
      <c r="C12" s="8" t="n">
        <v>0</v>
      </c>
      <c r="D12" s="8" t="n">
        <v>0</v>
      </c>
      <c r="E12" s="7" t="s">
        <v>112</v>
      </c>
    </row>
    <row r="13" customFormat="false" ht="19.5" hidden="false" customHeight="true" outlineLevel="0" collapsed="false">
      <c r="A13" s="7" t="s">
        <v>70</v>
      </c>
      <c r="B13" s="8" t="n">
        <v>0</v>
      </c>
      <c r="C13" s="8" t="n">
        <v>0</v>
      </c>
      <c r="D13" s="8" t="n">
        <v>1</v>
      </c>
      <c r="E13" s="7" t="s">
        <v>113</v>
      </c>
    </row>
    <row r="14" customFormat="false" ht="19.5" hidden="false" customHeight="true" outlineLevel="0" collapsed="false">
      <c r="A14" s="7" t="s">
        <v>59</v>
      </c>
      <c r="B14" s="8" t="n">
        <v>1</v>
      </c>
      <c r="C14" s="8" t="n">
        <v>0</v>
      </c>
      <c r="D14" s="8" t="n">
        <v>0</v>
      </c>
      <c r="E14" s="7" t="s">
        <v>114</v>
      </c>
    </row>
  </sheetData>
  <autoFilter ref="A1:D14"/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.48"/>
    <col collapsed="false" customWidth="true" hidden="false" outlineLevel="0" max="2" min="2" style="1" width="48"/>
    <col collapsed="false" customWidth="true" hidden="false" outlineLevel="0" max="3" min="3" style="1" width="12"/>
    <col collapsed="false" customWidth="true" hidden="false" outlineLevel="0" max="4" min="4" style="1" width="37"/>
  </cols>
  <sheetData>
    <row r="1" customFormat="false" ht="19.5" hidden="false" customHeight="true" outlineLevel="0" collapsed="false">
      <c r="A1" s="2" t="s">
        <v>115</v>
      </c>
      <c r="B1" s="2" t="s">
        <v>116</v>
      </c>
      <c r="C1" s="2" t="s">
        <v>117</v>
      </c>
      <c r="D1" s="2" t="s">
        <v>118</v>
      </c>
    </row>
    <row r="2" customFormat="false" ht="19.5" hidden="false" customHeight="true" outlineLevel="0" collapsed="false">
      <c r="A2" s="3" t="s">
        <v>119</v>
      </c>
      <c r="B2" s="3" t="n">
        <f aca="false">COUNTA(Exception_Handoff!A2:A16)</f>
        <v>15</v>
      </c>
      <c r="C2" s="4" t="n">
        <v>15</v>
      </c>
      <c r="D2" s="3" t="str">
        <f aca="false">IF(B2=C2,"PASS","CHECK")</f>
        <v>PASS</v>
      </c>
    </row>
    <row r="3" customFormat="false" ht="19.5" hidden="false" customHeight="true" outlineLevel="0" collapsed="false">
      <c r="A3" s="3" t="s">
        <v>120</v>
      </c>
      <c r="B3" s="3" t="n">
        <f aca="false">SUMPRODUCT(1/COUNTIF(Exception_Handoff!A2:A16,Exception_Handoff!A2:A16))</f>
        <v>15</v>
      </c>
      <c r="C3" s="4" t="n">
        <v>15</v>
      </c>
      <c r="D3" s="3" t="str">
        <f aca="false">IF(ROUND(B3,0)=C3,"PASS","CHECK")</f>
        <v>PASS</v>
      </c>
    </row>
    <row r="4" customFormat="false" ht="19.5" hidden="false" customHeight="true" outlineLevel="0" collapsed="false">
      <c r="A4" s="3" t="s">
        <v>121</v>
      </c>
      <c r="B4" s="3" t="n">
        <f aca="false">COUNTIF(Exception_Handoff!C2:C16,"SUBSTITUTION_REVIEW")</f>
        <v>1</v>
      </c>
      <c r="C4" s="4" t="n">
        <v>1</v>
      </c>
      <c r="D4" s="3" t="str">
        <f aca="false">IF(B4=C4,"PASS","CHECK")</f>
        <v>PASS</v>
      </c>
    </row>
    <row r="5" customFormat="false" ht="15" hidden="false" customHeight="false" outlineLevel="0" collapsed="false">
      <c r="A5" s="3" t="s">
        <v>122</v>
      </c>
      <c r="B5" s="3" t="n">
        <f aca="false">SUM(Exception_Handoff!F2:F16)</f>
        <v>63</v>
      </c>
      <c r="C5" s="4" t="n">
        <v>63</v>
      </c>
      <c r="D5" s="3" t="str">
        <f aca="false">IF(B5=C5,"PASS","CHECK")</f>
        <v>PASS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Warranty correspondence operations</cp:category>
  <dcterms:created xsi:type="dcterms:W3CDTF">2026-07-16T01:11:04Z</dcterms:created>
  <dc:creator>Northstar Home Goods warranty correspondence operations</dc:creator>
  <dc:description>Supervisor handoff chart and exception aging controls</dc:description>
  <cp:keywords>warranty correspondence merchandise request closeout</cp:keywords>
  <dc:language>en-US</dc:language>
  <cp:lastModifiedBy/>
  <dcterms:modified xsi:type="dcterms:W3CDTF">2026-07-16T01:42:42Z</dcterms:modified>
  <cp:revision>4</cp:revision>
  <dc:subject>Supervisor handoff chart and exception aging controls</dc:subject>
  <dc:title>Exception aging handoff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