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ction_Register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Status_History" sheetId="6" state="visible" r:id="rId6"/>
    <sheet xmlns:r="http://schemas.openxmlformats.org/officeDocument/2006/relationships" name="Checkpoint Summary" sheetId="7" state="visible" r:id="rId7"/>
    <sheet xmlns:r="http://schemas.openxmlformats.org/officeDocument/2006/relationships" name="Schedule_Chart_Data" sheetId="8" state="visible" r:id="rId8"/>
  </sheets>
  <definedNames>
    <definedName name="OwnerList">'Read_Me'!$A$9:$A$13</definedName>
    <definedName name="ChannelList">'Read_Me'!$B$9:$B$12</definedName>
    <definedName name="ScheduleStatusList">'Read_Me'!$C$9:$C$14</definedName>
    <definedName name="DependencyStateList">'Read_Me'!$D$9:$D$10</definedName>
    <definedName name="ScheduleExceptionRouteList">'Read_Me'!$E$9:$E$14</definedName>
    <definedName name="_xlnm._FilterDatabase" localSheetId="1" hidden="1">'Action_Register'!$A$1:$T$29</definedName>
    <definedName name="_xlnm._FilterDatabase" localSheetId="3" hidden="1">'Dependencies'!$A$1:$G$29</definedName>
    <definedName name="_xlnm.Print_Area" localSheetId="3">'Dependencies'!$A$1:$K$56</definedName>
    <definedName name="_xlnm.Print_Area" localSheetId="4">'Capacity'!$A$1:$K$52</definedName>
    <definedName name="_xlnm.Print_Area" localSheetId="6">'Checkpoint Summary'!$A$1:$K$62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mm/dd/yy\ hh:mm\ AM/PM"/>
    <numFmt numFmtId="166" formatCode="yyyy\-mm\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72C46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72C46"/>
        <bgColor rgb="FF333333"/>
      </patternFill>
    </fill>
    <fill>
      <patternFill patternType="solid">
        <fgColor rgb="00174EA6"/>
      </patternFill>
    </fill>
  </fills>
  <borders count="2">
    <border>
      <left/>
      <right/>
      <top/>
      <bottom/>
      <diagonal/>
    </border>
    <border>
      <left style="thin">
        <color rgb="FFB8C5C3"/>
      </left>
      <right style="thin">
        <color rgb="FFB8C5C3"/>
      </right>
      <top style="thin">
        <color rgb="FFB8C5C3"/>
      </top>
      <bottom style="thin">
        <color rgb="FFB8C5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9" fillId="3" borderId="0" pivotButton="0" quotePrefix="0" xfId="0"/>
    <xf numFmtId="0" fontId="5" fillId="0" borderId="1" applyAlignment="1" applyProtection="1" pivotButton="0" quotePrefix="0" xfId="0">
      <alignment horizontal="center" vertical="center"/>
      <protection locked="0" hidden="0"/>
    </xf>
    <xf numFmtId="164" fontId="5" fillId="0" borderId="1" applyAlignment="1" applyProtection="1" pivotButton="0" quotePrefix="0" xfId="0">
      <alignment horizontal="center" vertical="center"/>
      <protection locked="0" hidden="0"/>
    </xf>
    <xf numFmtId="166" fontId="5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72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A7D8C"/>
      <rgbColor rgb="FFB8C5C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22B"/>
      <rgbColor rgb="FFFF6600"/>
      <rgbColor rgb="FF6B5B95"/>
      <rgbColor rgb="FF969696"/>
      <rgbColor rgb="FF172C46"/>
      <rgbColor rgb="FF2E7D5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Dependency Readiness by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Schedule_Chart_Data!H10</f>
              <strCache>
                <ptCount val="1"/>
                <pt idx="0">
                  <v>Ready</v>
                </pt>
              </strCache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0">
              <a:solidFill>
                <a:srgbClr val="1f4e78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Schedule_Chart_Data!$G$11:$G$14</f>
              <strCache>
                <ptCount val="4"/>
                <pt idx="0">
                  <v>Approval</v>
                </pt>
                <pt idx="1">
                  <v>Case</v>
                </pt>
                <pt idx="2">
                  <v>Contact</v>
                </pt>
                <pt idx="3">
                  <v>Offer</v>
                </pt>
              </strCache>
            </strRef>
          </cat>
          <val>
            <numRef>
              <f>Schedule_Chart_Data!$H$11:$H$14</f>
              <numCache>
                <formatCode>General</formatCode>
                <ptCount val="4"/>
                <pt idx="0">
                  <v>0</v>
                </pt>
                <pt idx="1">
                  <v>3</v>
                </pt>
                <pt idx="2">
                  <v>0</v>
                </pt>
                <pt idx="3">
                  <v>21</v>
                </pt>
              </numCache>
            </numRef>
          </val>
        </ser>
        <ser>
          <idx val="1"/>
          <order val="1"/>
          <tx>
            <strRef>
              <f>Schedule_Chart_Data!I10</f>
              <strCache>
                <ptCount val="1"/>
                <pt idx="0">
                  <v>Blocked</v>
                </pt>
              </strCache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 w="0">
              <a:solidFill>
                <a:srgbClr val="2e7d5b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Schedule_Chart_Data!$G$11:$G$14</f>
              <strCache>
                <ptCount val="4"/>
                <pt idx="0">
                  <v>Approval</v>
                </pt>
                <pt idx="1">
                  <v>Case</v>
                </pt>
                <pt idx="2">
                  <v>Contact</v>
                </pt>
                <pt idx="3">
                  <v>Offer</v>
                </pt>
              </strCache>
            </strRef>
          </cat>
          <val>
            <numRef>
              <f>Schedule_Chart_Data!$I$11:$I$14</f>
              <numCache>
                <formatCode>General</formatCode>
                <ptCount val="4"/>
                <pt idx="0">
                  <v>0</v>
                </pt>
                <pt idx="1">
                  <v>1</v>
                </pt>
                <pt idx="2">
                  <v>3</v>
                </pt>
                <pt idx="3">
                  <v>0</v>
                </pt>
              </numCache>
            </numRef>
          </val>
        </ser>
        <gapWidth val="150"/>
        <overlap val="0"/>
        <axId val="42775459"/>
        <axId val="37920659"/>
      </barChart>
      <catAx>
        <axId val="4277545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7920659"/>
        <crosses val="autoZero"/>
        <auto val="1"/>
        <lblAlgn val="ctr"/>
        <lblOffset val="100"/>
        <noMultiLvlLbl val="0"/>
      </catAx>
      <valAx>
        <axId val="37920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277545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Owner Workload vs Capacity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Schedule_Chart_Data!B10</f>
              <strCache>
                <ptCount val="1"/>
                <pt idx="0">
                  <v>Scheduled tasks</v>
                </pt>
              </strCache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0">
              <a:solidFill>
                <a:srgbClr val="1f4e78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Schedule_Chart_Data!$A$11:$A$15</f>
              <strCache>
                <ptCount val="5"/>
                <pt idx="0">
                  <v>Devon Brooks</v>
                </pt>
                <pt idx="1">
                  <v>Jordan Patel</v>
                </pt>
                <pt idx="2">
                  <v>Luis Romero</v>
                </pt>
                <pt idx="3">
                  <v>Maya Chen</v>
                </pt>
                <pt idx="4">
                  <v>Priya Nair</v>
                </pt>
              </strCache>
            </strRef>
          </cat>
          <val>
            <numRef>
              <f>Schedule_Chart_Data!$B$11:$B$15</f>
              <numCache>
                <formatCode>General</formatCode>
                <ptCount val="5"/>
                <pt idx="0">
                  <v>5</v>
                </pt>
                <pt idx="1">
                  <v>7</v>
                </pt>
                <pt idx="2">
                  <v>5</v>
                </pt>
                <pt idx="3">
                  <v>6</v>
                </pt>
                <pt idx="4">
                  <v>5</v>
                </pt>
              </numCache>
            </numRef>
          </val>
        </ser>
        <ser>
          <idx val="1"/>
          <order val="1"/>
          <tx>
            <strRef>
              <f>Schedule_Chart_Data!C10</f>
              <strCache>
                <ptCount val="1"/>
                <pt idx="0">
                  <v>Duration hours</v>
                </pt>
              </strCache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 w="0">
              <a:solidFill>
                <a:srgbClr val="2e7d5b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Schedule_Chart_Data!$A$11:$A$15</f>
              <strCache>
                <ptCount val="5"/>
                <pt idx="0">
                  <v>Devon Brooks</v>
                </pt>
                <pt idx="1">
                  <v>Jordan Patel</v>
                </pt>
                <pt idx="2">
                  <v>Luis Romero</v>
                </pt>
                <pt idx="3">
                  <v>Maya Chen</v>
                </pt>
                <pt idx="4">
                  <v>Priya Nair</v>
                </pt>
              </strCache>
            </strRef>
          </cat>
          <val>
            <numRef>
              <f>Schedule_Chart_Data!$C$11:$C$15</f>
              <numCache>
                <formatCode>General</formatCode>
                <ptCount val="5"/>
                <pt idx="0">
                  <v>2.3</v>
                </pt>
                <pt idx="1">
                  <v>3.5</v>
                </pt>
                <pt idx="2">
                  <v>2.5</v>
                </pt>
                <pt idx="3">
                  <v>2.7</v>
                </pt>
                <pt idx="4">
                  <v>2.4</v>
                </pt>
              </numCache>
            </numRef>
          </val>
        </ser>
        <ser>
          <idx val="2"/>
          <order val="2"/>
          <tx>
            <strRef>
              <f>Schedule_Chart_Data!D10</f>
              <strCache>
                <ptCount val="1"/>
                <pt idx="0">
                  <v>Available slots</v>
                </pt>
              </strCache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 w="0">
              <a:solidFill>
                <a:srgbClr val="d9822b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Schedule_Chart_Data!$A$11:$A$15</f>
              <strCache>
                <ptCount val="5"/>
                <pt idx="0">
                  <v>Devon Brooks</v>
                </pt>
                <pt idx="1">
                  <v>Jordan Patel</v>
                </pt>
                <pt idx="2">
                  <v>Luis Romero</v>
                </pt>
                <pt idx="3">
                  <v>Maya Chen</v>
                </pt>
                <pt idx="4">
                  <v>Priya Nair</v>
                </pt>
              </strCache>
            </strRef>
          </cat>
          <val>
            <numRef>
              <f>Schedule_Chart_Data!$D$11:$D$15</f>
              <numCache>
                <formatCode>General</formatCode>
                <ptCount val="5"/>
                <pt idx="0">
                  <v>8</v>
                </pt>
                <pt idx="1">
                  <v>8</v>
                </pt>
                <pt idx="2">
                  <v>8</v>
                </pt>
                <pt idx="3">
                  <v>8</v>
                </pt>
                <pt idx="4">
                  <v>8</v>
                </pt>
              </numCache>
            </numRef>
          </val>
        </ser>
        <gapWidth val="150"/>
        <overlap val="0"/>
        <axId val="41980807"/>
        <axId val="90850870"/>
      </barChart>
      <catAx>
        <axId val="4198080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0850870"/>
        <crosses val="autoZero"/>
        <auto val="1"/>
        <lblAlgn val="ctr"/>
        <lblOffset val="100"/>
        <noMultiLvlLbl val="0"/>
      </catAx>
      <valAx>
        <axId val="908508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198080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Buffer Pressure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Schedule_Chart_Data!F20</f>
              <strCache>
                <ptCount val="1"/>
                <pt idx="0">
                  <v>Scheduled hours</v>
                </pt>
              </strCache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 w="28440">
              <a:solidFill>
                <a:srgbClr val="2e7d5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Schedule_Chart_Data!$E$21:$E$27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Schedule_Chart_Data!$F$21:$F$27</f>
              <numCache>
                <formatCode>General</formatCode>
                <ptCount val="7"/>
                <pt idx="0">
                  <v>3.25</v>
                </pt>
                <pt idx="1">
                  <v>1.33</v>
                </pt>
                <pt idx="2">
                  <v>2.5</v>
                </pt>
                <pt idx="3">
                  <v>2.58</v>
                </pt>
                <pt idx="4">
                  <v>2.33</v>
                </pt>
                <pt idx="5">
                  <v>1.08</v>
                </pt>
                <pt idx="6">
                  <v>0.33</v>
                </pt>
              </numCache>
            </numRef>
          </val>
          <smooth val="1"/>
        </ser>
        <ser>
          <idx val="1"/>
          <order val="1"/>
          <tx>
            <strRef>
              <f>Schedule_Chart_Data!G20</f>
              <strCache>
                <ptCount val="1"/>
                <pt idx="0">
                  <v>Available hours</v>
                </pt>
              </strCache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 w="28440">
              <a:solidFill>
                <a:srgbClr val="d9822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Schedule_Chart_Data!$E$21:$E$27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Schedule_Chart_Data!$G$21:$G$27</f>
              <numCache>
                <formatCode>General</formatCode>
                <ptCount val="7"/>
                <pt idx="0">
                  <v>7.5</v>
                </pt>
                <pt idx="1">
                  <v>7.5</v>
                </pt>
                <pt idx="2">
                  <v>7.5</v>
                </pt>
                <pt idx="3">
                  <v>7.5</v>
                </pt>
                <pt idx="4">
                  <v>7.5</v>
                </pt>
                <pt idx="5">
                  <v>7.5</v>
                </pt>
                <pt idx="6">
                  <v>7.5</v>
                </pt>
              </numCache>
            </numRef>
          </val>
          <smooth val="1"/>
        </ser>
        <ser>
          <idx val="2"/>
          <order val="2"/>
          <tx>
            <strRef>
              <f>Schedule_Chart_Data!H20</f>
              <strCache>
                <ptCount val="1"/>
                <pt idx="0">
                  <v>Buffer hours</v>
                </pt>
              </strCache>
            </strRef>
          </tx>
          <spPr>
            <a:solidFill xmlns:a="http://schemas.openxmlformats.org/drawingml/2006/main">
              <a:srgbClr val="6b5b95"/>
            </a:solidFill>
            <a:ln xmlns:a="http://schemas.openxmlformats.org/drawingml/2006/main" w="28440">
              <a:solidFill>
                <a:srgbClr val="6b5b9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Schedule_Chart_Data!$E$21:$E$27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Schedule_Chart_Data!$H$21:$H$27</f>
              <numCache>
                <formatCode>General</formatCode>
                <ptCount val="7"/>
                <pt idx="0">
                  <v>4.25</v>
                </pt>
                <pt idx="1">
                  <v>6.17</v>
                </pt>
                <pt idx="2">
                  <v>5</v>
                </pt>
                <pt idx="3">
                  <v>4.92</v>
                </pt>
                <pt idx="4">
                  <v>5.17</v>
                </pt>
                <pt idx="5">
                  <v>6.42</v>
                </pt>
                <pt idx="6">
                  <v>7.17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8603017"/>
        <axId val="66746649"/>
      </lineChart>
      <catAx>
        <axId val="38603017"/>
        <scaling>
          <orientation val="minMax"/>
        </scaling>
        <delete val="0"/>
        <axPos val="b"/>
        <numFmt formatCode="yyyy\-mm\-dd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6746649"/>
        <crosses val="autoZero"/>
        <auto val="1"/>
        <lblAlgn val="ctr"/>
        <lblOffset val="100"/>
        <noMultiLvlLbl val="0"/>
      </catAx>
      <valAx>
        <axId val="6674664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860301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Scheduled Accounts by Day and Priority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Schedule_Chart_Data!B1</f>
              <strCache>
                <ptCount val="1"/>
                <pt idx="0">
                  <v>Tier 1</v>
                </pt>
              </strCache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0">
              <a:solidFill>
                <a:srgbClr val="1f4e78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Schedule_Chart_Data!$A$2:$A$8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Schedule_Chart_Data!$B$2:$B$8</f>
              <numCache>
                <formatCode>General</formatCode>
                <ptCount val="7"/>
                <pt idx="0">
                  <v>2</v>
                </pt>
                <pt idx="1">
                  <v>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Schedule_Chart_Data!C1</f>
              <strCache>
                <ptCount val="1"/>
                <pt idx="0">
                  <v>Tier 2</v>
                </pt>
              </strCache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 w="0">
              <a:solidFill>
                <a:srgbClr val="2e7d5b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Schedule_Chart_Data!$A$2:$A$8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Schedule_Chart_Data!$C$2:$C$8</f>
              <numCache>
                <formatCode>General</formatCode>
                <ptCount val="7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Schedule_Chart_Data!D1</f>
              <strCache>
                <ptCount val="1"/>
                <pt idx="0">
                  <v>Tier 3</v>
                </pt>
              </strCache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 w="0">
              <a:solidFill>
                <a:srgbClr val="d9822b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Schedule_Chart_Data!$A$2:$A$8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Schedule_Chart_Data!$D$2:$D$8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3</v>
                </pt>
                <pt idx="4">
                  <v>4</v>
                </pt>
                <pt idx="5">
                  <v>3</v>
                </pt>
                <pt idx="6">
                  <v>1</v>
                </pt>
              </numCache>
            </numRef>
          </val>
        </ser>
        <ser>
          <idx val="3"/>
          <order val="3"/>
          <tx>
            <strRef>
              <f>Schedule_Chart_Data!E1</f>
              <strCache>
                <ptCount val="1"/>
                <pt idx="0">
                  <v>Controlled exception/hold</v>
                </pt>
              </strCache>
            </strRef>
          </tx>
          <spPr>
            <a:solidFill xmlns:a="http://schemas.openxmlformats.org/drawingml/2006/main">
              <a:srgbClr val="6b5b95"/>
            </a:solidFill>
            <a:ln xmlns:a="http://schemas.openxmlformats.org/drawingml/2006/main" w="0">
              <a:solidFill>
                <a:srgbClr val="6b5b95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Schedule_Chart_Data!$A$2:$A$8</f>
              <strCache>
                <ptCount val="7"/>
                <pt idx="0">
                  <v>2026-07-17</v>
                </pt>
                <pt idx="1">
                  <v>2026-07-18</v>
                </pt>
                <pt idx="2">
                  <v>2026-07-20</v>
                </pt>
                <pt idx="3">
                  <v>2026-07-21</v>
                </pt>
                <pt idx="4">
                  <v>2026-07-22</v>
                </pt>
                <pt idx="5">
                  <v>2026-07-23</v>
                </pt>
                <pt idx="6">
                  <v>2026-07-24</v>
                </pt>
              </strCache>
            </strRef>
          </cat>
          <val>
            <numRef>
              <f>Schedule_Chart_Data!$E$2:$E$8</f>
              <numCache>
                <formatCode>General</formatCode>
                <ptCount val="7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0</v>
                </pt>
              </numCache>
            </numRef>
          </val>
        </ser>
        <gapWidth val="150"/>
        <overlap val="0"/>
        <axId val="18528208"/>
        <axId val="43895546"/>
      </barChart>
      <catAx>
        <axId val="18528208"/>
        <scaling>
          <orientation val="minMax"/>
        </scaling>
        <delete val="0"/>
        <axPos val="b"/>
        <numFmt formatCode="yyyy\-mm\-dd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3895546"/>
        <crosses val="autoZero"/>
        <auto val="1"/>
        <lblAlgn val="ctr"/>
        <lblOffset val="100"/>
        <noMultiLvlLbl val="0"/>
      </catAx>
      <valAx>
        <axId val="4389554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Action 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52820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Confirmation Funnel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Schedule_Chart_Data!B20</f>
              <strCache>
                <ptCount val="1"/>
                <pt idx="0">
                  <v>Actions</v>
                </pt>
              </strCache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 w="0">
              <a:solidFill>
                <a:srgbClr val="2e7d5b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Schedule_Chart_Data!$A$21:$A$26</f>
              <strCache>
                <ptCount val="6"/>
                <pt idx="0">
                  <v>Planned</v>
                </pt>
                <pt idx="1">
                  <v>Confirmed</v>
                </pt>
                <pt idx="2">
                  <v>Completed</v>
                </pt>
                <pt idx="3">
                  <v>Blocked</v>
                </pt>
                <pt idx="4">
                  <v>Rescheduled</v>
                </pt>
                <pt idx="5">
                  <v>Escalated</v>
                </pt>
              </strCache>
            </strRef>
          </cat>
          <val>
            <numRef>
              <f>Schedule_Chart_Data!$B$21:$B$26</f>
              <numCache>
                <formatCode>General</formatCode>
                <ptCount val="6"/>
                <pt idx="0">
                  <v>24</v>
                </pt>
                <pt idx="1">
                  <v>0</v>
                </pt>
                <pt idx="2">
                  <v>0</v>
                </pt>
                <pt idx="3">
                  <v>4</v>
                </pt>
                <pt idx="4">
                  <v>0</v>
                </pt>
                <pt idx="5">
                  <v>0</v>
                </pt>
              </numCache>
            </numRef>
          </val>
        </ser>
        <gapWidth val="150"/>
        <overlap val="0"/>
        <axId val="59564971"/>
        <axId val="56924448"/>
      </barChart>
      <catAx>
        <axId val="5956497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6924448"/>
        <crosses val="autoZero"/>
        <auto val="1"/>
        <lblAlgn val="ctr"/>
        <lblOffset val="100"/>
        <noMultiLvlLbl val="0"/>
      </catAx>
      <valAx>
        <axId val="569244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956497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Controlled Exception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Status_History!E1</f>
              <strCache>
                <ptCount val="1"/>
                <pt idx="0">
                  <v>Blocked</v>
                </pt>
              </strCache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 w="28440">
              <a:solidFill>
                <a:srgbClr val="d9822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Status_History!$A$2:$A$6</f>
              <strCache>
                <ptCount val="5"/>
                <pt idx="0">
                  <v>2026-07-17</v>
                </pt>
                <pt idx="1">
                  <v>2026-07-20</v>
                </pt>
                <pt idx="2">
                  <v>2026-07-21</v>
                </pt>
                <pt idx="3">
                  <v>2026-07-22</v>
                </pt>
                <pt idx="4">
                  <v>2026-07-24</v>
                </pt>
              </strCache>
            </strRef>
          </cat>
          <val>
            <numRef>
              <f>Status_History!$E$2:$E$6</f>
              <numCache>
                <formatCode>General</formatCode>
                <ptCount val="5"/>
                <pt idx="0">
                  <v>4</v>
                </pt>
                <pt idx="1">
                  <v>4</v>
                </pt>
                <pt idx="2">
                  <v>3</v>
                </pt>
                <pt idx="3">
                  <v>2</v>
                </pt>
                <pt idx="4">
                  <v>1</v>
                </pt>
              </numCache>
            </numRef>
          </val>
          <smooth val="1"/>
        </ser>
        <ser>
          <idx val="1"/>
          <order val="1"/>
          <tx>
            <strRef>
              <f>Status_History!F1</f>
              <strCache>
                <ptCount val="1"/>
                <pt idx="0">
                  <v>Rescheduled</v>
                </pt>
              </strCache>
            </strRef>
          </tx>
          <spPr>
            <a:solidFill xmlns:a="http://schemas.openxmlformats.org/drawingml/2006/main">
              <a:srgbClr val="6b5b95"/>
            </a:solidFill>
            <a:ln xmlns:a="http://schemas.openxmlformats.org/drawingml/2006/main" w="28440">
              <a:solidFill>
                <a:srgbClr val="6b5b9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Status_History!$A$2:$A$6</f>
              <strCache>
                <ptCount val="5"/>
                <pt idx="0">
                  <v>2026-07-17</v>
                </pt>
                <pt idx="1">
                  <v>2026-07-20</v>
                </pt>
                <pt idx="2">
                  <v>2026-07-21</v>
                </pt>
                <pt idx="3">
                  <v>2026-07-22</v>
                </pt>
                <pt idx="4">
                  <v>2026-07-24</v>
                </pt>
              </strCache>
            </strRef>
          </cat>
          <val>
            <numRef>
              <f>Status_History!$F$2:$F$6</f>
              <numCache>
                <formatCode>General</formatCode>
                <ptCount val="5"/>
                <pt idx="0">
                  <v>0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</numCache>
            </numRef>
          </val>
          <smooth val="1"/>
        </ser>
        <ser>
          <idx val="2"/>
          <order val="2"/>
          <tx>
            <strRef>
              <f>Status_History!G1</f>
              <strCache>
                <ptCount val="1"/>
                <pt idx="0">
                  <v>Escalated</v>
                </pt>
              </strCache>
            </strRef>
          </tx>
          <spPr>
            <a:solidFill xmlns:a="http://schemas.openxmlformats.org/drawingml/2006/main">
              <a:srgbClr val="3a7d8c"/>
            </a:solidFill>
            <a:ln xmlns:a="http://schemas.openxmlformats.org/drawingml/2006/main" w="28440">
              <a:solidFill>
                <a:srgbClr val="3a7d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Status_History!$A$2:$A$6</f>
              <strCache>
                <ptCount val="5"/>
                <pt idx="0">
                  <v>2026-07-17</v>
                </pt>
                <pt idx="1">
                  <v>2026-07-20</v>
                </pt>
                <pt idx="2">
                  <v>2026-07-21</v>
                </pt>
                <pt idx="3">
                  <v>2026-07-22</v>
                </pt>
                <pt idx="4">
                  <v>2026-07-24</v>
                </pt>
              </strCache>
            </strRef>
          </cat>
          <val>
            <numRef>
              <f>Status_History!$G$2:$G$6</f>
              <numCache>
                <formatCode>General</formatCode>
                <ptCount val="5"/>
                <pt idx="0">
                  <v>0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963232"/>
        <axId val="71494356"/>
      </lineChart>
      <catAx>
        <axId val="4963232"/>
        <scaling>
          <orientation val="minMax"/>
        </scaling>
        <delete val="0"/>
        <axPos val="b"/>
        <numFmt formatCode="yyyy\-mm\-dd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1494356"/>
        <crosses val="autoZero"/>
        <auto val="1"/>
        <lblAlgn val="ctr"/>
        <lblOffset val="100"/>
        <noMultiLvlLbl val="0"/>
      </catAx>
      <valAx>
        <axId val="714943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96323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32</row>
      <rowOff>0</rowOff>
    </from>
    <to>
      <col>3</col>
      <colOff>1648440</colOff>
      <row>47</row>
      <rowOff>21600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8</row>
      <rowOff>0</rowOff>
    </from>
    <to>
      <col>2</col>
      <colOff>1014120</colOff>
      <row>23</row>
      <rowOff>21600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28</row>
      <rowOff>0</rowOff>
    </from>
    <to>
      <col>2</col>
      <colOff>1014120</colOff>
      <row>43</row>
      <rowOff>21960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0</colOff>
      <row>1</row>
      <rowOff>0</rowOff>
    </from>
    <to>
      <col>10</col>
      <colOff>38520</colOff>
      <row>14</row>
      <rowOff>42840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3</col>
      <colOff>0</colOff>
      <row>21</row>
      <rowOff>0</rowOff>
    </from>
    <to>
      <col>8</col>
      <colOff>541440</colOff>
      <row>34</row>
      <rowOff>42840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3</col>
      <colOff>0</colOff>
      <row>41</row>
      <rowOff>0</rowOff>
    </from>
    <to>
      <col>10</col>
      <colOff>38520</colOff>
      <row>54</row>
      <rowOff>42840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ctionRegister" displayName="ActionRegister" ref="A1:T29" headerRowCount="1" totalsRowCount="0" totalsRowShown="0">
  <autoFilter ref="A1:T29"/>
  <tableColumns count="20">
    <tableColumn id="1" name="Action ID"/>
    <tableColumn id="2" name="Account ID"/>
    <tableColumn id="3" name="Account Name"/>
    <tableColumn id="4" name="Priority Tier"/>
    <tableColumn id="5" name="Decision Status"/>
    <tableColumn id="6" name="Owner Rep"/>
    <tableColumn id="7" name="Backup Owner"/>
    <tableColumn id="8" name="Contact ID"/>
    <tableColumn id="9" name="Contact Name"/>
    <tableColumn id="10" name="Channel"/>
    <tableColumn id="11" name="Action Type"/>
    <tableColumn id="12" name="Approved Offer"/>
    <tableColumn id="13" name="Source Case ID"/>
    <tableColumn id="14" name="Dependency"/>
    <tableColumn id="15" name="Scheduled Start"/>
    <tableColumn id="16" name="Duration Min"/>
    <tableColumn id="17" name="Buffer Min"/>
    <tableColumn id="18" name="Status"/>
    <tableColumn id="19" name="Confirmation State"/>
    <tableColumn id="20" name="Contingency Route"/>
  </tableColumns>
</table>
</file>

<file path=xl/tables/table2.xml><?xml version="1.0" encoding="utf-8"?>
<table xmlns="http://schemas.openxmlformats.org/spreadsheetml/2006/main" id="2" name="ScheduleTable" displayName="ScheduleTable" ref="A1:J29" headerRowCount="1">
  <autoFilter ref="A1:J29"/>
  <tableColumns count="10">
    <tableColumn id="1" name="Action ID"/>
    <tableColumn id="2" name="Account ID"/>
    <tableColumn id="3" name="Owner Rep"/>
    <tableColumn id="4" name="Scheduled Start"/>
    <tableColumn id="5" name="Duration Min"/>
    <tableColumn id="6" name="Buffer Min"/>
    <tableColumn id="7" name="Calculated End"/>
    <tableColumn id="8" name="Day"/>
    <tableColumn id="9" name="Status"/>
    <tableColumn id="10" name="Depend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endencies" displayName="Dependencies" ref="A1:G29" headerRowCount="1" totalsRowCount="0" totalsRowShown="0">
  <autoFilter ref="A1:G29"/>
  <tableColumns count="7">
    <tableColumn id="1" name="Action ID"/>
    <tableColumn id="2" name="Account ID"/>
    <tableColumn id="3" name="Dependency Type"/>
    <tableColumn id="4" name="Dependency Detail"/>
    <tableColumn id="5" name="Readiness State"/>
    <tableColumn id="6" name="Owner"/>
    <tableColumn id="7" name="Exception Route"/>
  </tableColumns>
</table>
</file>

<file path=xl/tables/table4.xml><?xml version="1.0" encoding="utf-8"?>
<table xmlns="http://schemas.openxmlformats.org/spreadsheetml/2006/main" id="4" name="CapacityTable" displayName="CapacityTable" ref="A1:F6" headerRowCount="1">
  <autoFilter ref="A1:F6"/>
  <tableColumns count="6">
    <tableColumn id="1" name="Owner Rep"/>
    <tableColumn id="2" name="Scheduled Tasks"/>
    <tableColumn id="3" name="Scheduled Minutes"/>
    <tableColumn id="4" name="Available Minutes"/>
    <tableColumn id="5" name="Buffer Minutes"/>
    <tableColumn id="6" name="Over Capac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tusHistoryTable" displayName="StatusHistoryTable" ref="A1:G6" headerRowCount="1">
  <autoFilter ref="A1:G6"/>
  <tableColumns count="7">
    <tableColumn id="1" name="Checkpoint Date"/>
    <tableColumn id="2" name="Planned"/>
    <tableColumn id="3" name="Confirmed"/>
    <tableColumn id="4" name="Completed"/>
    <tableColumn id="5" name="Blocked"/>
    <tableColumn id="6" name="Rescheduled"/>
    <tableColumn id="7" name="Escala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eckpointSummaryTable" displayName="CheckpointSummaryTable" ref="A1:B6" headerRowCount="1">
  <autoFilter ref="A1:B6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ufferPressureTable" displayName="BufferPressureTable" ref="E20:H27" headerRowCount="1">
  <autoFilter ref="E20:H27"/>
  <tableColumns count="4">
    <tableColumn id="5" name="Date"/>
    <tableColumn id="6" name="Scheduled hours"/>
    <tableColumn id="7" name="Available hours"/>
    <tableColumn id="8" name="Buffer hou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firmationsTable" displayName="ConfirmationsTable" ref="A20:B26" headerRowCount="1">
  <autoFilter ref="A20:B26"/>
  <tableColumns count="2">
    <tableColumn id="1" name="Status"/>
    <tableColumn id="2" name="A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7" min="1" max="1"/>
    <col width="30" customWidth="1" style="7" min="2" max="2"/>
    <col width="30" customWidth="1" style="8" min="3" max="3"/>
    <col width="30" customWidth="1" style="8" min="4" max="4"/>
    <col width="30" customWidth="1" style="8" min="5" max="5"/>
  </cols>
  <sheetData>
    <row r="1" ht="15" customHeight="1" s="8">
      <c r="A1" s="9" t="inlineStr">
        <is>
          <t>Field</t>
        </is>
      </c>
      <c r="B1" s="9" t="inlineStr">
        <is>
          <t>Value</t>
        </is>
      </c>
    </row>
    <row r="2" ht="15" customHeight="1" s="8">
      <c r="A2" s="10" t="inlineStr">
        <is>
          <t>Execution window</t>
        </is>
      </c>
      <c r="B2" s="10" t="inlineStr">
        <is>
          <t>2026-07-17 through 2026-07-24</t>
        </is>
      </c>
    </row>
    <row r="3" ht="15" customHeight="1" s="8">
      <c r="A3" s="10" t="inlineStr">
        <is>
          <t>Checkpoint cadence</t>
        </is>
      </c>
      <c r="B3" s="10" t="inlineStr">
        <is>
          <t>Daily at 16:00 Eastern</t>
        </is>
      </c>
    </row>
    <row r="4" ht="15" customHeight="1" s="8">
      <c r="A4" s="10" t="inlineStr">
        <is>
          <t>Lifecycle state</t>
        </is>
      </c>
      <c r="B4" s="10" t="inlineStr">
        <is>
          <t>Approved executable record</t>
        </is>
      </c>
    </row>
    <row r="5" ht="15" customHeight="1" s="8">
      <c r="A5" s="10" t="inlineStr">
        <is>
          <t>Owner rule</t>
        </is>
      </c>
      <c r="B5" s="10" t="inlineStr">
        <is>
          <t>Only approved-execution accounts receive customer-facing commitments; controlled exceptions receive internal clearance tasks.</t>
        </is>
      </c>
    </row>
    <row r="8">
      <c r="A8" s="14" t="inlineStr">
        <is>
          <t>OwnerList</t>
        </is>
      </c>
      <c r="B8" s="14" t="inlineStr">
        <is>
          <t>ChannelList</t>
        </is>
      </c>
      <c r="C8" s="14" t="inlineStr">
        <is>
          <t>ScheduleStatusList</t>
        </is>
      </c>
      <c r="D8" s="14" t="inlineStr">
        <is>
          <t>DependencyStateList</t>
        </is>
      </c>
      <c r="E8" s="14" t="inlineStr">
        <is>
          <t>ScheduleExceptionRouteList</t>
        </is>
      </c>
    </row>
    <row r="9">
      <c r="A9" s="7" t="inlineStr">
        <is>
          <t>Devon Brooks</t>
        </is>
      </c>
      <c r="B9" s="7" t="inlineStr">
        <is>
          <t>Phone</t>
        </is>
      </c>
      <c r="C9" s="7" t="inlineStr">
        <is>
          <t>Planned</t>
        </is>
      </c>
      <c r="D9" s="7" t="inlineStr">
        <is>
          <t>Ready</t>
        </is>
      </c>
      <c r="E9" s="7" t="inlineStr">
        <is>
          <t>Supervisor checkpoint</t>
        </is>
      </c>
    </row>
    <row r="10">
      <c r="A10" s="7" t="inlineStr">
        <is>
          <t>Jordan Patel</t>
        </is>
      </c>
      <c r="B10" s="7" t="inlineStr">
        <is>
          <t>Email</t>
        </is>
      </c>
      <c r="C10" s="7" t="inlineStr">
        <is>
          <t>Confirmed</t>
        </is>
      </c>
      <c r="D10" s="7" t="inlineStr">
        <is>
          <t>Blocked</t>
        </is>
      </c>
      <c r="E10" s="7" t="inlineStr">
        <is>
          <t>Reschedule before daily 16:00 checkpoint</t>
        </is>
      </c>
    </row>
    <row r="11">
      <c r="A11" s="7" t="inlineStr">
        <is>
          <t>Luis Romero</t>
        </is>
      </c>
      <c r="B11" s="7" t="inlineStr">
        <is>
          <t>CRM task</t>
        </is>
      </c>
      <c r="C11" s="7" t="inlineStr">
        <is>
          <t>Completed</t>
        </is>
      </c>
      <c r="E11" s="7" t="inlineStr">
        <is>
          <t>Requested credit is above supervisor authority</t>
        </is>
      </c>
    </row>
    <row r="12">
      <c r="A12" s="7" t="inlineStr">
        <is>
          <t>Maya Chen</t>
        </is>
      </c>
      <c r="B12" s="7" t="inlineStr">
        <is>
          <t>Internal</t>
        </is>
      </c>
      <c r="C12" s="7" t="inlineStr">
        <is>
          <t>Blocked</t>
        </is>
      </c>
      <c r="E12" s="7" t="inlineStr">
        <is>
          <t>Decision-maker outreach permission pending</t>
        </is>
      </c>
    </row>
    <row r="13">
      <c r="A13" s="7" t="inlineStr">
        <is>
          <t>Priya Nair</t>
        </is>
      </c>
      <c r="C13" s="7" t="inlineStr">
        <is>
          <t>Rescheduled</t>
        </is>
      </c>
      <c r="E13" s="7" t="inlineStr">
        <is>
          <t>Ad-ops blocker not cleared</t>
        </is>
      </c>
    </row>
    <row r="14">
      <c r="C14" s="7" t="inlineStr">
        <is>
          <t>Escalated</t>
        </is>
      </c>
      <c r="E14" s="7" t="inlineStr">
        <is>
          <t>Contract terms outside local authority</t>
        </is>
      </c>
    </row>
  </sheetData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T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.08" customWidth="1" style="7" min="1" max="1"/>
    <col width="13.2" customWidth="1" style="7" min="2" max="2"/>
    <col width="31.11" customWidth="1" style="7" min="3" max="3"/>
    <col width="30" customWidth="1" style="7" min="4" max="4"/>
    <col width="24.4" customWidth="1" style="7" min="5" max="5"/>
    <col width="15.44" customWidth="1" style="7" min="6" max="7"/>
    <col width="13.2" customWidth="1" style="7" min="8" max="8"/>
    <col width="18.8" customWidth="1" style="7" min="9" max="9"/>
    <col width="11" customWidth="1" style="7" min="10" max="10"/>
    <col width="46.8" customWidth="1" style="7" min="11" max="11"/>
    <col width="17.68" customWidth="1" style="7" min="12" max="13"/>
    <col width="40.08" customWidth="1" style="7" min="14" max="14"/>
    <col width="23.28" customWidth="1" style="7" min="15" max="15"/>
    <col width="15.44" customWidth="1" style="7" min="16" max="16"/>
    <col width="13.2" customWidth="1" style="7" min="17" max="17"/>
    <col width="11" customWidth="1" style="7" min="18" max="18"/>
    <col width="23.28" customWidth="1" style="7" min="19" max="19"/>
    <col width="53.52" customWidth="1" style="7" min="20" max="20"/>
  </cols>
  <sheetData>
    <row r="1" ht="15" customHeight="1" s="8">
      <c r="A1" s="9" t="inlineStr">
        <is>
          <t>Action ID</t>
        </is>
      </c>
      <c r="B1" s="9" t="inlineStr">
        <is>
          <t>Account ID</t>
        </is>
      </c>
      <c r="C1" s="9" t="inlineStr">
        <is>
          <t>Account Name</t>
        </is>
      </c>
      <c r="D1" s="9" t="inlineStr">
        <is>
          <t>Priority Tier</t>
        </is>
      </c>
      <c r="E1" s="9" t="inlineStr">
        <is>
          <t>Decision Status</t>
        </is>
      </c>
      <c r="F1" s="9" t="inlineStr">
        <is>
          <t>Owner Rep</t>
        </is>
      </c>
      <c r="G1" s="9" t="inlineStr">
        <is>
          <t>Backup Owner</t>
        </is>
      </c>
      <c r="H1" s="9" t="inlineStr">
        <is>
          <t>Contact ID</t>
        </is>
      </c>
      <c r="I1" s="9" t="inlineStr">
        <is>
          <t>Contact Name</t>
        </is>
      </c>
      <c r="J1" s="9" t="inlineStr">
        <is>
          <t>Channel</t>
        </is>
      </c>
      <c r="K1" s="9" t="inlineStr">
        <is>
          <t>Action Type</t>
        </is>
      </c>
      <c r="L1" s="9" t="inlineStr">
        <is>
          <t>Approved Offer</t>
        </is>
      </c>
      <c r="M1" s="9" t="inlineStr">
        <is>
          <t>Source Case ID</t>
        </is>
      </c>
      <c r="N1" s="9" t="inlineStr">
        <is>
          <t>Dependency</t>
        </is>
      </c>
      <c r="O1" s="9" t="inlineStr">
        <is>
          <t>Scheduled Start</t>
        </is>
      </c>
      <c r="P1" s="9" t="inlineStr">
        <is>
          <t>Duration Min</t>
        </is>
      </c>
      <c r="Q1" s="9" t="inlineStr">
        <is>
          <t>Buffer Min</t>
        </is>
      </c>
      <c r="R1" s="9" t="inlineStr">
        <is>
          <t>Status</t>
        </is>
      </c>
      <c r="S1" s="9" t="inlineStr">
        <is>
          <t>Confirmation State</t>
        </is>
      </c>
      <c r="T1" s="9" t="inlineStr">
        <is>
          <t>Contingency Route</t>
        </is>
      </c>
    </row>
    <row r="2" ht="15" customHeight="1" s="8">
      <c r="A2" s="15" t="inlineStr">
        <is>
          <t>RA-001</t>
        </is>
      </c>
      <c r="B2" s="15" t="inlineStr">
        <is>
          <t>A-1005</t>
        </is>
      </c>
      <c r="C2" s="15" t="inlineStr">
        <is>
          <t>Axion Robotics</t>
        </is>
      </c>
      <c r="D2" s="15" t="inlineStr">
        <is>
          <t>Tier 1</t>
        </is>
      </c>
      <c r="E2" s="15" t="inlineStr">
        <is>
          <t>Approved execution</t>
        </is>
      </c>
      <c r="F2" s="15" t="inlineStr">
        <is>
          <t>Devon Brooks</t>
        </is>
      </c>
      <c r="G2" s="15" t="inlineStr">
        <is>
          <t>Luis Romero</t>
        </is>
      </c>
      <c r="H2" s="15" t="inlineStr">
        <is>
          <t>CT-005A</t>
        </is>
      </c>
      <c r="I2" s="15" t="inlineStr">
        <is>
          <t>Mark Feld</t>
        </is>
      </c>
      <c r="J2" s="15" t="inlineStr">
        <is>
          <t>Phone</t>
        </is>
      </c>
      <c r="K2" s="15" t="inlineStr">
        <is>
          <t>Customer recovery call</t>
        </is>
      </c>
      <c r="L2" s="15" t="inlineStr">
        <is>
          <t>SW-PKG</t>
        </is>
      </c>
      <c r="M2" s="15" t="inlineStr">
        <is>
          <t>CASE-7207</t>
        </is>
      </c>
      <c r="N2" s="15" t="inlineStr">
        <is>
          <t>Audience proof deck</t>
        </is>
      </c>
      <c r="O2" s="16" t="n">
        <v>46220.375</v>
      </c>
      <c r="P2" s="15" t="n">
        <v>45</v>
      </c>
      <c r="Q2" s="15" t="n">
        <v>30</v>
      </c>
      <c r="R2" s="15" t="inlineStr">
        <is>
          <t>Planned</t>
        </is>
      </c>
      <c r="S2" s="15" t="inlineStr">
        <is>
          <t>Not sent</t>
        </is>
      </c>
      <c r="T2" s="15" t="inlineStr">
        <is>
          <t>Supervisor checkpoint</t>
        </is>
      </c>
    </row>
    <row r="3" ht="15" customHeight="1" s="8">
      <c r="A3" s="15" t="inlineStr">
        <is>
          <t>RA-001F</t>
        </is>
      </c>
      <c r="B3" s="15" t="inlineStr">
        <is>
          <t>A-1005</t>
        </is>
      </c>
      <c r="C3" s="15" t="inlineStr">
        <is>
          <t>Axion Robotics</t>
        </is>
      </c>
      <c r="D3" s="15" t="inlineStr">
        <is>
          <t>Tier 1</t>
        </is>
      </c>
      <c r="E3" s="15" t="inlineStr">
        <is>
          <t>Approved execution</t>
        </is>
      </c>
      <c r="F3" s="15" t="inlineStr">
        <is>
          <t>Devon Brooks</t>
        </is>
      </c>
      <c r="G3" s="15" t="inlineStr">
        <is>
          <t>Luis Romero</t>
        </is>
      </c>
      <c r="H3" s="15" t="inlineStr">
        <is>
          <t>CT-005A</t>
        </is>
      </c>
      <c r="I3" s="15" t="inlineStr">
        <is>
          <t>Mark Feld</t>
        </is>
      </c>
      <c r="J3" s="15" t="inlineStr">
        <is>
          <t>CRM task</t>
        </is>
      </c>
      <c r="K3" s="15" t="inlineStr">
        <is>
          <t>Post-contact confirmation and CRM update</t>
        </is>
      </c>
      <c r="L3" s="15" t="inlineStr">
        <is>
          <t>SW-PKG</t>
        </is>
      </c>
      <c r="M3" s="15" t="inlineStr">
        <is>
          <t>CASE-7207</t>
        </is>
      </c>
      <c r="N3" s="15" t="inlineStr">
        <is>
          <t>Customer response from first touch</t>
        </is>
      </c>
      <c r="O3" s="16" t="n">
        <v>46221.45833333334</v>
      </c>
      <c r="P3" s="15" t="n">
        <v>20</v>
      </c>
      <c r="Q3" s="15" t="n">
        <v>15</v>
      </c>
      <c r="R3" s="15" t="inlineStr">
        <is>
          <t>Planned</t>
        </is>
      </c>
      <c r="S3" s="15" t="inlineStr">
        <is>
          <t>Pending first touch</t>
        </is>
      </c>
      <c r="T3" s="15" t="inlineStr">
        <is>
          <t>Reschedule before daily 16:00 checkpoint</t>
        </is>
      </c>
    </row>
    <row r="4" ht="15" customHeight="1" s="8">
      <c r="A4" s="15" t="inlineStr">
        <is>
          <t>RA-002</t>
        </is>
      </c>
      <c r="B4" s="15" t="inlineStr">
        <is>
          <t>A-1001</t>
        </is>
      </c>
      <c r="C4" s="15" t="inlineStr">
        <is>
          <t>Meridian Health Partners</t>
        </is>
      </c>
      <c r="D4" s="15" t="inlineStr">
        <is>
          <t>Tier 1</t>
        </is>
      </c>
      <c r="E4" s="15" t="inlineStr">
        <is>
          <t>Approved execution</t>
        </is>
      </c>
      <c r="F4" s="15" t="inlineStr">
        <is>
          <t>Maya Chen</t>
        </is>
      </c>
      <c r="G4" s="15" t="inlineStr">
        <is>
          <t>Devon Brooks</t>
        </is>
      </c>
      <c r="H4" s="15" t="inlineStr">
        <is>
          <t>CT-001A</t>
        </is>
      </c>
      <c r="I4" s="15" t="inlineStr">
        <is>
          <t>Dr. Lena Morris</t>
        </is>
      </c>
      <c r="J4" s="15" t="inlineStr">
        <is>
          <t>Phone</t>
        </is>
      </c>
      <c r="K4" s="15" t="inlineStr">
        <is>
          <t>Customer recovery call</t>
        </is>
      </c>
      <c r="L4" s="15" t="inlineStr">
        <is>
          <t>MG-15</t>
        </is>
      </c>
      <c r="M4" s="15" t="inlineStr">
        <is>
          <t>CASE-7201</t>
        </is>
      </c>
      <c r="N4" s="15" t="inlineStr">
        <is>
          <t>Ad ops pacing confirmation</t>
        </is>
      </c>
      <c r="O4" s="16" t="n">
        <v>46220.42708333334</v>
      </c>
      <c r="P4" s="15" t="n">
        <v>45</v>
      </c>
      <c r="Q4" s="15" t="n">
        <v>30</v>
      </c>
      <c r="R4" s="15" t="inlineStr">
        <is>
          <t>Planned</t>
        </is>
      </c>
      <c r="S4" s="15" t="inlineStr">
        <is>
          <t>Not sent</t>
        </is>
      </c>
      <c r="T4" s="15" t="inlineStr">
        <is>
          <t>Supervisor checkpoint</t>
        </is>
      </c>
    </row>
    <row r="5" ht="15" customHeight="1" s="8">
      <c r="A5" s="15" t="inlineStr">
        <is>
          <t>RA-002F</t>
        </is>
      </c>
      <c r="B5" s="15" t="inlineStr">
        <is>
          <t>A-1001</t>
        </is>
      </c>
      <c r="C5" s="15" t="inlineStr">
        <is>
          <t>Meridian Health Partners</t>
        </is>
      </c>
      <c r="D5" s="15" t="inlineStr">
        <is>
          <t>Tier 1</t>
        </is>
      </c>
      <c r="E5" s="15" t="inlineStr">
        <is>
          <t>Approved execution</t>
        </is>
      </c>
      <c r="F5" s="15" t="inlineStr">
        <is>
          <t>Maya Chen</t>
        </is>
      </c>
      <c r="G5" s="15" t="inlineStr">
        <is>
          <t>Devon Brooks</t>
        </is>
      </c>
      <c r="H5" s="15" t="inlineStr">
        <is>
          <t>CT-001A</t>
        </is>
      </c>
      <c r="I5" s="15" t="inlineStr">
        <is>
          <t>Dr. Lena Morris</t>
        </is>
      </c>
      <c r="J5" s="15" t="inlineStr">
        <is>
          <t>CRM task</t>
        </is>
      </c>
      <c r="K5" s="15" t="inlineStr">
        <is>
          <t>Post-contact confirmation and CRM update</t>
        </is>
      </c>
      <c r="L5" s="15" t="inlineStr">
        <is>
          <t>MG-15</t>
        </is>
      </c>
      <c r="M5" s="15" t="inlineStr">
        <is>
          <t>CASE-7201</t>
        </is>
      </c>
      <c r="N5" s="15" t="inlineStr">
        <is>
          <t>Customer response from first touch</t>
        </is>
      </c>
      <c r="O5" s="16" t="n">
        <v>46221.51041666666</v>
      </c>
      <c r="P5" s="15" t="n">
        <v>20</v>
      </c>
      <c r="Q5" s="15" t="n">
        <v>15</v>
      </c>
      <c r="R5" s="15" t="inlineStr">
        <is>
          <t>Planned</t>
        </is>
      </c>
      <c r="S5" s="15" t="inlineStr">
        <is>
          <t>Pending first touch</t>
        </is>
      </c>
      <c r="T5" s="15" t="inlineStr">
        <is>
          <t>Reschedule before daily 16:00 checkpoint</t>
        </is>
      </c>
    </row>
    <row r="6" ht="15" customHeight="1" s="8">
      <c r="A6" s="15" t="inlineStr">
        <is>
          <t>RA-003</t>
        </is>
      </c>
      <c r="B6" s="15" t="inlineStr">
        <is>
          <t>A-1012</t>
        </is>
      </c>
      <c r="C6" s="15" t="inlineStr">
        <is>
          <t>Vesta Apparel Collective</t>
        </is>
      </c>
      <c r="D6" s="15" t="inlineStr">
        <is>
          <t>Tier 2</t>
        </is>
      </c>
      <c r="E6" s="15" t="inlineStr">
        <is>
          <t>Approved execution</t>
        </is>
      </c>
      <c r="F6" s="15" t="inlineStr">
        <is>
          <t>Jordan Patel</t>
        </is>
      </c>
      <c r="G6" s="15" t="inlineStr">
        <is>
          <t>Maya Chen</t>
        </is>
      </c>
      <c r="H6" s="15" t="inlineStr">
        <is>
          <t>CT-012A</t>
        </is>
      </c>
      <c r="I6" s="15" t="inlineStr">
        <is>
          <t>Marta Ruiz</t>
        </is>
      </c>
      <c r="J6" s="15" t="inlineStr">
        <is>
          <t>Phone</t>
        </is>
      </c>
      <c r="K6" s="15" t="inlineStr">
        <is>
          <t>Customer recovery call</t>
        </is>
      </c>
      <c r="L6" s="15" t="inlineStr">
        <is>
          <t>MG-15</t>
        </is>
      </c>
      <c r="M6" s="15" t="inlineStr">
        <is>
          <t>CASE-7215</t>
        </is>
      </c>
      <c r="N6" s="15" t="inlineStr">
        <is>
          <t>Invoice correction owner</t>
        </is>
      </c>
      <c r="O6" s="16" t="n">
        <v>46220.47916666666</v>
      </c>
      <c r="P6" s="15" t="n">
        <v>45</v>
      </c>
      <c r="Q6" s="15" t="n">
        <v>30</v>
      </c>
      <c r="R6" s="15" t="inlineStr">
        <is>
          <t>Planned</t>
        </is>
      </c>
      <c r="S6" s="15" t="inlineStr">
        <is>
          <t>Not sent</t>
        </is>
      </c>
      <c r="T6" s="15" t="inlineStr">
        <is>
          <t>Supervisor checkpoint</t>
        </is>
      </c>
    </row>
    <row r="7" ht="15" customHeight="1" s="8">
      <c r="A7" s="15" t="inlineStr">
        <is>
          <t>RA-003F</t>
        </is>
      </c>
      <c r="B7" s="15" t="inlineStr">
        <is>
          <t>A-1012</t>
        </is>
      </c>
      <c r="C7" s="15" t="inlineStr">
        <is>
          <t>Vesta Apparel Collective</t>
        </is>
      </c>
      <c r="D7" s="15" t="inlineStr">
        <is>
          <t>Tier 2</t>
        </is>
      </c>
      <c r="E7" s="15" t="inlineStr">
        <is>
          <t>Approved execution</t>
        </is>
      </c>
      <c r="F7" s="15" t="inlineStr">
        <is>
          <t>Jordan Patel</t>
        </is>
      </c>
      <c r="G7" s="15" t="inlineStr">
        <is>
          <t>Maya Chen</t>
        </is>
      </c>
      <c r="H7" s="15" t="inlineStr">
        <is>
          <t>CT-012A</t>
        </is>
      </c>
      <c r="I7" s="15" t="inlineStr">
        <is>
          <t>Marta Ruiz</t>
        </is>
      </c>
      <c r="J7" s="15" t="inlineStr">
        <is>
          <t>CRM task</t>
        </is>
      </c>
      <c r="K7" s="15" t="inlineStr">
        <is>
          <t>Post-contact confirmation and CRM update</t>
        </is>
      </c>
      <c r="L7" s="15" t="inlineStr">
        <is>
          <t>MG-15</t>
        </is>
      </c>
      <c r="M7" s="15" t="inlineStr">
        <is>
          <t>CASE-7215</t>
        </is>
      </c>
      <c r="N7" s="15" t="inlineStr">
        <is>
          <t>Customer response from first touch</t>
        </is>
      </c>
      <c r="O7" s="16" t="n">
        <v>46221.5625</v>
      </c>
      <c r="P7" s="15" t="n">
        <v>20</v>
      </c>
      <c r="Q7" s="15" t="n">
        <v>15</v>
      </c>
      <c r="R7" s="15" t="inlineStr">
        <is>
          <t>Planned</t>
        </is>
      </c>
      <c r="S7" s="15" t="inlineStr">
        <is>
          <t>Pending first touch</t>
        </is>
      </c>
      <c r="T7" s="15" t="inlineStr">
        <is>
          <t>Reschedule before daily 16:00 checkpoint</t>
        </is>
      </c>
    </row>
    <row r="8" ht="15" customHeight="1" s="8">
      <c r="A8" s="15" t="inlineStr">
        <is>
          <t>RA-004</t>
        </is>
      </c>
      <c r="B8" s="15" t="inlineStr">
        <is>
          <t>A-1007</t>
        </is>
      </c>
      <c r="C8" s="15" t="inlineStr">
        <is>
          <t>Northline Insurance</t>
        </is>
      </c>
      <c r="D8" s="15" t="inlineStr">
        <is>
          <t>Tier 2</t>
        </is>
      </c>
      <c r="E8" s="15" t="inlineStr">
        <is>
          <t>Approved execution</t>
        </is>
      </c>
      <c r="F8" s="15" t="inlineStr">
        <is>
          <t>Jordan Patel</t>
        </is>
      </c>
      <c r="G8" s="15" t="inlineStr">
        <is>
          <t>Devon Brooks</t>
        </is>
      </c>
      <c r="H8" s="15" t="inlineStr">
        <is>
          <t>CT-007A</t>
        </is>
      </c>
      <c r="I8" s="15" t="inlineStr">
        <is>
          <t>Samira Ahmad</t>
        </is>
      </c>
      <c r="J8" s="15" t="inlineStr">
        <is>
          <t>Email</t>
        </is>
      </c>
      <c r="K8" s="15" t="inlineStr">
        <is>
          <t>Customer recovery email</t>
        </is>
      </c>
      <c r="L8" s="15" t="inlineStr">
        <is>
          <t>MG-15</t>
        </is>
      </c>
      <c r="M8" s="15" t="inlineStr">
        <is>
          <t>CASE-7210</t>
        </is>
      </c>
      <c r="N8" s="15" t="inlineStr">
        <is>
          <t>Makegood placement</t>
        </is>
      </c>
      <c r="O8" s="16" t="n">
        <v>46220.54166666666</v>
      </c>
      <c r="P8" s="15" t="n">
        <v>30</v>
      </c>
      <c r="Q8" s="15" t="n">
        <v>30</v>
      </c>
      <c r="R8" s="15" t="inlineStr">
        <is>
          <t>Planned</t>
        </is>
      </c>
      <c r="S8" s="15" t="inlineStr">
        <is>
          <t>Not sent</t>
        </is>
      </c>
      <c r="T8" s="15" t="inlineStr">
        <is>
          <t>Supervisor checkpoint</t>
        </is>
      </c>
    </row>
    <row r="9" ht="15" customHeight="1" s="8">
      <c r="A9" s="15" t="inlineStr">
        <is>
          <t>RA-004F</t>
        </is>
      </c>
      <c r="B9" s="15" t="inlineStr">
        <is>
          <t>A-1007</t>
        </is>
      </c>
      <c r="C9" s="15" t="inlineStr">
        <is>
          <t>Northline Insurance</t>
        </is>
      </c>
      <c r="D9" s="15" t="inlineStr">
        <is>
          <t>Tier 2</t>
        </is>
      </c>
      <c r="E9" s="15" t="inlineStr">
        <is>
          <t>Approved execution</t>
        </is>
      </c>
      <c r="F9" s="15" t="inlineStr">
        <is>
          <t>Jordan Patel</t>
        </is>
      </c>
      <c r="G9" s="15" t="inlineStr">
        <is>
          <t>Devon Brooks</t>
        </is>
      </c>
      <c r="H9" s="15" t="inlineStr">
        <is>
          <t>CT-007A</t>
        </is>
      </c>
      <c r="I9" s="15" t="inlineStr">
        <is>
          <t>Samira Ahmad</t>
        </is>
      </c>
      <c r="J9" s="15" t="inlineStr">
        <is>
          <t>CRM task</t>
        </is>
      </c>
      <c r="K9" s="15" t="inlineStr">
        <is>
          <t>Post-contact confirmation and CRM update</t>
        </is>
      </c>
      <c r="L9" s="15" t="inlineStr">
        <is>
          <t>MG-15</t>
        </is>
      </c>
      <c r="M9" s="15" t="inlineStr">
        <is>
          <t>CASE-7210</t>
        </is>
      </c>
      <c r="N9" s="15" t="inlineStr">
        <is>
          <t>Customer response from first touch</t>
        </is>
      </c>
      <c r="O9" s="16" t="n">
        <v>46221.625</v>
      </c>
      <c r="P9" s="15" t="n">
        <v>20</v>
      </c>
      <c r="Q9" s="15" t="n">
        <v>15</v>
      </c>
      <c r="R9" s="15" t="inlineStr">
        <is>
          <t>Planned</t>
        </is>
      </c>
      <c r="S9" s="15" t="inlineStr">
        <is>
          <t>Pending first touch</t>
        </is>
      </c>
      <c r="T9" s="15" t="inlineStr">
        <is>
          <t>Reschedule before daily 16:00 checkpoint</t>
        </is>
      </c>
    </row>
    <row r="10" ht="15" customHeight="1" s="8">
      <c r="A10" s="15" t="inlineStr">
        <is>
          <t>RA-005</t>
        </is>
      </c>
      <c r="B10" s="15" t="inlineStr">
        <is>
          <t>A-1003</t>
        </is>
      </c>
      <c r="C10" s="15" t="inlineStr">
        <is>
          <t>Cobalt Cloud Systems</t>
        </is>
      </c>
      <c r="D10" s="15" t="inlineStr">
        <is>
          <t>Tier 2</t>
        </is>
      </c>
      <c r="E10" s="15" t="inlineStr">
        <is>
          <t>Approved execution</t>
        </is>
      </c>
      <c r="F10" s="15" t="inlineStr">
        <is>
          <t>Priya Nair</t>
        </is>
      </c>
      <c r="G10" s="15" t="inlineStr">
        <is>
          <t>Jordan Patel</t>
        </is>
      </c>
      <c r="H10" s="15" t="inlineStr">
        <is>
          <t>CT-003A</t>
        </is>
      </c>
      <c r="I10" s="15" t="inlineStr">
        <is>
          <t>Rafael Soto</t>
        </is>
      </c>
      <c r="J10" s="15" t="inlineStr">
        <is>
          <t>Phone</t>
        </is>
      </c>
      <c r="K10" s="15" t="inlineStr">
        <is>
          <t>Customer recovery call</t>
        </is>
      </c>
      <c r="L10" s="15" t="inlineStr">
        <is>
          <t>CR-10K</t>
        </is>
      </c>
      <c r="M10" s="15" t="inlineStr">
        <is>
          <t>CASE-7204</t>
        </is>
      </c>
      <c r="N10" s="15" t="inlineStr">
        <is>
          <t>Credit memo draft</t>
        </is>
      </c>
      <c r="O10" s="16" t="n">
        <v>46223.39583333334</v>
      </c>
      <c r="P10" s="15" t="n">
        <v>45</v>
      </c>
      <c r="Q10" s="15" t="n">
        <v>30</v>
      </c>
      <c r="R10" s="15" t="inlineStr">
        <is>
          <t>Planned</t>
        </is>
      </c>
      <c r="S10" s="15" t="inlineStr">
        <is>
          <t>Not sent</t>
        </is>
      </c>
      <c r="T10" s="15" t="inlineStr">
        <is>
          <t>Supervisor checkpoint</t>
        </is>
      </c>
    </row>
    <row r="11" ht="15" customHeight="1" s="8">
      <c r="A11" s="15" t="inlineStr">
        <is>
          <t>RA-005F</t>
        </is>
      </c>
      <c r="B11" s="15" t="inlineStr">
        <is>
          <t>A-1003</t>
        </is>
      </c>
      <c r="C11" s="15" t="inlineStr">
        <is>
          <t>Cobalt Cloud Systems</t>
        </is>
      </c>
      <c r="D11" s="15" t="inlineStr">
        <is>
          <t>Tier 2</t>
        </is>
      </c>
      <c r="E11" s="15" t="inlineStr">
        <is>
          <t>Approved execution</t>
        </is>
      </c>
      <c r="F11" s="15" t="inlineStr">
        <is>
          <t>Priya Nair</t>
        </is>
      </c>
      <c r="G11" s="15" t="inlineStr">
        <is>
          <t>Jordan Patel</t>
        </is>
      </c>
      <c r="H11" s="15" t="inlineStr">
        <is>
          <t>CT-003A</t>
        </is>
      </c>
      <c r="I11" s="15" t="inlineStr">
        <is>
          <t>Rafael Soto</t>
        </is>
      </c>
      <c r="J11" s="15" t="inlineStr">
        <is>
          <t>CRM task</t>
        </is>
      </c>
      <c r="K11" s="15" t="inlineStr">
        <is>
          <t>Post-contact confirmation and CRM update</t>
        </is>
      </c>
      <c r="L11" s="15" t="inlineStr">
        <is>
          <t>CR-10K</t>
        </is>
      </c>
      <c r="M11" s="15" t="inlineStr">
        <is>
          <t>CASE-7204</t>
        </is>
      </c>
      <c r="N11" s="15" t="inlineStr">
        <is>
          <t>Customer response from first touch</t>
        </is>
      </c>
      <c r="O11" s="16" t="n">
        <v>46224.47916666666</v>
      </c>
      <c r="P11" s="15" t="n">
        <v>20</v>
      </c>
      <c r="Q11" s="15" t="n">
        <v>15</v>
      </c>
      <c r="R11" s="15" t="inlineStr">
        <is>
          <t>Planned</t>
        </is>
      </c>
      <c r="S11" s="15" t="inlineStr">
        <is>
          <t>Pending first touch</t>
        </is>
      </c>
      <c r="T11" s="15" t="inlineStr">
        <is>
          <t>Reschedule before daily 16:00 checkpoint</t>
        </is>
      </c>
    </row>
    <row r="12" ht="15" customHeight="1" s="8">
      <c r="A12" s="15" t="inlineStr">
        <is>
          <t>RA-006</t>
        </is>
      </c>
      <c r="B12" s="15" t="inlineStr">
        <is>
          <t>A-1009</t>
        </is>
      </c>
      <c r="C12" s="15" t="inlineStr">
        <is>
          <t>Copper Trail Hospitality</t>
        </is>
      </c>
      <c r="D12" s="15" t="inlineStr">
        <is>
          <t>Tier 2</t>
        </is>
      </c>
      <c r="E12" s="15" t="inlineStr">
        <is>
          <t>Approved execution</t>
        </is>
      </c>
      <c r="F12" s="15" t="inlineStr">
        <is>
          <t>Luis Romero</t>
        </is>
      </c>
      <c r="G12" s="15" t="inlineStr">
        <is>
          <t>Jordan Patel</t>
        </is>
      </c>
      <c r="H12" s="15" t="inlineStr">
        <is>
          <t>CT-009A</t>
        </is>
      </c>
      <c r="I12" s="15" t="inlineStr">
        <is>
          <t>Cora Lind</t>
        </is>
      </c>
      <c r="J12" s="15" t="inlineStr">
        <is>
          <t>Phone</t>
        </is>
      </c>
      <c r="K12" s="15" t="inlineStr">
        <is>
          <t>Customer recovery call</t>
        </is>
      </c>
      <c r="L12" s="15" t="inlineStr">
        <is>
          <t>SW-PKG</t>
        </is>
      </c>
      <c r="M12" s="15" t="inlineStr">
        <is>
          <t>CASE-7212</t>
        </is>
      </c>
      <c r="N12" s="15" t="inlineStr">
        <is>
          <t>Creative approval proof</t>
        </is>
      </c>
      <c r="O12" s="16" t="n">
        <v>46223.45833333334</v>
      </c>
      <c r="P12" s="15" t="n">
        <v>45</v>
      </c>
      <c r="Q12" s="15" t="n">
        <v>30</v>
      </c>
      <c r="R12" s="15" t="inlineStr">
        <is>
          <t>Planned</t>
        </is>
      </c>
      <c r="S12" s="15" t="inlineStr">
        <is>
          <t>Not sent</t>
        </is>
      </c>
      <c r="T12" s="15" t="inlineStr">
        <is>
          <t>Supervisor checkpoint</t>
        </is>
      </c>
    </row>
    <row r="13" ht="15" customHeight="1" s="8">
      <c r="A13" s="15" t="inlineStr">
        <is>
          <t>RA-006F</t>
        </is>
      </c>
      <c r="B13" s="15" t="inlineStr">
        <is>
          <t>A-1009</t>
        </is>
      </c>
      <c r="C13" s="15" t="inlineStr">
        <is>
          <t>Copper Trail Hospitality</t>
        </is>
      </c>
      <c r="D13" s="15" t="inlineStr">
        <is>
          <t>Tier 2</t>
        </is>
      </c>
      <c r="E13" s="15" t="inlineStr">
        <is>
          <t>Approved execution</t>
        </is>
      </c>
      <c r="F13" s="15" t="inlineStr">
        <is>
          <t>Luis Romero</t>
        </is>
      </c>
      <c r="G13" s="15" t="inlineStr">
        <is>
          <t>Jordan Patel</t>
        </is>
      </c>
      <c r="H13" s="15" t="inlineStr">
        <is>
          <t>CT-009A</t>
        </is>
      </c>
      <c r="I13" s="15" t="inlineStr">
        <is>
          <t>Cora Lind</t>
        </is>
      </c>
      <c r="J13" s="15" t="inlineStr">
        <is>
          <t>CRM task</t>
        </is>
      </c>
      <c r="K13" s="15" t="inlineStr">
        <is>
          <t>Post-contact confirmation and CRM update</t>
        </is>
      </c>
      <c r="L13" s="15" t="inlineStr">
        <is>
          <t>SW-PKG</t>
        </is>
      </c>
      <c r="M13" s="15" t="inlineStr">
        <is>
          <t>CASE-7212</t>
        </is>
      </c>
      <c r="N13" s="15" t="inlineStr">
        <is>
          <t>Customer response from first touch</t>
        </is>
      </c>
      <c r="O13" s="16" t="n">
        <v>46224.54166666666</v>
      </c>
      <c r="P13" s="15" t="n">
        <v>20</v>
      </c>
      <c r="Q13" s="15" t="n">
        <v>15</v>
      </c>
      <c r="R13" s="15" t="inlineStr">
        <is>
          <t>Planned</t>
        </is>
      </c>
      <c r="S13" s="15" t="inlineStr">
        <is>
          <t>Pending first touch</t>
        </is>
      </c>
      <c r="T13" s="15" t="inlineStr">
        <is>
          <t>Reschedule before daily 16:00 checkpoint</t>
        </is>
      </c>
    </row>
    <row r="14" ht="15" customHeight="1" s="8">
      <c r="A14" s="15" t="inlineStr">
        <is>
          <t>RA-007</t>
        </is>
      </c>
      <c r="B14" s="15" t="inlineStr">
        <is>
          <t>A-1002</t>
        </is>
      </c>
      <c r="C14" s="15" t="inlineStr">
        <is>
          <t>Larkspur Credit Union</t>
        </is>
      </c>
      <c r="D14" s="15" t="inlineStr">
        <is>
          <t>Tier 3</t>
        </is>
      </c>
      <c r="E14" s="15" t="inlineStr">
        <is>
          <t>Approved execution</t>
        </is>
      </c>
      <c r="F14" s="15" t="inlineStr">
        <is>
          <t>Jordan Patel</t>
        </is>
      </c>
      <c r="G14" s="15" t="inlineStr">
        <is>
          <t>Maya Chen</t>
        </is>
      </c>
      <c r="H14" s="15" t="inlineStr">
        <is>
          <t>CT-002A</t>
        </is>
      </c>
      <c r="I14" s="15" t="inlineStr">
        <is>
          <t>Tanya Wells</t>
        </is>
      </c>
      <c r="J14" s="15" t="inlineStr">
        <is>
          <t>Email</t>
        </is>
      </c>
      <c r="K14" s="15" t="inlineStr">
        <is>
          <t>Reporting package send</t>
        </is>
      </c>
      <c r="L14" s="15" t="inlineStr">
        <is>
          <t>RPT-COMP</t>
        </is>
      </c>
      <c r="M14" s="15" t="inlineStr">
        <is>
          <t>CASE-7203</t>
        </is>
      </c>
      <c r="N14" s="15" t="inlineStr">
        <is>
          <t>Corrected reach report</t>
        </is>
      </c>
      <c r="O14" s="16" t="n">
        <v>46223.5625</v>
      </c>
      <c r="P14" s="15" t="n">
        <v>30</v>
      </c>
      <c r="Q14" s="15" t="n">
        <v>30</v>
      </c>
      <c r="R14" s="15" t="inlineStr">
        <is>
          <t>Planned</t>
        </is>
      </c>
      <c r="S14" s="15" t="inlineStr">
        <is>
          <t>Not sent</t>
        </is>
      </c>
      <c r="T14" s="15" t="inlineStr">
        <is>
          <t>Supervisor checkpoint</t>
        </is>
      </c>
    </row>
    <row r="15" ht="15" customHeight="1" s="8">
      <c r="A15" s="15" t="inlineStr">
        <is>
          <t>RA-007F</t>
        </is>
      </c>
      <c r="B15" s="15" t="inlineStr">
        <is>
          <t>A-1002</t>
        </is>
      </c>
      <c r="C15" s="15" t="inlineStr">
        <is>
          <t>Larkspur Credit Union</t>
        </is>
      </c>
      <c r="D15" s="15" t="inlineStr">
        <is>
          <t>Tier 3</t>
        </is>
      </c>
      <c r="E15" s="15" t="inlineStr">
        <is>
          <t>Approved execution</t>
        </is>
      </c>
      <c r="F15" s="15" t="inlineStr">
        <is>
          <t>Jordan Patel</t>
        </is>
      </c>
      <c r="G15" s="15" t="inlineStr">
        <is>
          <t>Maya Chen</t>
        </is>
      </c>
      <c r="H15" s="15" t="inlineStr">
        <is>
          <t>CT-002A</t>
        </is>
      </c>
      <c r="I15" s="15" t="inlineStr">
        <is>
          <t>Tanya Wells</t>
        </is>
      </c>
      <c r="J15" s="15" t="inlineStr">
        <is>
          <t>CRM task</t>
        </is>
      </c>
      <c r="K15" s="15" t="inlineStr">
        <is>
          <t>Post-contact confirmation and CRM update</t>
        </is>
      </c>
      <c r="L15" s="15" t="inlineStr">
        <is>
          <t>RPT-COMP</t>
        </is>
      </c>
      <c r="M15" s="15" t="inlineStr">
        <is>
          <t>CASE-7203</t>
        </is>
      </c>
      <c r="N15" s="15" t="inlineStr">
        <is>
          <t>Customer response from first touch</t>
        </is>
      </c>
      <c r="O15" s="16" t="n">
        <v>46224.64583333334</v>
      </c>
      <c r="P15" s="15" t="n">
        <v>20</v>
      </c>
      <c r="Q15" s="15" t="n">
        <v>15</v>
      </c>
      <c r="R15" s="15" t="inlineStr">
        <is>
          <t>Planned</t>
        </is>
      </c>
      <c r="S15" s="15" t="inlineStr">
        <is>
          <t>Pending first touch</t>
        </is>
      </c>
      <c r="T15" s="15" t="inlineStr">
        <is>
          <t>Reschedule before daily 16:00 checkpoint</t>
        </is>
      </c>
    </row>
    <row r="16" ht="15" customHeight="1" s="8">
      <c r="A16" s="15" t="inlineStr">
        <is>
          <t>RA-008</t>
        </is>
      </c>
      <c r="B16" s="15" t="inlineStr">
        <is>
          <t>A-1004</t>
        </is>
      </c>
      <c r="C16" s="15" t="inlineStr">
        <is>
          <t>Harborview Furnishings</t>
        </is>
      </c>
      <c r="D16" s="15" t="inlineStr">
        <is>
          <t>Tier 3</t>
        </is>
      </c>
      <c r="E16" s="15" t="inlineStr">
        <is>
          <t>Approved execution</t>
        </is>
      </c>
      <c r="F16" s="15" t="inlineStr">
        <is>
          <t>Luis Romero</t>
        </is>
      </c>
      <c r="G16" s="15" t="inlineStr">
        <is>
          <t>Priya Nair</t>
        </is>
      </c>
      <c r="H16" s="15" t="inlineStr">
        <is>
          <t>CT-004A</t>
        </is>
      </c>
      <c r="I16" s="15" t="inlineStr">
        <is>
          <t>Nina Cho</t>
        </is>
      </c>
      <c r="J16" s="15" t="inlineStr">
        <is>
          <t>Email</t>
        </is>
      </c>
      <c r="K16" s="15" t="inlineStr">
        <is>
          <t>Package swap confirmation</t>
        </is>
      </c>
      <c r="L16" s="15" t="inlineStr">
        <is>
          <t>SW-PKG</t>
        </is>
      </c>
      <c r="M16" s="15" t="inlineStr">
        <is>
          <t>CASE-7206</t>
        </is>
      </c>
      <c r="N16" s="15" t="inlineStr">
        <is>
          <t>Retagging ETA</t>
        </is>
      </c>
      <c r="O16" s="16" t="n">
        <v>46224.39583333334</v>
      </c>
      <c r="P16" s="15" t="n">
        <v>35</v>
      </c>
      <c r="Q16" s="15" t="n">
        <v>30</v>
      </c>
      <c r="R16" s="15" t="inlineStr">
        <is>
          <t>Planned</t>
        </is>
      </c>
      <c r="S16" s="15" t="inlineStr">
        <is>
          <t>Not sent</t>
        </is>
      </c>
      <c r="T16" s="15" t="inlineStr">
        <is>
          <t>Supervisor checkpoint</t>
        </is>
      </c>
    </row>
    <row r="17" ht="15" customHeight="1" s="8">
      <c r="A17" s="15" t="inlineStr">
        <is>
          <t>RA-008F</t>
        </is>
      </c>
      <c r="B17" s="15" t="inlineStr">
        <is>
          <t>A-1004</t>
        </is>
      </c>
      <c r="C17" s="15" t="inlineStr">
        <is>
          <t>Harborview Furnishings</t>
        </is>
      </c>
      <c r="D17" s="15" t="inlineStr">
        <is>
          <t>Tier 3</t>
        </is>
      </c>
      <c r="E17" s="15" t="inlineStr">
        <is>
          <t>Approved execution</t>
        </is>
      </c>
      <c r="F17" s="15" t="inlineStr">
        <is>
          <t>Luis Romero</t>
        </is>
      </c>
      <c r="G17" s="15" t="inlineStr">
        <is>
          <t>Priya Nair</t>
        </is>
      </c>
      <c r="H17" s="15" t="inlineStr">
        <is>
          <t>CT-004A</t>
        </is>
      </c>
      <c r="I17" s="15" t="inlineStr">
        <is>
          <t>Nina Cho</t>
        </is>
      </c>
      <c r="J17" s="15" t="inlineStr">
        <is>
          <t>CRM task</t>
        </is>
      </c>
      <c r="K17" s="15" t="inlineStr">
        <is>
          <t>Post-contact confirmation and CRM update</t>
        </is>
      </c>
      <c r="L17" s="15" t="inlineStr">
        <is>
          <t>SW-PKG</t>
        </is>
      </c>
      <c r="M17" s="15" t="inlineStr">
        <is>
          <t>CASE-7206</t>
        </is>
      </c>
      <c r="N17" s="15" t="inlineStr">
        <is>
          <t>Customer response from first touch</t>
        </is>
      </c>
      <c r="O17" s="16" t="n">
        <v>46225.47916666666</v>
      </c>
      <c r="P17" s="15" t="n">
        <v>20</v>
      </c>
      <c r="Q17" s="15" t="n">
        <v>15</v>
      </c>
      <c r="R17" s="15" t="inlineStr">
        <is>
          <t>Planned</t>
        </is>
      </c>
      <c r="S17" s="15" t="inlineStr">
        <is>
          <t>Pending first touch</t>
        </is>
      </c>
      <c r="T17" s="15" t="inlineStr">
        <is>
          <t>Reschedule before daily 16:00 checkpoint</t>
        </is>
      </c>
    </row>
    <row r="18" ht="15" customHeight="1" s="8">
      <c r="A18" s="15" t="inlineStr">
        <is>
          <t>RA-009</t>
        </is>
      </c>
      <c r="B18" s="15" t="inlineStr">
        <is>
          <t>A-1011</t>
        </is>
      </c>
      <c r="C18" s="15" t="inlineStr">
        <is>
          <t>Solstice Energy Co-op</t>
        </is>
      </c>
      <c r="D18" s="15" t="inlineStr">
        <is>
          <t>Tier 3</t>
        </is>
      </c>
      <c r="E18" s="15" t="inlineStr">
        <is>
          <t>Approved execution</t>
        </is>
      </c>
      <c r="F18" s="15" t="inlineStr">
        <is>
          <t>Maya Chen</t>
        </is>
      </c>
      <c r="G18" s="15" t="inlineStr">
        <is>
          <t>Jordan Patel</t>
        </is>
      </c>
      <c r="H18" s="15" t="inlineStr">
        <is>
          <t>CT-011A</t>
        </is>
      </c>
      <c r="I18" s="15" t="inlineStr">
        <is>
          <t>Imani Hart</t>
        </is>
      </c>
      <c r="J18" s="15" t="inlineStr">
        <is>
          <t>Email</t>
        </is>
      </c>
      <c r="K18" s="15" t="inlineStr">
        <is>
          <t>Reporting package send</t>
        </is>
      </c>
      <c r="L18" s="15" t="inlineStr">
        <is>
          <t>RPT-COMP</t>
        </is>
      </c>
      <c r="M18" s="15" t="inlineStr">
        <is>
          <t>CASE-7214</t>
        </is>
      </c>
      <c r="N18" s="15" t="inlineStr">
        <is>
          <t>Corrected lift model</t>
        </is>
      </c>
      <c r="O18" s="16" t="n">
        <v>46224.45833333334</v>
      </c>
      <c r="P18" s="15" t="n">
        <v>30</v>
      </c>
      <c r="Q18" s="15" t="n">
        <v>30</v>
      </c>
      <c r="R18" s="15" t="inlineStr">
        <is>
          <t>Planned</t>
        </is>
      </c>
      <c r="S18" s="15" t="inlineStr">
        <is>
          <t>Not sent</t>
        </is>
      </c>
      <c r="T18" s="15" t="inlineStr">
        <is>
          <t>Supervisor checkpoint</t>
        </is>
      </c>
    </row>
    <row r="19" ht="15" customHeight="1" s="8">
      <c r="A19" s="15" t="inlineStr">
        <is>
          <t>RA-009F</t>
        </is>
      </c>
      <c r="B19" s="15" t="inlineStr">
        <is>
          <t>A-1011</t>
        </is>
      </c>
      <c r="C19" s="15" t="inlineStr">
        <is>
          <t>Solstice Energy Co-op</t>
        </is>
      </c>
      <c r="D19" s="15" t="inlineStr">
        <is>
          <t>Tier 3</t>
        </is>
      </c>
      <c r="E19" s="15" t="inlineStr">
        <is>
          <t>Approved execution</t>
        </is>
      </c>
      <c r="F19" s="15" t="inlineStr">
        <is>
          <t>Maya Chen</t>
        </is>
      </c>
      <c r="G19" s="15" t="inlineStr">
        <is>
          <t>Jordan Patel</t>
        </is>
      </c>
      <c r="H19" s="15" t="inlineStr">
        <is>
          <t>CT-011A</t>
        </is>
      </c>
      <c r="I19" s="15" t="inlineStr">
        <is>
          <t>Imani Hart</t>
        </is>
      </c>
      <c r="J19" s="15" t="inlineStr">
        <is>
          <t>CRM task</t>
        </is>
      </c>
      <c r="K19" s="15" t="inlineStr">
        <is>
          <t>Post-contact confirmation and CRM update</t>
        </is>
      </c>
      <c r="L19" s="15" t="inlineStr">
        <is>
          <t>RPT-COMP</t>
        </is>
      </c>
      <c r="M19" s="15" t="inlineStr">
        <is>
          <t>CASE-7214</t>
        </is>
      </c>
      <c r="N19" s="15" t="inlineStr">
        <is>
          <t>Customer response from first touch</t>
        </is>
      </c>
      <c r="O19" s="16" t="n">
        <v>46225.54166666666</v>
      </c>
      <c r="P19" s="15" t="n">
        <v>20</v>
      </c>
      <c r="Q19" s="15" t="n">
        <v>15</v>
      </c>
      <c r="R19" s="15" t="inlineStr">
        <is>
          <t>Planned</t>
        </is>
      </c>
      <c r="S19" s="15" t="inlineStr">
        <is>
          <t>Pending first touch</t>
        </is>
      </c>
      <c r="T19" s="15" t="inlineStr">
        <is>
          <t>Reschedule before daily 16:00 checkpoint</t>
        </is>
      </c>
    </row>
    <row r="20" ht="15" customHeight="1" s="8">
      <c r="A20" s="15" t="inlineStr">
        <is>
          <t>RA-010</t>
        </is>
      </c>
      <c r="B20" s="15" t="inlineStr">
        <is>
          <t>A-1008</t>
        </is>
      </c>
      <c r="C20" s="15" t="inlineStr">
        <is>
          <t>Veridian Charter Schools</t>
        </is>
      </c>
      <c r="D20" s="15" t="inlineStr">
        <is>
          <t>Tier 3</t>
        </is>
      </c>
      <c r="E20" s="15" t="inlineStr">
        <is>
          <t>Approved execution</t>
        </is>
      </c>
      <c r="F20" s="15" t="inlineStr">
        <is>
          <t>Priya Nair</t>
        </is>
      </c>
      <c r="G20" s="15" t="inlineStr">
        <is>
          <t>Maya Chen</t>
        </is>
      </c>
      <c r="H20" s="15" t="inlineStr">
        <is>
          <t>CT-008A</t>
        </is>
      </c>
      <c r="I20" s="15" t="inlineStr">
        <is>
          <t>Julian Pierce</t>
        </is>
      </c>
      <c r="J20" s="15" t="inlineStr">
        <is>
          <t>Email</t>
        </is>
      </c>
      <c r="K20" s="15" t="inlineStr">
        <is>
          <t>Reporting package send</t>
        </is>
      </c>
      <c r="L20" s="15" t="inlineStr">
        <is>
          <t>RPT-COMP</t>
        </is>
      </c>
      <c r="M20" s="15" t="inlineStr">
        <is>
          <t>CASE-7211</t>
        </is>
      </c>
      <c r="N20" s="15" t="inlineStr">
        <is>
          <t>District reach report</t>
        </is>
      </c>
      <c r="O20" s="16" t="n">
        <v>46225.41666666666</v>
      </c>
      <c r="P20" s="15" t="n">
        <v>30</v>
      </c>
      <c r="Q20" s="15" t="n">
        <v>30</v>
      </c>
      <c r="R20" s="15" t="inlineStr">
        <is>
          <t>Planned</t>
        </is>
      </c>
      <c r="S20" s="15" t="inlineStr">
        <is>
          <t>Not sent</t>
        </is>
      </c>
      <c r="T20" s="15" t="inlineStr">
        <is>
          <t>Supervisor checkpoint</t>
        </is>
      </c>
    </row>
    <row r="21" ht="15" customHeight="1" s="8">
      <c r="A21" s="15" t="inlineStr">
        <is>
          <t>RA-010F</t>
        </is>
      </c>
      <c r="B21" s="15" t="inlineStr">
        <is>
          <t>A-1008</t>
        </is>
      </c>
      <c r="C21" s="15" t="inlineStr">
        <is>
          <t>Veridian Charter Schools</t>
        </is>
      </c>
      <c r="D21" s="15" t="inlineStr">
        <is>
          <t>Tier 3</t>
        </is>
      </c>
      <c r="E21" s="15" t="inlineStr">
        <is>
          <t>Approved execution</t>
        </is>
      </c>
      <c r="F21" s="15" t="inlineStr">
        <is>
          <t>Priya Nair</t>
        </is>
      </c>
      <c r="G21" s="15" t="inlineStr">
        <is>
          <t>Maya Chen</t>
        </is>
      </c>
      <c r="H21" s="15" t="inlineStr">
        <is>
          <t>CT-008A</t>
        </is>
      </c>
      <c r="I21" s="15" t="inlineStr">
        <is>
          <t>Julian Pierce</t>
        </is>
      </c>
      <c r="J21" s="15" t="inlineStr">
        <is>
          <t>CRM task</t>
        </is>
      </c>
      <c r="K21" s="15" t="inlineStr">
        <is>
          <t>Post-contact confirmation and CRM update</t>
        </is>
      </c>
      <c r="L21" s="15" t="inlineStr">
        <is>
          <t>RPT-COMP</t>
        </is>
      </c>
      <c r="M21" s="15" t="inlineStr">
        <is>
          <t>CASE-7211</t>
        </is>
      </c>
      <c r="N21" s="15" t="inlineStr">
        <is>
          <t>Customer response from first touch</t>
        </is>
      </c>
      <c r="O21" s="16" t="n">
        <v>46226.5</v>
      </c>
      <c r="P21" s="15" t="n">
        <v>20</v>
      </c>
      <c r="Q21" s="15" t="n">
        <v>15</v>
      </c>
      <c r="R21" s="15" t="inlineStr">
        <is>
          <t>Planned</t>
        </is>
      </c>
      <c r="S21" s="15" t="inlineStr">
        <is>
          <t>Pending first touch</t>
        </is>
      </c>
      <c r="T21" s="15" t="inlineStr">
        <is>
          <t>Reschedule before daily 16:00 checkpoint</t>
        </is>
      </c>
    </row>
    <row r="22" ht="15" customHeight="1" s="8">
      <c r="A22" s="15" t="inlineStr">
        <is>
          <t>RA-011</t>
        </is>
      </c>
      <c r="B22" s="15" t="inlineStr">
        <is>
          <t>A-1006</t>
        </is>
      </c>
      <c r="C22" s="15" t="inlineStr">
        <is>
          <t>Greenway Kitchens</t>
        </is>
      </c>
      <c r="D22" s="15" t="inlineStr">
        <is>
          <t>Tier 3</t>
        </is>
      </c>
      <c r="E22" s="15" t="inlineStr">
        <is>
          <t>Approved execution</t>
        </is>
      </c>
      <c r="F22" s="15" t="inlineStr">
        <is>
          <t>Maya Chen</t>
        </is>
      </c>
      <c r="G22" s="15" t="inlineStr">
        <is>
          <t>Priya Nair</t>
        </is>
      </c>
      <c r="H22" s="15" t="inlineStr">
        <is>
          <t>CT-006A</t>
        </is>
      </c>
      <c r="I22" s="15" t="inlineStr">
        <is>
          <t>Gloria Kim</t>
        </is>
      </c>
      <c r="J22" s="15" t="inlineStr">
        <is>
          <t>Email</t>
        </is>
      </c>
      <c r="K22" s="15" t="inlineStr">
        <is>
          <t>Credit confirmation</t>
        </is>
      </c>
      <c r="L22" s="15" t="inlineStr">
        <is>
          <t>CR-10K</t>
        </is>
      </c>
      <c r="M22" s="15" t="inlineStr">
        <is>
          <t>CASE-7209</t>
        </is>
      </c>
      <c r="N22" s="15" t="inlineStr">
        <is>
          <t>Billing credit memo</t>
        </is>
      </c>
      <c r="O22" s="16" t="n">
        <v>46225.54166666666</v>
      </c>
      <c r="P22" s="15" t="n">
        <v>25</v>
      </c>
      <c r="Q22" s="15" t="n">
        <v>20</v>
      </c>
      <c r="R22" s="15" t="inlineStr">
        <is>
          <t>Planned</t>
        </is>
      </c>
      <c r="S22" s="15" t="inlineStr">
        <is>
          <t>Not sent</t>
        </is>
      </c>
      <c r="T22" s="15" t="inlineStr">
        <is>
          <t>Supervisor checkpoint</t>
        </is>
      </c>
    </row>
    <row r="23" ht="15" customHeight="1" s="8">
      <c r="A23" s="15" t="inlineStr">
        <is>
          <t>RA-011F</t>
        </is>
      </c>
      <c r="B23" s="15" t="inlineStr">
        <is>
          <t>A-1006</t>
        </is>
      </c>
      <c r="C23" s="15" t="inlineStr">
        <is>
          <t>Greenway Kitchens</t>
        </is>
      </c>
      <c r="D23" s="15" t="inlineStr">
        <is>
          <t>Tier 3</t>
        </is>
      </c>
      <c r="E23" s="15" t="inlineStr">
        <is>
          <t>Approved execution</t>
        </is>
      </c>
      <c r="F23" s="15" t="inlineStr">
        <is>
          <t>Maya Chen</t>
        </is>
      </c>
      <c r="G23" s="15" t="inlineStr">
        <is>
          <t>Priya Nair</t>
        </is>
      </c>
      <c r="H23" s="15" t="inlineStr">
        <is>
          <t>CT-006A</t>
        </is>
      </c>
      <c r="I23" s="15" t="inlineStr">
        <is>
          <t>Gloria Kim</t>
        </is>
      </c>
      <c r="J23" s="15" t="inlineStr">
        <is>
          <t>CRM task</t>
        </is>
      </c>
      <c r="K23" s="15" t="inlineStr">
        <is>
          <t>Post-contact confirmation and CRM update</t>
        </is>
      </c>
      <c r="L23" s="15" t="inlineStr">
        <is>
          <t>CR-10K</t>
        </is>
      </c>
      <c r="M23" s="15" t="inlineStr">
        <is>
          <t>CASE-7209</t>
        </is>
      </c>
      <c r="N23" s="15" t="inlineStr">
        <is>
          <t>Customer response from first touch</t>
        </is>
      </c>
      <c r="O23" s="16" t="n">
        <v>46226.625</v>
      </c>
      <c r="P23" s="15" t="n">
        <v>20</v>
      </c>
      <c r="Q23" s="15" t="n">
        <v>15</v>
      </c>
      <c r="R23" s="15" t="inlineStr">
        <is>
          <t>Planned</t>
        </is>
      </c>
      <c r="S23" s="15" t="inlineStr">
        <is>
          <t>Pending first touch</t>
        </is>
      </c>
      <c r="T23" s="15" t="inlineStr">
        <is>
          <t>Reschedule before daily 16:00 checkpoint</t>
        </is>
      </c>
    </row>
    <row r="24" ht="15" customHeight="1" s="8">
      <c r="A24" s="15" t="inlineStr">
        <is>
          <t>RA-012</t>
        </is>
      </c>
      <c r="B24" s="15" t="inlineStr">
        <is>
          <t>A-1010</t>
        </is>
      </c>
      <c r="C24" s="15" t="inlineStr">
        <is>
          <t>Finch Legal Group</t>
        </is>
      </c>
      <c r="D24" s="15" t="inlineStr">
        <is>
          <t>Tier 3</t>
        </is>
      </c>
      <c r="E24" s="15" t="inlineStr">
        <is>
          <t>Approved execution</t>
        </is>
      </c>
      <c r="F24" s="15" t="inlineStr">
        <is>
          <t>Devon Brooks</t>
        </is>
      </c>
      <c r="G24" s="15" t="inlineStr">
        <is>
          <t>Luis Romero</t>
        </is>
      </c>
      <c r="H24" s="15" t="inlineStr">
        <is>
          <t>CT-010A</t>
        </is>
      </c>
      <c r="I24" s="15" t="inlineStr">
        <is>
          <t>Evan Finch</t>
        </is>
      </c>
      <c r="J24" s="15" t="inlineStr">
        <is>
          <t>Email</t>
        </is>
      </c>
      <c r="K24" s="15" t="inlineStr">
        <is>
          <t>Rate hold confirmation</t>
        </is>
      </c>
      <c r="L24" s="15" t="inlineStr">
        <is>
          <t>RH-60</t>
        </is>
      </c>
      <c r="M24" s="15" t="inlineStr">
        <is>
          <t>CASE-7213</t>
        </is>
      </c>
      <c r="N24" s="15" t="inlineStr">
        <is>
          <t>Rate hold language</t>
        </is>
      </c>
      <c r="O24" s="16" t="n">
        <v>46226.4375</v>
      </c>
      <c r="P24" s="15" t="n">
        <v>25</v>
      </c>
      <c r="Q24" s="15" t="n">
        <v>20</v>
      </c>
      <c r="R24" s="15" t="inlineStr">
        <is>
          <t>Planned</t>
        </is>
      </c>
      <c r="S24" s="15" t="inlineStr">
        <is>
          <t>Not sent</t>
        </is>
      </c>
      <c r="T24" s="15" t="inlineStr">
        <is>
          <t>Supervisor checkpoint</t>
        </is>
      </c>
    </row>
    <row r="25" ht="15" customHeight="1" s="8">
      <c r="A25" s="15" t="inlineStr">
        <is>
          <t>RA-012F</t>
        </is>
      </c>
      <c r="B25" s="15" t="inlineStr">
        <is>
          <t>A-1010</t>
        </is>
      </c>
      <c r="C25" s="15" t="inlineStr">
        <is>
          <t>Finch Legal Group</t>
        </is>
      </c>
      <c r="D25" s="15" t="inlineStr">
        <is>
          <t>Tier 3</t>
        </is>
      </c>
      <c r="E25" s="15" t="inlineStr">
        <is>
          <t>Approved execution</t>
        </is>
      </c>
      <c r="F25" s="15" t="inlineStr">
        <is>
          <t>Devon Brooks</t>
        </is>
      </c>
      <c r="G25" s="15" t="inlineStr">
        <is>
          <t>Luis Romero</t>
        </is>
      </c>
      <c r="H25" s="15" t="inlineStr">
        <is>
          <t>CT-010A</t>
        </is>
      </c>
      <c r="I25" s="15" t="inlineStr">
        <is>
          <t>Evan Finch</t>
        </is>
      </c>
      <c r="J25" s="15" t="inlineStr">
        <is>
          <t>CRM task</t>
        </is>
      </c>
      <c r="K25" s="15" t="inlineStr">
        <is>
          <t>Post-contact confirmation and CRM update</t>
        </is>
      </c>
      <c r="L25" s="15" t="inlineStr">
        <is>
          <t>RH-60</t>
        </is>
      </c>
      <c r="M25" s="15" t="inlineStr">
        <is>
          <t>CASE-7213</t>
        </is>
      </c>
      <c r="N25" s="15" t="inlineStr">
        <is>
          <t>Customer response from first touch</t>
        </is>
      </c>
      <c r="O25" s="16" t="n">
        <v>46227.52083333334</v>
      </c>
      <c r="P25" s="15" t="n">
        <v>20</v>
      </c>
      <c r="Q25" s="15" t="n">
        <v>15</v>
      </c>
      <c r="R25" s="15" t="inlineStr">
        <is>
          <t>Planned</t>
        </is>
      </c>
      <c r="S25" s="15" t="inlineStr">
        <is>
          <t>Pending first touch</t>
        </is>
      </c>
      <c r="T25" s="15" t="inlineStr">
        <is>
          <t>Reschedule before daily 16:00 checkpoint</t>
        </is>
      </c>
    </row>
    <row r="26" ht="15" customHeight="1" s="8">
      <c r="A26" s="15" t="inlineStr">
        <is>
          <t>RA-013</t>
        </is>
      </c>
      <c r="B26" s="15" t="inlineStr">
        <is>
          <t>A-1014</t>
        </is>
      </c>
      <c r="C26" s="15" t="inlineStr">
        <is>
          <t>SummitBank SMB Services</t>
        </is>
      </c>
      <c r="D26" s="15" t="inlineStr">
        <is>
          <t>Controlled exception/hold</t>
        </is>
      </c>
      <c r="E26" s="15" t="inlineStr">
        <is>
          <t>Controlled exception</t>
        </is>
      </c>
      <c r="F26" s="15" t="inlineStr">
        <is>
          <t>Luis Romero</t>
        </is>
      </c>
      <c r="G26" s="15" t="inlineStr">
        <is>
          <t>Jordan Patel</t>
        </is>
      </c>
      <c r="H26" s="15" t="n"/>
      <c r="I26" s="15" t="inlineStr">
        <is>
          <t>Internal owner</t>
        </is>
      </c>
      <c r="J26" s="15" t="inlineStr">
        <is>
          <t>Internal</t>
        </is>
      </c>
      <c r="K26" s="15" t="inlineStr">
        <is>
          <t>Manager exception review</t>
        </is>
      </c>
      <c r="L26" s="15" t="inlineStr">
        <is>
          <t>MGR-REQ</t>
        </is>
      </c>
      <c r="M26" s="15" t="inlineStr">
        <is>
          <t>CASE-7218</t>
        </is>
      </c>
      <c r="N26" s="15" t="inlineStr">
        <is>
          <t>Over-limit credit approval</t>
        </is>
      </c>
      <c r="O26" s="16" t="n">
        <v>46220.625</v>
      </c>
      <c r="P26" s="15" t="n">
        <v>30</v>
      </c>
      <c r="Q26" s="15" t="n">
        <v>15</v>
      </c>
      <c r="R26" s="15" t="inlineStr">
        <is>
          <t>Blocked</t>
        </is>
      </c>
      <c r="S26" s="15" t="inlineStr">
        <is>
          <t>Internal hold</t>
        </is>
      </c>
      <c r="T26" s="15" t="inlineStr">
        <is>
          <t>Requested credit is above supervisor authority</t>
        </is>
      </c>
    </row>
    <row r="27" ht="15" customHeight="1" s="8">
      <c r="A27" s="15" t="inlineStr">
        <is>
          <t>RA-014</t>
        </is>
      </c>
      <c r="B27" s="15" t="inlineStr">
        <is>
          <t>A-1013</t>
        </is>
      </c>
      <c r="C27" s="15" t="inlineStr">
        <is>
          <t>BrightPath Dental Alliance</t>
        </is>
      </c>
      <c r="D27" s="15" t="inlineStr">
        <is>
          <t>Controlled exception/hold</t>
        </is>
      </c>
      <c r="E27" s="15" t="inlineStr">
        <is>
          <t>Controlled exception</t>
        </is>
      </c>
      <c r="F27" s="15" t="inlineStr">
        <is>
          <t>Priya Nair</t>
        </is>
      </c>
      <c r="G27" s="15" t="inlineStr">
        <is>
          <t>Devon Brooks</t>
        </is>
      </c>
      <c r="H27" s="15" t="n"/>
      <c r="I27" s="15" t="inlineStr">
        <is>
          <t>Internal owner</t>
        </is>
      </c>
      <c r="J27" s="15" t="inlineStr">
        <is>
          <t>Internal</t>
        </is>
      </c>
      <c r="K27" s="15" t="inlineStr">
        <is>
          <t>Contact-route clearance</t>
        </is>
      </c>
      <c r="L27" s="15" t="inlineStr">
        <is>
          <t>MG-15</t>
        </is>
      </c>
      <c r="M27" s="15" t="inlineStr">
        <is>
          <t>CASE-7217</t>
        </is>
      </c>
      <c r="N27" s="15" t="inlineStr">
        <is>
          <t>Decision-maker permission</t>
        </is>
      </c>
      <c r="O27" s="16" t="n">
        <v>46223.625</v>
      </c>
      <c r="P27" s="15" t="n">
        <v>30</v>
      </c>
      <c r="Q27" s="15" t="n">
        <v>15</v>
      </c>
      <c r="R27" s="15" t="inlineStr">
        <is>
          <t>Blocked</t>
        </is>
      </c>
      <c r="S27" s="15" t="inlineStr">
        <is>
          <t>Internal hold</t>
        </is>
      </c>
      <c r="T27" s="15" t="inlineStr">
        <is>
          <t>Decision-maker outreach permission pending</t>
        </is>
      </c>
    </row>
    <row r="28" ht="15" customHeight="1" s="8">
      <c r="A28" s="15" t="inlineStr">
        <is>
          <t>RA-015</t>
        </is>
      </c>
      <c r="B28" s="15" t="inlineStr">
        <is>
          <t>A-1015</t>
        </is>
      </c>
      <c r="C28" s="15" t="inlineStr">
        <is>
          <t>Mesa Tool Supply</t>
        </is>
      </c>
      <c r="D28" s="15" t="inlineStr">
        <is>
          <t>Controlled exception/hold</t>
        </is>
      </c>
      <c r="E28" s="15" t="inlineStr">
        <is>
          <t>Controlled exception</t>
        </is>
      </c>
      <c r="F28" s="15" t="inlineStr">
        <is>
          <t>Devon Brooks</t>
        </is>
      </c>
      <c r="G28" s="15" t="inlineStr">
        <is>
          <t>Luis Romero</t>
        </is>
      </c>
      <c r="H28" s="15" t="n"/>
      <c r="I28" s="15" t="inlineStr">
        <is>
          <t>Internal owner</t>
        </is>
      </c>
      <c r="J28" s="15" t="inlineStr">
        <is>
          <t>Internal</t>
        </is>
      </c>
      <c r="K28" s="15" t="inlineStr">
        <is>
          <t>Ad-ops blocker clearance</t>
        </is>
      </c>
      <c r="L28" s="15" t="inlineStr">
        <is>
          <t>SW-PKG</t>
        </is>
      </c>
      <c r="M28" s="15" t="inlineStr">
        <is>
          <t>CASE-7219</t>
        </is>
      </c>
      <c r="N28" s="15" t="inlineStr">
        <is>
          <t>Feed proof</t>
        </is>
      </c>
      <c r="O28" s="16" t="n">
        <v>46224.625</v>
      </c>
      <c r="P28" s="15" t="n">
        <v>30</v>
      </c>
      <c r="Q28" s="15" t="n">
        <v>15</v>
      </c>
      <c r="R28" s="15" t="inlineStr">
        <is>
          <t>Blocked</t>
        </is>
      </c>
      <c r="S28" s="15" t="inlineStr">
        <is>
          <t>Internal hold</t>
        </is>
      </c>
      <c r="T28" s="15" t="inlineStr">
        <is>
          <t>Ad-ops blocker not cleared</t>
        </is>
      </c>
    </row>
    <row r="29" ht="15" customHeight="1" s="8">
      <c r="A29" s="15" t="inlineStr">
        <is>
          <t>RA-016</t>
        </is>
      </c>
      <c r="B29" s="15" t="inlineStr">
        <is>
          <t>A-1017</t>
        </is>
      </c>
      <c r="C29" s="15" t="inlineStr">
        <is>
          <t>Atlas BioLabs</t>
        </is>
      </c>
      <c r="D29" s="15" t="inlineStr">
        <is>
          <t>Controlled exception/hold</t>
        </is>
      </c>
      <c r="E29" s="15" t="inlineStr">
        <is>
          <t>Controlled exception</t>
        </is>
      </c>
      <c r="F29" s="15" t="inlineStr">
        <is>
          <t>Jordan Patel</t>
        </is>
      </c>
      <c r="G29" s="15" t="inlineStr">
        <is>
          <t>Maya Chen</t>
        </is>
      </c>
      <c r="H29" s="15" t="n"/>
      <c r="I29" s="15" t="inlineStr">
        <is>
          <t>Internal owner</t>
        </is>
      </c>
      <c r="J29" s="15" t="inlineStr">
        <is>
          <t>Internal</t>
        </is>
      </c>
      <c r="K29" s="15" t="inlineStr">
        <is>
          <t>Manager/legal exception review</t>
        </is>
      </c>
      <c r="L29" s="15" t="inlineStr">
        <is>
          <t>MGR-REQ</t>
        </is>
      </c>
      <c r="M29" s="15" t="inlineStr">
        <is>
          <t>CASE-7221</t>
        </is>
      </c>
      <c r="N29" s="15" t="inlineStr">
        <is>
          <t>Legal owner response</t>
        </is>
      </c>
      <c r="O29" s="16" t="n">
        <v>46225.625</v>
      </c>
      <c r="P29" s="15" t="n">
        <v>45</v>
      </c>
      <c r="Q29" s="15" t="n">
        <v>15</v>
      </c>
      <c r="R29" s="15" t="inlineStr">
        <is>
          <t>Blocked</t>
        </is>
      </c>
      <c r="S29" s="15" t="inlineStr">
        <is>
          <t>Internal hold</t>
        </is>
      </c>
      <c r="T29" s="15" t="inlineStr">
        <is>
          <t>Contract terms outside local authority</t>
        </is>
      </c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autoFilter ref="A1:T29"/>
  <conditionalFormatting sqref="A2:T29">
    <cfRule type="expression" priority="1" dxfId="3">
      <formula>$R2="Blocked"</formula>
    </cfRule>
    <cfRule type="expression" priority="2" dxfId="4">
      <formula>INT($O2)=DATE(2026,7,17)</formula>
    </cfRule>
    <cfRule type="expression" priority="3" dxfId="5">
      <formula>AND($R2&lt;&gt;"Completed",$S2&lt;&gt;"Confirmed",$O2&lt;DATE(2026,7,24))</formula>
    </cfRule>
    <cfRule type="expression" priority="4" dxfId="6">
      <formula>$E2="Controlled exception"</formula>
    </cfRule>
  </conditionalFormatting>
  <dataValidations count="5">
    <dataValidation sqref="R2:R200" showDropDown="0" showInputMessage="0" showErrorMessage="0" allowBlank="1" type="list" errorStyle="stop" operator="between">
      <formula1>"Planned,Confirmed,Completed,Blocked,Rescheduled,Escalated"</formula1>
      <formula2>0</formula2>
    </dataValidation>
    <dataValidation sqref="F2:F200" showDropDown="0" showInputMessage="0" showErrorMessage="0" allowBlank="1" errorTitle="Controlled value required" error="Choose a controlled value from the approved list." promptTitle="Approved values" prompt="Owner must be one of the approved account owners." type="list">
      <formula1>=OwnerList</formula1>
    </dataValidation>
    <dataValidation sqref="J2:J200" showDropDown="0" showInputMessage="0" showErrorMessage="0" allowBlank="1" errorTitle="Controlled value required" error="Choose a controlled value from the approved list." promptTitle="Approved values" prompt="Channel must match a permitted outreach or internal route." type="list">
      <formula1>=ChannelList</formula1>
    </dataValidation>
    <dataValidation sqref="R2:R200" showDropDown="0" showInputMessage="0" showErrorMessage="0" allowBlank="1" errorTitle="Controlled value required" error="Choose a controlled value from the approved list." promptTitle="Approved values" prompt="Action status must use the sprint control vocabulary." type="list">
      <formula1>=ScheduleStatusList</formula1>
    </dataValidation>
    <dataValidation sqref="T2:T200" showDropDown="0" showInputMessage="0" showErrorMessage="0" allowBlank="1" errorTitle="Controlled value required" error="Choose a controlled value from the approved list." promptTitle="Approved values" prompt="Contingency route must preserve approved exception handling." type="list">
      <formula1>=ScheduleExceptionRouteList</formula1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.08" customWidth="1" style="7" min="1" max="1"/>
    <col width="13.2" customWidth="1" style="7" min="2" max="2"/>
    <col width="15.44" customWidth="1" style="7" min="3" max="3"/>
    <col width="23.28" customWidth="1" style="7" min="4" max="4"/>
    <col width="15.44" customWidth="1" style="7" min="5" max="5"/>
    <col width="13.2" customWidth="1" style="7" min="6" max="6"/>
    <col width="17.68" customWidth="1" style="7" min="7" max="7"/>
    <col width="15.44" customWidth="1" style="7" min="8" max="8"/>
    <col width="11" customWidth="1" style="7" min="9" max="9"/>
    <col width="40.08" customWidth="1" style="7" min="10" max="10"/>
  </cols>
  <sheetData>
    <row r="1" ht="15" customHeight="1" s="8">
      <c r="A1" s="9" t="inlineStr">
        <is>
          <t>Action ID</t>
        </is>
      </c>
      <c r="B1" s="9" t="inlineStr">
        <is>
          <t>Account ID</t>
        </is>
      </c>
      <c r="C1" s="9" t="inlineStr">
        <is>
          <t>Owner Rep</t>
        </is>
      </c>
      <c r="D1" s="9" t="inlineStr">
        <is>
          <t>Scheduled Start</t>
        </is>
      </c>
      <c r="E1" s="9" t="inlineStr">
        <is>
          <t>Duration Min</t>
        </is>
      </c>
      <c r="F1" s="9" t="inlineStr">
        <is>
          <t>Buffer Min</t>
        </is>
      </c>
      <c r="G1" s="9" t="inlineStr">
        <is>
          <t>Calculated End</t>
        </is>
      </c>
      <c r="H1" s="9" t="inlineStr">
        <is>
          <t>Day</t>
        </is>
      </c>
      <c r="I1" s="9" t="inlineStr">
        <is>
          <t>Status</t>
        </is>
      </c>
      <c r="J1" s="9" t="inlineStr">
        <is>
          <t>Dependency</t>
        </is>
      </c>
    </row>
    <row r="2" ht="15" customHeight="1" s="8">
      <c r="A2" s="15" t="inlineStr">
        <is>
          <t>RA-001</t>
        </is>
      </c>
      <c r="B2" s="15" t="inlineStr">
        <is>
          <t>A-1005</t>
        </is>
      </c>
      <c r="C2" s="15" t="inlineStr">
        <is>
          <t>Devon Brooks</t>
        </is>
      </c>
      <c r="D2" s="16" t="n">
        <v>46220.375</v>
      </c>
      <c r="E2" s="15" t="n">
        <v>45</v>
      </c>
      <c r="F2" s="15" t="n">
        <v>30</v>
      </c>
      <c r="G2" s="12">
        <f>D2+E2/1440</f>
        <v/>
      </c>
      <c r="H2" s="10">
        <f>INT(D2)</f>
        <v/>
      </c>
      <c r="I2" s="15" t="inlineStr">
        <is>
          <t>Planned</t>
        </is>
      </c>
      <c r="J2" s="15" t="inlineStr">
        <is>
          <t>Audience proof deck</t>
        </is>
      </c>
    </row>
    <row r="3" ht="15" customHeight="1" s="8">
      <c r="A3" s="15" t="inlineStr">
        <is>
          <t>RA-001F</t>
        </is>
      </c>
      <c r="B3" s="15" t="inlineStr">
        <is>
          <t>A-1005</t>
        </is>
      </c>
      <c r="C3" s="15" t="inlineStr">
        <is>
          <t>Devon Brooks</t>
        </is>
      </c>
      <c r="D3" s="16" t="n">
        <v>46221.45833333334</v>
      </c>
      <c r="E3" s="15" t="n">
        <v>20</v>
      </c>
      <c r="F3" s="15" t="n">
        <v>15</v>
      </c>
      <c r="G3" s="12">
        <f>D3+E3/1440</f>
        <v/>
      </c>
      <c r="H3" s="10">
        <f>INT(D3)</f>
        <v/>
      </c>
      <c r="I3" s="15" t="inlineStr">
        <is>
          <t>Planned</t>
        </is>
      </c>
      <c r="J3" s="15" t="inlineStr">
        <is>
          <t>Customer response from first touch</t>
        </is>
      </c>
    </row>
    <row r="4" ht="15" customHeight="1" s="8">
      <c r="A4" s="15" t="inlineStr">
        <is>
          <t>RA-002</t>
        </is>
      </c>
      <c r="B4" s="15" t="inlineStr">
        <is>
          <t>A-1001</t>
        </is>
      </c>
      <c r="C4" s="15" t="inlineStr">
        <is>
          <t>Maya Chen</t>
        </is>
      </c>
      <c r="D4" s="16" t="n">
        <v>46220.42708333334</v>
      </c>
      <c r="E4" s="15" t="n">
        <v>45</v>
      </c>
      <c r="F4" s="15" t="n">
        <v>30</v>
      </c>
      <c r="G4" s="12">
        <f>D4+E4/1440</f>
        <v/>
      </c>
      <c r="H4" s="10">
        <f>INT(D4)</f>
        <v/>
      </c>
      <c r="I4" s="15" t="inlineStr">
        <is>
          <t>Planned</t>
        </is>
      </c>
      <c r="J4" s="15" t="inlineStr">
        <is>
          <t>Ad ops pacing confirmation</t>
        </is>
      </c>
    </row>
    <row r="5" ht="15" customHeight="1" s="8">
      <c r="A5" s="15" t="inlineStr">
        <is>
          <t>RA-002F</t>
        </is>
      </c>
      <c r="B5" s="15" t="inlineStr">
        <is>
          <t>A-1001</t>
        </is>
      </c>
      <c r="C5" s="15" t="inlineStr">
        <is>
          <t>Maya Chen</t>
        </is>
      </c>
      <c r="D5" s="16" t="n">
        <v>46221.51041666666</v>
      </c>
      <c r="E5" s="15" t="n">
        <v>20</v>
      </c>
      <c r="F5" s="15" t="n">
        <v>15</v>
      </c>
      <c r="G5" s="12">
        <f>D5+E5/1440</f>
        <v/>
      </c>
      <c r="H5" s="10">
        <f>INT(D5)</f>
        <v/>
      </c>
      <c r="I5" s="15" t="inlineStr">
        <is>
          <t>Planned</t>
        </is>
      </c>
      <c r="J5" s="15" t="inlineStr">
        <is>
          <t>Customer response from first touch</t>
        </is>
      </c>
    </row>
    <row r="6" ht="15" customHeight="1" s="8">
      <c r="A6" s="15" t="inlineStr">
        <is>
          <t>RA-003</t>
        </is>
      </c>
      <c r="B6" s="15" t="inlineStr">
        <is>
          <t>A-1012</t>
        </is>
      </c>
      <c r="C6" s="15" t="inlineStr">
        <is>
          <t>Jordan Patel</t>
        </is>
      </c>
      <c r="D6" s="16" t="n">
        <v>46220.47916666666</v>
      </c>
      <c r="E6" s="15" t="n">
        <v>45</v>
      </c>
      <c r="F6" s="15" t="n">
        <v>30</v>
      </c>
      <c r="G6" s="12">
        <f>D6+E6/1440</f>
        <v/>
      </c>
      <c r="H6" s="10">
        <f>INT(D6)</f>
        <v/>
      </c>
      <c r="I6" s="15" t="inlineStr">
        <is>
          <t>Planned</t>
        </is>
      </c>
      <c r="J6" s="15" t="inlineStr">
        <is>
          <t>Invoice correction owner</t>
        </is>
      </c>
    </row>
    <row r="7" ht="15" customHeight="1" s="8">
      <c r="A7" s="15" t="inlineStr">
        <is>
          <t>RA-003F</t>
        </is>
      </c>
      <c r="B7" s="15" t="inlineStr">
        <is>
          <t>A-1012</t>
        </is>
      </c>
      <c r="C7" s="15" t="inlineStr">
        <is>
          <t>Jordan Patel</t>
        </is>
      </c>
      <c r="D7" s="16" t="n">
        <v>46221.5625</v>
      </c>
      <c r="E7" s="15" t="n">
        <v>20</v>
      </c>
      <c r="F7" s="15" t="n">
        <v>15</v>
      </c>
      <c r="G7" s="12">
        <f>D7+E7/1440</f>
        <v/>
      </c>
      <c r="H7" s="10">
        <f>INT(D7)</f>
        <v/>
      </c>
      <c r="I7" s="15" t="inlineStr">
        <is>
          <t>Planned</t>
        </is>
      </c>
      <c r="J7" s="15" t="inlineStr">
        <is>
          <t>Customer response from first touch</t>
        </is>
      </c>
    </row>
    <row r="8" ht="15" customHeight="1" s="8">
      <c r="A8" s="15" t="inlineStr">
        <is>
          <t>RA-004</t>
        </is>
      </c>
      <c r="B8" s="15" t="inlineStr">
        <is>
          <t>A-1007</t>
        </is>
      </c>
      <c r="C8" s="15" t="inlineStr">
        <is>
          <t>Jordan Patel</t>
        </is>
      </c>
      <c r="D8" s="16" t="n">
        <v>46220.54166666666</v>
      </c>
      <c r="E8" s="15" t="n">
        <v>30</v>
      </c>
      <c r="F8" s="15" t="n">
        <v>30</v>
      </c>
      <c r="G8" s="12">
        <f>D8+E8/1440</f>
        <v/>
      </c>
      <c r="H8" s="10">
        <f>INT(D8)</f>
        <v/>
      </c>
      <c r="I8" s="15" t="inlineStr">
        <is>
          <t>Planned</t>
        </is>
      </c>
      <c r="J8" s="15" t="inlineStr">
        <is>
          <t>Makegood placement</t>
        </is>
      </c>
    </row>
    <row r="9" ht="15" customHeight="1" s="8">
      <c r="A9" s="15" t="inlineStr">
        <is>
          <t>RA-004F</t>
        </is>
      </c>
      <c r="B9" s="15" t="inlineStr">
        <is>
          <t>A-1007</t>
        </is>
      </c>
      <c r="C9" s="15" t="inlineStr">
        <is>
          <t>Jordan Patel</t>
        </is>
      </c>
      <c r="D9" s="16" t="n">
        <v>46221.625</v>
      </c>
      <c r="E9" s="15" t="n">
        <v>20</v>
      </c>
      <c r="F9" s="15" t="n">
        <v>15</v>
      </c>
      <c r="G9" s="12">
        <f>D9+E9/1440</f>
        <v/>
      </c>
      <c r="H9" s="10">
        <f>INT(D9)</f>
        <v/>
      </c>
      <c r="I9" s="15" t="inlineStr">
        <is>
          <t>Planned</t>
        </is>
      </c>
      <c r="J9" s="15" t="inlineStr">
        <is>
          <t>Customer response from first touch</t>
        </is>
      </c>
    </row>
    <row r="10" ht="15" customHeight="1" s="8">
      <c r="A10" s="15" t="inlineStr">
        <is>
          <t>RA-005</t>
        </is>
      </c>
      <c r="B10" s="15" t="inlineStr">
        <is>
          <t>A-1003</t>
        </is>
      </c>
      <c r="C10" s="15" t="inlineStr">
        <is>
          <t>Priya Nair</t>
        </is>
      </c>
      <c r="D10" s="16" t="n">
        <v>46223.39583333334</v>
      </c>
      <c r="E10" s="15" t="n">
        <v>45</v>
      </c>
      <c r="F10" s="15" t="n">
        <v>30</v>
      </c>
      <c r="G10" s="12">
        <f>D10+E10/1440</f>
        <v/>
      </c>
      <c r="H10" s="10">
        <f>INT(D10)</f>
        <v/>
      </c>
      <c r="I10" s="15" t="inlineStr">
        <is>
          <t>Planned</t>
        </is>
      </c>
      <c r="J10" s="15" t="inlineStr">
        <is>
          <t>Credit memo draft</t>
        </is>
      </c>
    </row>
    <row r="11" ht="15" customHeight="1" s="8">
      <c r="A11" s="15" t="inlineStr">
        <is>
          <t>RA-005F</t>
        </is>
      </c>
      <c r="B11" s="15" t="inlineStr">
        <is>
          <t>A-1003</t>
        </is>
      </c>
      <c r="C11" s="15" t="inlineStr">
        <is>
          <t>Priya Nair</t>
        </is>
      </c>
      <c r="D11" s="16" t="n">
        <v>46224.47916666666</v>
      </c>
      <c r="E11" s="15" t="n">
        <v>20</v>
      </c>
      <c r="F11" s="15" t="n">
        <v>15</v>
      </c>
      <c r="G11" s="12">
        <f>D11+E11/1440</f>
        <v/>
      </c>
      <c r="H11" s="10">
        <f>INT(D11)</f>
        <v/>
      </c>
      <c r="I11" s="15" t="inlineStr">
        <is>
          <t>Planned</t>
        </is>
      </c>
      <c r="J11" s="15" t="inlineStr">
        <is>
          <t>Customer response from first touch</t>
        </is>
      </c>
    </row>
    <row r="12" ht="15" customHeight="1" s="8">
      <c r="A12" s="15" t="inlineStr">
        <is>
          <t>RA-006</t>
        </is>
      </c>
      <c r="B12" s="15" t="inlineStr">
        <is>
          <t>A-1009</t>
        </is>
      </c>
      <c r="C12" s="15" t="inlineStr">
        <is>
          <t>Luis Romero</t>
        </is>
      </c>
      <c r="D12" s="16" t="n">
        <v>46223.45833333334</v>
      </c>
      <c r="E12" s="15" t="n">
        <v>45</v>
      </c>
      <c r="F12" s="15" t="n">
        <v>30</v>
      </c>
      <c r="G12" s="12">
        <f>D12+E12/1440</f>
        <v/>
      </c>
      <c r="H12" s="10">
        <f>INT(D12)</f>
        <v/>
      </c>
      <c r="I12" s="15" t="inlineStr">
        <is>
          <t>Planned</t>
        </is>
      </c>
      <c r="J12" s="15" t="inlineStr">
        <is>
          <t>Creative approval proof</t>
        </is>
      </c>
    </row>
    <row r="13" ht="15" customHeight="1" s="8">
      <c r="A13" s="15" t="inlineStr">
        <is>
          <t>RA-006F</t>
        </is>
      </c>
      <c r="B13" s="15" t="inlineStr">
        <is>
          <t>A-1009</t>
        </is>
      </c>
      <c r="C13" s="15" t="inlineStr">
        <is>
          <t>Luis Romero</t>
        </is>
      </c>
      <c r="D13" s="16" t="n">
        <v>46224.54166666666</v>
      </c>
      <c r="E13" s="15" t="n">
        <v>20</v>
      </c>
      <c r="F13" s="15" t="n">
        <v>15</v>
      </c>
      <c r="G13" s="12">
        <f>D13+E13/1440</f>
        <v/>
      </c>
      <c r="H13" s="10">
        <f>INT(D13)</f>
        <v/>
      </c>
      <c r="I13" s="15" t="inlineStr">
        <is>
          <t>Planned</t>
        </is>
      </c>
      <c r="J13" s="15" t="inlineStr">
        <is>
          <t>Customer response from first touch</t>
        </is>
      </c>
    </row>
    <row r="14" ht="15" customHeight="1" s="8">
      <c r="A14" s="15" t="inlineStr">
        <is>
          <t>RA-007</t>
        </is>
      </c>
      <c r="B14" s="15" t="inlineStr">
        <is>
          <t>A-1002</t>
        </is>
      </c>
      <c r="C14" s="15" t="inlineStr">
        <is>
          <t>Jordan Patel</t>
        </is>
      </c>
      <c r="D14" s="16" t="n">
        <v>46223.5625</v>
      </c>
      <c r="E14" s="15" t="n">
        <v>30</v>
      </c>
      <c r="F14" s="15" t="n">
        <v>30</v>
      </c>
      <c r="G14" s="12">
        <f>D14+E14/1440</f>
        <v/>
      </c>
      <c r="H14" s="10">
        <f>INT(D14)</f>
        <v/>
      </c>
      <c r="I14" s="15" t="inlineStr">
        <is>
          <t>Planned</t>
        </is>
      </c>
      <c r="J14" s="15" t="inlineStr">
        <is>
          <t>Corrected reach report</t>
        </is>
      </c>
    </row>
    <row r="15" ht="15" customHeight="1" s="8">
      <c r="A15" s="15" t="inlineStr">
        <is>
          <t>RA-007F</t>
        </is>
      </c>
      <c r="B15" s="15" t="inlineStr">
        <is>
          <t>A-1002</t>
        </is>
      </c>
      <c r="C15" s="15" t="inlineStr">
        <is>
          <t>Jordan Patel</t>
        </is>
      </c>
      <c r="D15" s="16" t="n">
        <v>46224.64583333334</v>
      </c>
      <c r="E15" s="15" t="n">
        <v>20</v>
      </c>
      <c r="F15" s="15" t="n">
        <v>15</v>
      </c>
      <c r="G15" s="12">
        <f>D15+E15/1440</f>
        <v/>
      </c>
      <c r="H15" s="10">
        <f>INT(D15)</f>
        <v/>
      </c>
      <c r="I15" s="15" t="inlineStr">
        <is>
          <t>Planned</t>
        </is>
      </c>
      <c r="J15" s="15" t="inlineStr">
        <is>
          <t>Customer response from first touch</t>
        </is>
      </c>
    </row>
    <row r="16" ht="15" customHeight="1" s="8">
      <c r="A16" s="15" t="inlineStr">
        <is>
          <t>RA-008</t>
        </is>
      </c>
      <c r="B16" s="15" t="inlineStr">
        <is>
          <t>A-1004</t>
        </is>
      </c>
      <c r="C16" s="15" t="inlineStr">
        <is>
          <t>Luis Romero</t>
        </is>
      </c>
      <c r="D16" s="16" t="n">
        <v>46224.39583333334</v>
      </c>
      <c r="E16" s="15" t="n">
        <v>35</v>
      </c>
      <c r="F16" s="15" t="n">
        <v>30</v>
      </c>
      <c r="G16" s="12">
        <f>D16+E16/1440</f>
        <v/>
      </c>
      <c r="H16" s="10">
        <f>INT(D16)</f>
        <v/>
      </c>
      <c r="I16" s="15" t="inlineStr">
        <is>
          <t>Planned</t>
        </is>
      </c>
      <c r="J16" s="15" t="inlineStr">
        <is>
          <t>Retagging ETA</t>
        </is>
      </c>
    </row>
    <row r="17" ht="15" customHeight="1" s="8">
      <c r="A17" s="15" t="inlineStr">
        <is>
          <t>RA-008F</t>
        </is>
      </c>
      <c r="B17" s="15" t="inlineStr">
        <is>
          <t>A-1004</t>
        </is>
      </c>
      <c r="C17" s="15" t="inlineStr">
        <is>
          <t>Luis Romero</t>
        </is>
      </c>
      <c r="D17" s="16" t="n">
        <v>46225.47916666666</v>
      </c>
      <c r="E17" s="15" t="n">
        <v>20</v>
      </c>
      <c r="F17" s="15" t="n">
        <v>15</v>
      </c>
      <c r="G17" s="12">
        <f>D17+E17/1440</f>
        <v/>
      </c>
      <c r="H17" s="10">
        <f>INT(D17)</f>
        <v/>
      </c>
      <c r="I17" s="15" t="inlineStr">
        <is>
          <t>Planned</t>
        </is>
      </c>
      <c r="J17" s="15" t="inlineStr">
        <is>
          <t>Customer response from first touch</t>
        </is>
      </c>
    </row>
    <row r="18" ht="15" customHeight="1" s="8">
      <c r="A18" s="15" t="inlineStr">
        <is>
          <t>RA-009</t>
        </is>
      </c>
      <c r="B18" s="15" t="inlineStr">
        <is>
          <t>A-1011</t>
        </is>
      </c>
      <c r="C18" s="15" t="inlineStr">
        <is>
          <t>Maya Chen</t>
        </is>
      </c>
      <c r="D18" s="16" t="n">
        <v>46224.45833333334</v>
      </c>
      <c r="E18" s="15" t="n">
        <v>30</v>
      </c>
      <c r="F18" s="15" t="n">
        <v>30</v>
      </c>
      <c r="G18" s="12">
        <f>D18+E18/1440</f>
        <v/>
      </c>
      <c r="H18" s="10">
        <f>INT(D18)</f>
        <v/>
      </c>
      <c r="I18" s="15" t="inlineStr">
        <is>
          <t>Planned</t>
        </is>
      </c>
      <c r="J18" s="15" t="inlineStr">
        <is>
          <t>Corrected lift model</t>
        </is>
      </c>
    </row>
    <row r="19" ht="15" customHeight="1" s="8">
      <c r="A19" s="15" t="inlineStr">
        <is>
          <t>RA-009F</t>
        </is>
      </c>
      <c r="B19" s="15" t="inlineStr">
        <is>
          <t>A-1011</t>
        </is>
      </c>
      <c r="C19" s="15" t="inlineStr">
        <is>
          <t>Maya Chen</t>
        </is>
      </c>
      <c r="D19" s="16" t="n">
        <v>46225.54166666666</v>
      </c>
      <c r="E19" s="15" t="n">
        <v>20</v>
      </c>
      <c r="F19" s="15" t="n">
        <v>15</v>
      </c>
      <c r="G19" s="12">
        <f>D19+E19/1440</f>
        <v/>
      </c>
      <c r="H19" s="10">
        <f>INT(D19)</f>
        <v/>
      </c>
      <c r="I19" s="15" t="inlineStr">
        <is>
          <t>Planned</t>
        </is>
      </c>
      <c r="J19" s="15" t="inlineStr">
        <is>
          <t>Customer response from first touch</t>
        </is>
      </c>
    </row>
    <row r="20" ht="15" customHeight="1" s="8">
      <c r="A20" s="15" t="inlineStr">
        <is>
          <t>RA-010</t>
        </is>
      </c>
      <c r="B20" s="15" t="inlineStr">
        <is>
          <t>A-1008</t>
        </is>
      </c>
      <c r="C20" s="15" t="inlineStr">
        <is>
          <t>Priya Nair</t>
        </is>
      </c>
      <c r="D20" s="16" t="n">
        <v>46225.41666666666</v>
      </c>
      <c r="E20" s="15" t="n">
        <v>30</v>
      </c>
      <c r="F20" s="15" t="n">
        <v>30</v>
      </c>
      <c r="G20" s="12">
        <f>D20+E20/1440</f>
        <v/>
      </c>
      <c r="H20" s="10">
        <f>INT(D20)</f>
        <v/>
      </c>
      <c r="I20" s="15" t="inlineStr">
        <is>
          <t>Planned</t>
        </is>
      </c>
      <c r="J20" s="15" t="inlineStr">
        <is>
          <t>District reach report</t>
        </is>
      </c>
    </row>
    <row r="21" ht="15" customHeight="1" s="8">
      <c r="A21" s="15" t="inlineStr">
        <is>
          <t>RA-010F</t>
        </is>
      </c>
      <c r="B21" s="15" t="inlineStr">
        <is>
          <t>A-1008</t>
        </is>
      </c>
      <c r="C21" s="15" t="inlineStr">
        <is>
          <t>Priya Nair</t>
        </is>
      </c>
      <c r="D21" s="16" t="n">
        <v>46226.5</v>
      </c>
      <c r="E21" s="15" t="n">
        <v>20</v>
      </c>
      <c r="F21" s="15" t="n">
        <v>15</v>
      </c>
      <c r="G21" s="12">
        <f>D21+E21/1440</f>
        <v/>
      </c>
      <c r="H21" s="10">
        <f>INT(D21)</f>
        <v/>
      </c>
      <c r="I21" s="15" t="inlineStr">
        <is>
          <t>Planned</t>
        </is>
      </c>
      <c r="J21" s="15" t="inlineStr">
        <is>
          <t>Customer response from first touch</t>
        </is>
      </c>
    </row>
    <row r="22" ht="15" customHeight="1" s="8">
      <c r="A22" s="15" t="inlineStr">
        <is>
          <t>RA-011</t>
        </is>
      </c>
      <c r="B22" s="15" t="inlineStr">
        <is>
          <t>A-1006</t>
        </is>
      </c>
      <c r="C22" s="15" t="inlineStr">
        <is>
          <t>Maya Chen</t>
        </is>
      </c>
      <c r="D22" s="16" t="n">
        <v>46225.54166666666</v>
      </c>
      <c r="E22" s="15" t="n">
        <v>25</v>
      </c>
      <c r="F22" s="15" t="n">
        <v>20</v>
      </c>
      <c r="G22" s="12">
        <f>D22+E22/1440</f>
        <v/>
      </c>
      <c r="H22" s="10">
        <f>INT(D22)</f>
        <v/>
      </c>
      <c r="I22" s="15" t="inlineStr">
        <is>
          <t>Planned</t>
        </is>
      </c>
      <c r="J22" s="15" t="inlineStr">
        <is>
          <t>Billing credit memo</t>
        </is>
      </c>
    </row>
    <row r="23" ht="15" customHeight="1" s="8">
      <c r="A23" s="15" t="inlineStr">
        <is>
          <t>RA-011F</t>
        </is>
      </c>
      <c r="B23" s="15" t="inlineStr">
        <is>
          <t>A-1006</t>
        </is>
      </c>
      <c r="C23" s="15" t="inlineStr">
        <is>
          <t>Maya Chen</t>
        </is>
      </c>
      <c r="D23" s="16" t="n">
        <v>46226.625</v>
      </c>
      <c r="E23" s="15" t="n">
        <v>20</v>
      </c>
      <c r="F23" s="15" t="n">
        <v>15</v>
      </c>
      <c r="G23" s="12">
        <f>D23+E23/1440</f>
        <v/>
      </c>
      <c r="H23" s="10">
        <f>INT(D23)</f>
        <v/>
      </c>
      <c r="I23" s="15" t="inlineStr">
        <is>
          <t>Planned</t>
        </is>
      </c>
      <c r="J23" s="15" t="inlineStr">
        <is>
          <t>Customer response from first touch</t>
        </is>
      </c>
    </row>
    <row r="24" ht="15" customHeight="1" s="8">
      <c r="A24" s="15" t="inlineStr">
        <is>
          <t>RA-012</t>
        </is>
      </c>
      <c r="B24" s="15" t="inlineStr">
        <is>
          <t>A-1010</t>
        </is>
      </c>
      <c r="C24" s="15" t="inlineStr">
        <is>
          <t>Devon Brooks</t>
        </is>
      </c>
      <c r="D24" s="16" t="n">
        <v>46226.4375</v>
      </c>
      <c r="E24" s="15" t="n">
        <v>25</v>
      </c>
      <c r="F24" s="15" t="n">
        <v>20</v>
      </c>
      <c r="G24" s="12">
        <f>D24+E24/1440</f>
        <v/>
      </c>
      <c r="H24" s="10">
        <f>INT(D24)</f>
        <v/>
      </c>
      <c r="I24" s="15" t="inlineStr">
        <is>
          <t>Planned</t>
        </is>
      </c>
      <c r="J24" s="15" t="inlineStr">
        <is>
          <t>Rate hold language</t>
        </is>
      </c>
    </row>
    <row r="25" ht="15" customHeight="1" s="8">
      <c r="A25" s="15" t="inlineStr">
        <is>
          <t>RA-012F</t>
        </is>
      </c>
      <c r="B25" s="15" t="inlineStr">
        <is>
          <t>A-1010</t>
        </is>
      </c>
      <c r="C25" s="15" t="inlineStr">
        <is>
          <t>Devon Brooks</t>
        </is>
      </c>
      <c r="D25" s="16" t="n">
        <v>46227.52083333334</v>
      </c>
      <c r="E25" s="15" t="n">
        <v>20</v>
      </c>
      <c r="F25" s="15" t="n">
        <v>15</v>
      </c>
      <c r="G25" s="12">
        <f>D25+E25/1440</f>
        <v/>
      </c>
      <c r="H25" s="10">
        <f>INT(D25)</f>
        <v/>
      </c>
      <c r="I25" s="15" t="inlineStr">
        <is>
          <t>Planned</t>
        </is>
      </c>
      <c r="J25" s="15" t="inlineStr">
        <is>
          <t>Customer response from first touch</t>
        </is>
      </c>
    </row>
    <row r="26" ht="15" customHeight="1" s="8">
      <c r="A26" s="15" t="inlineStr">
        <is>
          <t>RA-013</t>
        </is>
      </c>
      <c r="B26" s="15" t="inlineStr">
        <is>
          <t>A-1014</t>
        </is>
      </c>
      <c r="C26" s="15" t="inlineStr">
        <is>
          <t>Luis Romero</t>
        </is>
      </c>
      <c r="D26" s="16" t="n">
        <v>46220.625</v>
      </c>
      <c r="E26" s="15" t="n">
        <v>30</v>
      </c>
      <c r="F26" s="15" t="n">
        <v>15</v>
      </c>
      <c r="G26" s="12">
        <f>D26+E26/1440</f>
        <v/>
      </c>
      <c r="H26" s="10">
        <f>INT(D26)</f>
        <v/>
      </c>
      <c r="I26" s="15" t="inlineStr">
        <is>
          <t>Blocked</t>
        </is>
      </c>
      <c r="J26" s="15" t="inlineStr">
        <is>
          <t>Over-limit credit approval</t>
        </is>
      </c>
    </row>
    <row r="27" ht="15" customHeight="1" s="8">
      <c r="A27" s="15" t="inlineStr">
        <is>
          <t>RA-014</t>
        </is>
      </c>
      <c r="B27" s="15" t="inlineStr">
        <is>
          <t>A-1013</t>
        </is>
      </c>
      <c r="C27" s="15" t="inlineStr">
        <is>
          <t>Priya Nair</t>
        </is>
      </c>
      <c r="D27" s="16" t="n">
        <v>46223.625</v>
      </c>
      <c r="E27" s="15" t="n">
        <v>30</v>
      </c>
      <c r="F27" s="15" t="n">
        <v>15</v>
      </c>
      <c r="G27" s="12">
        <f>D27+E27/1440</f>
        <v/>
      </c>
      <c r="H27" s="10">
        <f>INT(D27)</f>
        <v/>
      </c>
      <c r="I27" s="15" t="inlineStr">
        <is>
          <t>Blocked</t>
        </is>
      </c>
      <c r="J27" s="15" t="inlineStr">
        <is>
          <t>Decision-maker permission</t>
        </is>
      </c>
    </row>
    <row r="28" ht="15" customHeight="1" s="8">
      <c r="A28" s="15" t="inlineStr">
        <is>
          <t>RA-015</t>
        </is>
      </c>
      <c r="B28" s="15" t="inlineStr">
        <is>
          <t>A-1015</t>
        </is>
      </c>
      <c r="C28" s="15" t="inlineStr">
        <is>
          <t>Devon Brooks</t>
        </is>
      </c>
      <c r="D28" s="16" t="n">
        <v>46224.625</v>
      </c>
      <c r="E28" s="15" t="n">
        <v>30</v>
      </c>
      <c r="F28" s="15" t="n">
        <v>15</v>
      </c>
      <c r="G28" s="12">
        <f>D28+E28/1440</f>
        <v/>
      </c>
      <c r="H28" s="10">
        <f>INT(D28)</f>
        <v/>
      </c>
      <c r="I28" s="15" t="inlineStr">
        <is>
          <t>Blocked</t>
        </is>
      </c>
      <c r="J28" s="15" t="inlineStr">
        <is>
          <t>Feed proof</t>
        </is>
      </c>
    </row>
    <row r="29" ht="15" customHeight="1" s="8">
      <c r="A29" s="15" t="inlineStr">
        <is>
          <t>RA-016</t>
        </is>
      </c>
      <c r="B29" s="15" t="inlineStr">
        <is>
          <t>A-1017</t>
        </is>
      </c>
      <c r="C29" s="15" t="inlineStr">
        <is>
          <t>Jordan Patel</t>
        </is>
      </c>
      <c r="D29" s="16" t="n">
        <v>46225.625</v>
      </c>
      <c r="E29" s="15" t="n">
        <v>45</v>
      </c>
      <c r="F29" s="15" t="n">
        <v>15</v>
      </c>
      <c r="G29" s="12">
        <f>D29+E29/1440</f>
        <v/>
      </c>
      <c r="H29" s="10">
        <f>INT(D29)</f>
        <v/>
      </c>
      <c r="I29" s="15" t="inlineStr">
        <is>
          <t>Blocked</t>
        </is>
      </c>
      <c r="J29" s="15" t="inlineStr">
        <is>
          <t>Legal owner response</t>
        </is>
      </c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conditionalFormatting sqref="A2:J29">
    <cfRule type="expression" priority="1" dxfId="3">
      <formula>$I2="Blocked"</formula>
    </cfRule>
    <cfRule type="expression" priority="2" dxfId="4">
      <formula>INT($D2)=DATE(2026,7,17)</formula>
    </cfRule>
    <cfRule type="expression" priority="3" dxfId="5">
      <formula>AND($I2&lt;&gt;"Completed",$D2&lt;DATE(2026,7,24))</formula>
    </cfRule>
  </conditionalFormatting>
  <dataValidations count="2">
    <dataValidation sqref="C2:C200" showDropDown="0" showInputMessage="0" showErrorMessage="0" allowBlank="1" errorTitle="Controlled value required" error="Choose a controlled value from the approved list." promptTitle="Approved values" prompt="Owner must be one of the approved account owners." type="list">
      <formula1>=OwnerList</formula1>
    </dataValidation>
    <dataValidation sqref="I2:I200" showDropDown="0" showInputMessage="0" showErrorMessage="0" allowBlank="1" errorTitle="Controlled value required" error="Choose a controlled value from the approved list." promptTitle="Approved values" prompt="Schedule status must use the sprint control vocabulary." type="list">
      <formula1>=ScheduleStatusList</formula1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.08" customWidth="1" style="7" min="1" max="1"/>
    <col width="13.2" customWidth="1" style="7" min="2" max="2"/>
    <col width="18.8" customWidth="1" style="7" min="3" max="3"/>
    <col width="40.08" customWidth="1" style="7" min="4" max="4"/>
    <col width="18.8" customWidth="1" style="7" min="5" max="5"/>
    <col width="15.44" customWidth="1" style="7" min="6" max="6"/>
    <col width="53.52" customWidth="1" style="7" min="7" max="7"/>
  </cols>
  <sheetData>
    <row r="1" ht="15" customHeight="1" s="8">
      <c r="A1" s="9" t="inlineStr">
        <is>
          <t>Action ID</t>
        </is>
      </c>
      <c r="B1" s="9" t="inlineStr">
        <is>
          <t>Account ID</t>
        </is>
      </c>
      <c r="C1" s="9" t="inlineStr">
        <is>
          <t>Dependency Type</t>
        </is>
      </c>
      <c r="D1" s="9" t="inlineStr">
        <is>
          <t>Dependency Detail</t>
        </is>
      </c>
      <c r="E1" s="9" t="inlineStr">
        <is>
          <t>Readiness State</t>
        </is>
      </c>
      <c r="F1" s="9" t="inlineStr">
        <is>
          <t>Owner</t>
        </is>
      </c>
      <c r="G1" s="9" t="inlineStr">
        <is>
          <t>Exception Route</t>
        </is>
      </c>
    </row>
    <row r="2" ht="15" customHeight="1" s="8">
      <c r="A2" s="15" t="inlineStr">
        <is>
          <t>RA-001</t>
        </is>
      </c>
      <c r="B2" s="15" t="inlineStr">
        <is>
          <t>A-1005</t>
        </is>
      </c>
      <c r="C2" s="15" t="inlineStr">
        <is>
          <t>Case</t>
        </is>
      </c>
      <c r="D2" s="15" t="inlineStr">
        <is>
          <t>Audience proof deck</t>
        </is>
      </c>
      <c r="E2" s="15" t="inlineStr">
        <is>
          <t>Ready</t>
        </is>
      </c>
      <c r="F2" s="15" t="inlineStr">
        <is>
          <t>Devon Brooks</t>
        </is>
      </c>
      <c r="G2" s="15" t="inlineStr">
        <is>
          <t>Supervisor checkpoint</t>
        </is>
      </c>
    </row>
    <row r="3" ht="15" customHeight="1" s="8">
      <c r="A3" s="15" t="inlineStr">
        <is>
          <t>RA-001F</t>
        </is>
      </c>
      <c r="B3" s="15" t="inlineStr">
        <is>
          <t>A-1005</t>
        </is>
      </c>
      <c r="C3" s="15" t="inlineStr">
        <is>
          <t>Offer</t>
        </is>
      </c>
      <c r="D3" s="15" t="inlineStr">
        <is>
          <t>Customer response from first touch</t>
        </is>
      </c>
      <c r="E3" s="15" t="inlineStr">
        <is>
          <t>Ready</t>
        </is>
      </c>
      <c r="F3" s="15" t="inlineStr">
        <is>
          <t>Devon Brooks</t>
        </is>
      </c>
      <c r="G3" s="15" t="inlineStr">
        <is>
          <t>Reschedule before daily 16:00 checkpoint</t>
        </is>
      </c>
    </row>
    <row r="4" ht="15" customHeight="1" s="8">
      <c r="A4" s="15" t="inlineStr">
        <is>
          <t>RA-002</t>
        </is>
      </c>
      <c r="B4" s="15" t="inlineStr">
        <is>
          <t>A-1001</t>
        </is>
      </c>
      <c r="C4" s="15" t="inlineStr">
        <is>
          <t>Case</t>
        </is>
      </c>
      <c r="D4" s="15" t="inlineStr">
        <is>
          <t>Ad ops pacing confirmation</t>
        </is>
      </c>
      <c r="E4" s="15" t="inlineStr">
        <is>
          <t>Ready</t>
        </is>
      </c>
      <c r="F4" s="15" t="inlineStr">
        <is>
          <t>Maya Chen</t>
        </is>
      </c>
      <c r="G4" s="15" t="inlineStr">
        <is>
          <t>Supervisor checkpoint</t>
        </is>
      </c>
    </row>
    <row r="5" ht="15" customHeight="1" s="8">
      <c r="A5" s="15" t="inlineStr">
        <is>
          <t>RA-002F</t>
        </is>
      </c>
      <c r="B5" s="15" t="inlineStr">
        <is>
          <t>A-1001</t>
        </is>
      </c>
      <c r="C5" s="15" t="inlineStr">
        <is>
          <t>Offer</t>
        </is>
      </c>
      <c r="D5" s="15" t="inlineStr">
        <is>
          <t>Customer response from first touch</t>
        </is>
      </c>
      <c r="E5" s="15" t="inlineStr">
        <is>
          <t>Ready</t>
        </is>
      </c>
      <c r="F5" s="15" t="inlineStr">
        <is>
          <t>Maya Chen</t>
        </is>
      </c>
      <c r="G5" s="15" t="inlineStr">
        <is>
          <t>Reschedule before daily 16:00 checkpoint</t>
        </is>
      </c>
    </row>
    <row r="6" ht="15" customHeight="1" s="8">
      <c r="A6" s="15" t="inlineStr">
        <is>
          <t>RA-003</t>
        </is>
      </c>
      <c r="B6" s="15" t="inlineStr">
        <is>
          <t>A-1012</t>
        </is>
      </c>
      <c r="C6" s="15" t="inlineStr">
        <is>
          <t>Offer</t>
        </is>
      </c>
      <c r="D6" s="15" t="inlineStr">
        <is>
          <t>Invoice correction owner</t>
        </is>
      </c>
      <c r="E6" s="15" t="inlineStr">
        <is>
          <t>Ready</t>
        </is>
      </c>
      <c r="F6" s="15" t="inlineStr">
        <is>
          <t>Jordan Patel</t>
        </is>
      </c>
      <c r="G6" s="15" t="inlineStr">
        <is>
          <t>Supervisor checkpoint</t>
        </is>
      </c>
    </row>
    <row r="7" ht="15" customHeight="1" s="8">
      <c r="A7" s="15" t="inlineStr">
        <is>
          <t>RA-003F</t>
        </is>
      </c>
      <c r="B7" s="15" t="inlineStr">
        <is>
          <t>A-1012</t>
        </is>
      </c>
      <c r="C7" s="15" t="inlineStr">
        <is>
          <t>Offer</t>
        </is>
      </c>
      <c r="D7" s="15" t="inlineStr">
        <is>
          <t>Customer response from first touch</t>
        </is>
      </c>
      <c r="E7" s="15" t="inlineStr">
        <is>
          <t>Ready</t>
        </is>
      </c>
      <c r="F7" s="15" t="inlineStr">
        <is>
          <t>Jordan Patel</t>
        </is>
      </c>
      <c r="G7" s="15" t="inlineStr">
        <is>
          <t>Reschedule before daily 16:00 checkpoint</t>
        </is>
      </c>
    </row>
    <row r="8" ht="15" customHeight="1" s="8">
      <c r="A8" s="15" t="inlineStr">
        <is>
          <t>RA-004</t>
        </is>
      </c>
      <c r="B8" s="15" t="inlineStr">
        <is>
          <t>A-1007</t>
        </is>
      </c>
      <c r="C8" s="15" t="inlineStr">
        <is>
          <t>Offer</t>
        </is>
      </c>
      <c r="D8" s="15" t="inlineStr">
        <is>
          <t>Makegood placement</t>
        </is>
      </c>
      <c r="E8" s="15" t="inlineStr">
        <is>
          <t>Ready</t>
        </is>
      </c>
      <c r="F8" s="15" t="inlineStr">
        <is>
          <t>Jordan Patel</t>
        </is>
      </c>
      <c r="G8" s="15" t="inlineStr">
        <is>
          <t>Supervisor checkpoint</t>
        </is>
      </c>
    </row>
    <row r="9" ht="15" customHeight="1" s="8">
      <c r="A9" s="15" t="inlineStr">
        <is>
          <t>RA-004F</t>
        </is>
      </c>
      <c r="B9" s="15" t="inlineStr">
        <is>
          <t>A-1007</t>
        </is>
      </c>
      <c r="C9" s="15" t="inlineStr">
        <is>
          <t>Offer</t>
        </is>
      </c>
      <c r="D9" s="15" t="inlineStr">
        <is>
          <t>Customer response from first touch</t>
        </is>
      </c>
      <c r="E9" s="15" t="inlineStr">
        <is>
          <t>Ready</t>
        </is>
      </c>
      <c r="F9" s="15" t="inlineStr">
        <is>
          <t>Jordan Patel</t>
        </is>
      </c>
      <c r="G9" s="15" t="inlineStr">
        <is>
          <t>Reschedule before daily 16:00 checkpoint</t>
        </is>
      </c>
    </row>
    <row r="10" ht="15" customHeight="1" s="8">
      <c r="A10" s="15" t="inlineStr">
        <is>
          <t>RA-005</t>
        </is>
      </c>
      <c r="B10" s="15" t="inlineStr">
        <is>
          <t>A-1003</t>
        </is>
      </c>
      <c r="C10" s="15" t="inlineStr">
        <is>
          <t>Offer</t>
        </is>
      </c>
      <c r="D10" s="15" t="inlineStr">
        <is>
          <t>Credit memo draft</t>
        </is>
      </c>
      <c r="E10" s="15" t="inlineStr">
        <is>
          <t>Ready</t>
        </is>
      </c>
      <c r="F10" s="15" t="inlineStr">
        <is>
          <t>Priya Nair</t>
        </is>
      </c>
      <c r="G10" s="15" t="inlineStr">
        <is>
          <t>Supervisor checkpoint</t>
        </is>
      </c>
    </row>
    <row r="11" ht="15" customHeight="1" s="8">
      <c r="A11" s="15" t="inlineStr">
        <is>
          <t>RA-005F</t>
        </is>
      </c>
      <c r="B11" s="15" t="inlineStr">
        <is>
          <t>A-1003</t>
        </is>
      </c>
      <c r="C11" s="15" t="inlineStr">
        <is>
          <t>Offer</t>
        </is>
      </c>
      <c r="D11" s="15" t="inlineStr">
        <is>
          <t>Customer response from first touch</t>
        </is>
      </c>
      <c r="E11" s="15" t="inlineStr">
        <is>
          <t>Ready</t>
        </is>
      </c>
      <c r="F11" s="15" t="inlineStr">
        <is>
          <t>Priya Nair</t>
        </is>
      </c>
      <c r="G11" s="15" t="inlineStr">
        <is>
          <t>Reschedule before daily 16:00 checkpoint</t>
        </is>
      </c>
    </row>
    <row r="12" ht="15" customHeight="1" s="8">
      <c r="A12" s="15" t="inlineStr">
        <is>
          <t>RA-006</t>
        </is>
      </c>
      <c r="B12" s="15" t="inlineStr">
        <is>
          <t>A-1009</t>
        </is>
      </c>
      <c r="C12" s="15" t="inlineStr">
        <is>
          <t>Case</t>
        </is>
      </c>
      <c r="D12" s="15" t="inlineStr">
        <is>
          <t>Creative approval proof</t>
        </is>
      </c>
      <c r="E12" s="15" t="inlineStr">
        <is>
          <t>Ready</t>
        </is>
      </c>
      <c r="F12" s="15" t="inlineStr">
        <is>
          <t>Luis Romero</t>
        </is>
      </c>
      <c r="G12" s="15" t="inlineStr">
        <is>
          <t>Supervisor checkpoint</t>
        </is>
      </c>
    </row>
    <row r="13" ht="15" customHeight="1" s="8">
      <c r="A13" s="15" t="inlineStr">
        <is>
          <t>RA-006F</t>
        </is>
      </c>
      <c r="B13" s="15" t="inlineStr">
        <is>
          <t>A-1009</t>
        </is>
      </c>
      <c r="C13" s="15" t="inlineStr">
        <is>
          <t>Offer</t>
        </is>
      </c>
      <c r="D13" s="15" t="inlineStr">
        <is>
          <t>Customer response from first touch</t>
        </is>
      </c>
      <c r="E13" s="15" t="inlineStr">
        <is>
          <t>Ready</t>
        </is>
      </c>
      <c r="F13" s="15" t="inlineStr">
        <is>
          <t>Luis Romero</t>
        </is>
      </c>
      <c r="G13" s="15" t="inlineStr">
        <is>
          <t>Reschedule before daily 16:00 checkpoint</t>
        </is>
      </c>
    </row>
    <row r="14" ht="15" customHeight="1" s="8">
      <c r="A14" s="15" t="inlineStr">
        <is>
          <t>RA-007</t>
        </is>
      </c>
      <c r="B14" s="15" t="inlineStr">
        <is>
          <t>A-1002</t>
        </is>
      </c>
      <c r="C14" s="15" t="inlineStr">
        <is>
          <t>Offer</t>
        </is>
      </c>
      <c r="D14" s="15" t="inlineStr">
        <is>
          <t>Corrected reach report</t>
        </is>
      </c>
      <c r="E14" s="15" t="inlineStr">
        <is>
          <t>Ready</t>
        </is>
      </c>
      <c r="F14" s="15" t="inlineStr">
        <is>
          <t>Jordan Patel</t>
        </is>
      </c>
      <c r="G14" s="15" t="inlineStr">
        <is>
          <t>Supervisor checkpoint</t>
        </is>
      </c>
    </row>
    <row r="15" ht="15" customHeight="1" s="8">
      <c r="A15" s="15" t="inlineStr">
        <is>
          <t>RA-007F</t>
        </is>
      </c>
      <c r="B15" s="15" t="inlineStr">
        <is>
          <t>A-1002</t>
        </is>
      </c>
      <c r="C15" s="15" t="inlineStr">
        <is>
          <t>Offer</t>
        </is>
      </c>
      <c r="D15" s="15" t="inlineStr">
        <is>
          <t>Customer response from first touch</t>
        </is>
      </c>
      <c r="E15" s="15" t="inlineStr">
        <is>
          <t>Ready</t>
        </is>
      </c>
      <c r="F15" s="15" t="inlineStr">
        <is>
          <t>Jordan Patel</t>
        </is>
      </c>
      <c r="G15" s="15" t="inlineStr">
        <is>
          <t>Reschedule before daily 16:00 checkpoint</t>
        </is>
      </c>
    </row>
    <row r="16" ht="15" customHeight="1" s="8">
      <c r="A16" s="15" t="inlineStr">
        <is>
          <t>RA-008</t>
        </is>
      </c>
      <c r="B16" s="15" t="inlineStr">
        <is>
          <t>A-1004</t>
        </is>
      </c>
      <c r="C16" s="15" t="inlineStr">
        <is>
          <t>Offer</t>
        </is>
      </c>
      <c r="D16" s="15" t="inlineStr">
        <is>
          <t>Retagging ETA</t>
        </is>
      </c>
      <c r="E16" s="15" t="inlineStr">
        <is>
          <t>Ready</t>
        </is>
      </c>
      <c r="F16" s="15" t="inlineStr">
        <is>
          <t>Luis Romero</t>
        </is>
      </c>
      <c r="G16" s="15" t="inlineStr">
        <is>
          <t>Supervisor checkpoint</t>
        </is>
      </c>
    </row>
    <row r="17" ht="15" customHeight="1" s="8">
      <c r="A17" s="15" t="inlineStr">
        <is>
          <t>RA-008F</t>
        </is>
      </c>
      <c r="B17" s="15" t="inlineStr">
        <is>
          <t>A-1004</t>
        </is>
      </c>
      <c r="C17" s="15" t="inlineStr">
        <is>
          <t>Offer</t>
        </is>
      </c>
      <c r="D17" s="15" t="inlineStr">
        <is>
          <t>Customer response from first touch</t>
        </is>
      </c>
      <c r="E17" s="15" t="inlineStr">
        <is>
          <t>Ready</t>
        </is>
      </c>
      <c r="F17" s="15" t="inlineStr">
        <is>
          <t>Luis Romero</t>
        </is>
      </c>
      <c r="G17" s="15" t="inlineStr">
        <is>
          <t>Reschedule before daily 16:00 checkpoint</t>
        </is>
      </c>
    </row>
    <row r="18" ht="15" customHeight="1" s="8">
      <c r="A18" s="15" t="inlineStr">
        <is>
          <t>RA-009</t>
        </is>
      </c>
      <c r="B18" s="15" t="inlineStr">
        <is>
          <t>A-1011</t>
        </is>
      </c>
      <c r="C18" s="15" t="inlineStr">
        <is>
          <t>Offer</t>
        </is>
      </c>
      <c r="D18" s="15" t="inlineStr">
        <is>
          <t>Corrected lift model</t>
        </is>
      </c>
      <c r="E18" s="15" t="inlineStr">
        <is>
          <t>Ready</t>
        </is>
      </c>
      <c r="F18" s="15" t="inlineStr">
        <is>
          <t>Maya Chen</t>
        </is>
      </c>
      <c r="G18" s="15" t="inlineStr">
        <is>
          <t>Supervisor checkpoint</t>
        </is>
      </c>
    </row>
    <row r="19" ht="15" customHeight="1" s="8">
      <c r="A19" s="15" t="inlineStr">
        <is>
          <t>RA-009F</t>
        </is>
      </c>
      <c r="B19" s="15" t="inlineStr">
        <is>
          <t>A-1011</t>
        </is>
      </c>
      <c r="C19" s="15" t="inlineStr">
        <is>
          <t>Offer</t>
        </is>
      </c>
      <c r="D19" s="15" t="inlineStr">
        <is>
          <t>Customer response from first touch</t>
        </is>
      </c>
      <c r="E19" s="15" t="inlineStr">
        <is>
          <t>Ready</t>
        </is>
      </c>
      <c r="F19" s="15" t="inlineStr">
        <is>
          <t>Maya Chen</t>
        </is>
      </c>
      <c r="G19" s="15" t="inlineStr">
        <is>
          <t>Reschedule before daily 16:00 checkpoint</t>
        </is>
      </c>
    </row>
    <row r="20" ht="15" customHeight="1" s="8">
      <c r="A20" s="15" t="inlineStr">
        <is>
          <t>RA-010</t>
        </is>
      </c>
      <c r="B20" s="15" t="inlineStr">
        <is>
          <t>A-1008</t>
        </is>
      </c>
      <c r="C20" s="15" t="inlineStr">
        <is>
          <t>Offer</t>
        </is>
      </c>
      <c r="D20" s="15" t="inlineStr">
        <is>
          <t>District reach report</t>
        </is>
      </c>
      <c r="E20" s="15" t="inlineStr">
        <is>
          <t>Ready</t>
        </is>
      </c>
      <c r="F20" s="15" t="inlineStr">
        <is>
          <t>Priya Nair</t>
        </is>
      </c>
      <c r="G20" s="15" t="inlineStr">
        <is>
          <t>Supervisor checkpoint</t>
        </is>
      </c>
    </row>
    <row r="21" ht="15" customHeight="1" s="8">
      <c r="A21" s="15" t="inlineStr">
        <is>
          <t>RA-010F</t>
        </is>
      </c>
      <c r="B21" s="15" t="inlineStr">
        <is>
          <t>A-1008</t>
        </is>
      </c>
      <c r="C21" s="15" t="inlineStr">
        <is>
          <t>Offer</t>
        </is>
      </c>
      <c r="D21" s="15" t="inlineStr">
        <is>
          <t>Customer response from first touch</t>
        </is>
      </c>
      <c r="E21" s="15" t="inlineStr">
        <is>
          <t>Ready</t>
        </is>
      </c>
      <c r="F21" s="15" t="inlineStr">
        <is>
          <t>Priya Nair</t>
        </is>
      </c>
      <c r="G21" s="15" t="inlineStr">
        <is>
          <t>Reschedule before daily 16:00 checkpoint</t>
        </is>
      </c>
    </row>
    <row r="22" ht="15" customHeight="1" s="8">
      <c r="A22" s="15" t="inlineStr">
        <is>
          <t>RA-011</t>
        </is>
      </c>
      <c r="B22" s="15" t="inlineStr">
        <is>
          <t>A-1006</t>
        </is>
      </c>
      <c r="C22" s="15" t="inlineStr">
        <is>
          <t>Offer</t>
        </is>
      </c>
      <c r="D22" s="15" t="inlineStr">
        <is>
          <t>Billing credit memo</t>
        </is>
      </c>
      <c r="E22" s="15" t="inlineStr">
        <is>
          <t>Ready</t>
        </is>
      </c>
      <c r="F22" s="15" t="inlineStr">
        <is>
          <t>Maya Chen</t>
        </is>
      </c>
      <c r="G22" s="15" t="inlineStr">
        <is>
          <t>Supervisor checkpoint</t>
        </is>
      </c>
    </row>
    <row r="23" ht="15" customHeight="1" s="8">
      <c r="A23" s="15" t="inlineStr">
        <is>
          <t>RA-011F</t>
        </is>
      </c>
      <c r="B23" s="15" t="inlineStr">
        <is>
          <t>A-1006</t>
        </is>
      </c>
      <c r="C23" s="15" t="inlineStr">
        <is>
          <t>Offer</t>
        </is>
      </c>
      <c r="D23" s="15" t="inlineStr">
        <is>
          <t>Customer response from first touch</t>
        </is>
      </c>
      <c r="E23" s="15" t="inlineStr">
        <is>
          <t>Ready</t>
        </is>
      </c>
      <c r="F23" s="15" t="inlineStr">
        <is>
          <t>Maya Chen</t>
        </is>
      </c>
      <c r="G23" s="15" t="inlineStr">
        <is>
          <t>Reschedule before daily 16:00 checkpoint</t>
        </is>
      </c>
    </row>
    <row r="24" ht="15" customHeight="1" s="8">
      <c r="A24" s="15" t="inlineStr">
        <is>
          <t>RA-012</t>
        </is>
      </c>
      <c r="B24" s="15" t="inlineStr">
        <is>
          <t>A-1010</t>
        </is>
      </c>
      <c r="C24" s="15" t="inlineStr">
        <is>
          <t>Offer</t>
        </is>
      </c>
      <c r="D24" s="15" t="inlineStr">
        <is>
          <t>Rate hold language</t>
        </is>
      </c>
      <c r="E24" s="15" t="inlineStr">
        <is>
          <t>Ready</t>
        </is>
      </c>
      <c r="F24" s="15" t="inlineStr">
        <is>
          <t>Devon Brooks</t>
        </is>
      </c>
      <c r="G24" s="15" t="inlineStr">
        <is>
          <t>Supervisor checkpoint</t>
        </is>
      </c>
    </row>
    <row r="25" ht="15" customHeight="1" s="8">
      <c r="A25" s="15" t="inlineStr">
        <is>
          <t>RA-012F</t>
        </is>
      </c>
      <c r="B25" s="15" t="inlineStr">
        <is>
          <t>A-1010</t>
        </is>
      </c>
      <c r="C25" s="15" t="inlineStr">
        <is>
          <t>Offer</t>
        </is>
      </c>
      <c r="D25" s="15" t="inlineStr">
        <is>
          <t>Customer response from first touch</t>
        </is>
      </c>
      <c r="E25" s="15" t="inlineStr">
        <is>
          <t>Ready</t>
        </is>
      </c>
      <c r="F25" s="15" t="inlineStr">
        <is>
          <t>Devon Brooks</t>
        </is>
      </c>
      <c r="G25" s="15" t="inlineStr">
        <is>
          <t>Reschedule before daily 16:00 checkpoint</t>
        </is>
      </c>
    </row>
    <row r="26" ht="15" customHeight="1" s="8">
      <c r="A26" s="15" t="inlineStr">
        <is>
          <t>RA-013</t>
        </is>
      </c>
      <c r="B26" s="15" t="inlineStr">
        <is>
          <t>A-1014</t>
        </is>
      </c>
      <c r="C26" s="15" t="inlineStr">
        <is>
          <t>Contact</t>
        </is>
      </c>
      <c r="D26" s="15" t="inlineStr">
        <is>
          <t>Over-limit credit approval</t>
        </is>
      </c>
      <c r="E26" s="15" t="inlineStr">
        <is>
          <t>Blocked</t>
        </is>
      </c>
      <c r="F26" s="15" t="inlineStr">
        <is>
          <t>Luis Romero</t>
        </is>
      </c>
      <c r="G26" s="15" t="inlineStr">
        <is>
          <t>Requested credit is above supervisor authority</t>
        </is>
      </c>
    </row>
    <row r="27" ht="15" customHeight="1" s="8">
      <c r="A27" s="15" t="inlineStr">
        <is>
          <t>RA-014</t>
        </is>
      </c>
      <c r="B27" s="15" t="inlineStr">
        <is>
          <t>A-1013</t>
        </is>
      </c>
      <c r="C27" s="15" t="inlineStr">
        <is>
          <t>Contact</t>
        </is>
      </c>
      <c r="D27" s="15" t="inlineStr">
        <is>
          <t>Decision-maker permission</t>
        </is>
      </c>
      <c r="E27" s="15" t="inlineStr">
        <is>
          <t>Blocked</t>
        </is>
      </c>
      <c r="F27" s="15" t="inlineStr">
        <is>
          <t>Priya Nair</t>
        </is>
      </c>
      <c r="G27" s="15" t="inlineStr">
        <is>
          <t>Decision-maker outreach permission pending</t>
        </is>
      </c>
    </row>
    <row r="28" ht="15" customHeight="1" s="8">
      <c r="A28" s="15" t="inlineStr">
        <is>
          <t>RA-015</t>
        </is>
      </c>
      <c r="B28" s="15" t="inlineStr">
        <is>
          <t>A-1015</t>
        </is>
      </c>
      <c r="C28" s="15" t="inlineStr">
        <is>
          <t>Case</t>
        </is>
      </c>
      <c r="D28" s="15" t="inlineStr">
        <is>
          <t>Feed proof</t>
        </is>
      </c>
      <c r="E28" s="15" t="inlineStr">
        <is>
          <t>Blocked</t>
        </is>
      </c>
      <c r="F28" s="15" t="inlineStr">
        <is>
          <t>Devon Brooks</t>
        </is>
      </c>
      <c r="G28" s="15" t="inlineStr">
        <is>
          <t>Ad-ops blocker not cleared</t>
        </is>
      </c>
    </row>
    <row r="29" ht="15" customHeight="1" s="8">
      <c r="A29" s="15" t="inlineStr">
        <is>
          <t>RA-016</t>
        </is>
      </c>
      <c r="B29" s="15" t="inlineStr">
        <is>
          <t>A-1017</t>
        </is>
      </c>
      <c r="C29" s="15" t="inlineStr">
        <is>
          <t>Contact</t>
        </is>
      </c>
      <c r="D29" s="15" t="inlineStr">
        <is>
          <t>Legal owner response</t>
        </is>
      </c>
      <c r="E29" s="15" t="inlineStr">
        <is>
          <t>Blocked</t>
        </is>
      </c>
      <c r="F29" s="15" t="inlineStr">
        <is>
          <t>Jordan Patel</t>
        </is>
      </c>
      <c r="G29" s="15" t="inlineStr">
        <is>
          <t>Contract terms outside local authority</t>
        </is>
      </c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autoFilter ref="A1:G29"/>
  <conditionalFormatting sqref="A2:G29">
    <cfRule type="expression" priority="1" dxfId="3">
      <formula>$E2="Blocked"</formula>
    </cfRule>
    <cfRule type="expression" priority="2" dxfId="6">
      <formula>$G2&lt;&gt;"Supervisor checkpoint"</formula>
    </cfRule>
  </conditionalFormatting>
  <dataValidations count="3">
    <dataValidation sqref="E2:E200" showDropDown="0" showInputMessage="0" showErrorMessage="0" allowBlank="1" errorTitle="Controlled value required" error="Choose a controlled value from the approved list." promptTitle="Approved values" prompt="Dependency state must be Ready or Blocked." type="list">
      <formula1>=DependencyStateList</formula1>
    </dataValidation>
    <dataValidation sqref="F2:F200" showDropDown="0" showInputMessage="0" showErrorMessage="0" allowBlank="1" errorTitle="Controlled value required" error="Choose a controlled value from the approved list." promptTitle="Approved values" prompt="Dependency owner must be one of the approved account owners." type="list">
      <formula1>=OwnerList</formula1>
    </dataValidation>
    <dataValidation sqref="G2:G200" showDropDown="0" showInputMessage="0" showErrorMessage="0" allowBlank="1" errorTitle="Controlled value required" error="Choose a controlled value from the approved list." promptTitle="Approved values" prompt="Exception route must preserve approved exception handling." type="list">
      <formula1>=ScheduleExceptionRouteList</formula1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.44" customWidth="1" style="7" min="1" max="1"/>
    <col width="37" customWidth="1" style="7" min="2" max="2"/>
    <col width="42" customWidth="1" style="7" min="3" max="3"/>
    <col width="21.04" customWidth="1" style="7" min="4" max="4"/>
    <col width="17.68" customWidth="1" style="7" min="5" max="5"/>
    <col width="24" customWidth="1" style="7" min="6" max="6"/>
  </cols>
  <sheetData>
    <row r="1" ht="15" customHeight="1" s="8">
      <c r="A1" s="9" t="inlineStr">
        <is>
          <t>Owner Rep</t>
        </is>
      </c>
      <c r="B1" s="9" t="inlineStr">
        <is>
          <t>Scheduled Tasks</t>
        </is>
      </c>
      <c r="C1" s="9" t="inlineStr">
        <is>
          <t>Scheduled Minutes</t>
        </is>
      </c>
      <c r="D1" s="9" t="inlineStr">
        <is>
          <t>Available Minutes</t>
        </is>
      </c>
      <c r="E1" s="9" t="inlineStr">
        <is>
          <t>Buffer Minutes</t>
        </is>
      </c>
      <c r="F1" s="9" t="inlineStr">
        <is>
          <t>Over Capacity</t>
        </is>
      </c>
    </row>
    <row r="2" ht="15" customHeight="1" s="8">
      <c r="A2" s="15" t="inlineStr">
        <is>
          <t>Devon Brooks</t>
        </is>
      </c>
      <c r="B2" s="10">
        <f>COUNTIF(Action_Register!$F$2:$F$29,A2)</f>
        <v/>
      </c>
      <c r="C2" s="10">
        <f>SUMIF(Action_Register!$F$2:$F$29,A2,Action_Register!$P$2:$P$29)</f>
        <v/>
      </c>
      <c r="D2" s="15" t="n">
        <v>480</v>
      </c>
      <c r="E2" s="10">
        <f>D2-C2</f>
        <v/>
      </c>
      <c r="F2" s="10">
        <f>IF(E2&lt;60,"Yes","No")</f>
        <v/>
      </c>
    </row>
    <row r="3" ht="15" customHeight="1" s="8">
      <c r="A3" s="15" t="inlineStr">
        <is>
          <t>Jordan Patel</t>
        </is>
      </c>
      <c r="B3" s="10">
        <f>COUNTIF(Action_Register!$F$2:$F$29,A3)</f>
        <v/>
      </c>
      <c r="C3" s="10">
        <f>SUMIF(Action_Register!$F$2:$F$29,A3,Action_Register!$P$2:$P$29)</f>
        <v/>
      </c>
      <c r="D3" s="15" t="n">
        <v>480</v>
      </c>
      <c r="E3" s="10">
        <f>D3-C3</f>
        <v/>
      </c>
      <c r="F3" s="10">
        <f>IF(E3&lt;60,"Yes","No")</f>
        <v/>
      </c>
    </row>
    <row r="4" ht="15" customHeight="1" s="8">
      <c r="A4" s="15" t="inlineStr">
        <is>
          <t>Luis Romero</t>
        </is>
      </c>
      <c r="B4" s="10">
        <f>COUNTIF(Action_Register!$F$2:$F$29,A4)</f>
        <v/>
      </c>
      <c r="C4" s="10">
        <f>SUMIF(Action_Register!$F$2:$F$29,A4,Action_Register!$P$2:$P$29)</f>
        <v/>
      </c>
      <c r="D4" s="15" t="n">
        <v>480</v>
      </c>
      <c r="E4" s="10">
        <f>D4-C4</f>
        <v/>
      </c>
      <c r="F4" s="10">
        <f>IF(E4&lt;60,"Yes","No")</f>
        <v/>
      </c>
    </row>
    <row r="5" ht="15" customHeight="1" s="8">
      <c r="A5" s="15" t="inlineStr">
        <is>
          <t>Maya Chen</t>
        </is>
      </c>
      <c r="B5" s="10">
        <f>COUNTIF(Action_Register!$F$2:$F$29,A5)</f>
        <v/>
      </c>
      <c r="C5" s="10">
        <f>SUMIF(Action_Register!$F$2:$F$29,A5,Action_Register!$P$2:$P$29)</f>
        <v/>
      </c>
      <c r="D5" s="15" t="n">
        <v>480</v>
      </c>
      <c r="E5" s="10">
        <f>D5-C5</f>
        <v/>
      </c>
      <c r="F5" s="10">
        <f>IF(E5&lt;60,"Yes","No")</f>
        <v/>
      </c>
    </row>
    <row r="6" ht="15" customHeight="1" s="8">
      <c r="A6" s="15" t="inlineStr">
        <is>
          <t>Priya Nair</t>
        </is>
      </c>
      <c r="B6" s="10">
        <f>COUNTIF(Action_Register!$F$2:$F$29,A6)</f>
        <v/>
      </c>
      <c r="C6" s="10">
        <f>SUMIF(Action_Register!$F$2:$F$29,A6,Action_Register!$P$2:$P$29)</f>
        <v/>
      </c>
      <c r="D6" s="15" t="n">
        <v>480</v>
      </c>
      <c r="E6" s="10">
        <f>D6-C6</f>
        <v/>
      </c>
      <c r="F6" s="10">
        <f>IF(E6&lt;60,"Yes","No")</f>
        <v/>
      </c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conditionalFormatting sqref="A2:F6">
    <cfRule type="expression" priority="1" dxfId="3">
      <formula>$F2="Yes"</formula>
    </cfRule>
  </conditionalFormatting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3.28" customWidth="1" style="7" min="1" max="1"/>
    <col width="11" customWidth="1" style="7" min="2" max="2"/>
    <col width="12.08" customWidth="1" style="7" min="3" max="4"/>
    <col width="11" customWidth="1" style="7" min="5" max="5"/>
    <col width="14.33" customWidth="1" style="7" min="6" max="6"/>
    <col width="12.08" customWidth="1" style="7" min="7" max="7"/>
  </cols>
  <sheetData>
    <row r="1" ht="15" customHeight="1" s="8">
      <c r="A1" s="9" t="inlineStr">
        <is>
          <t>Checkpoint Date</t>
        </is>
      </c>
      <c r="B1" s="9" t="inlineStr">
        <is>
          <t>Planned</t>
        </is>
      </c>
      <c r="C1" s="9" t="inlineStr">
        <is>
          <t>Confirmed</t>
        </is>
      </c>
      <c r="D1" s="9" t="inlineStr">
        <is>
          <t>Completed</t>
        </is>
      </c>
      <c r="E1" s="9" t="inlineStr">
        <is>
          <t>Blocked</t>
        </is>
      </c>
      <c r="F1" s="9" t="inlineStr">
        <is>
          <t>Rescheduled</t>
        </is>
      </c>
      <c r="G1" s="9" t="inlineStr">
        <is>
          <t>Escalated</t>
        </is>
      </c>
    </row>
    <row r="2" ht="15" customHeight="1" s="8">
      <c r="A2" s="17" t="n">
        <v>46220</v>
      </c>
      <c r="B2" s="15" t="n">
        <v>24</v>
      </c>
      <c r="C2" s="15" t="n">
        <v>0</v>
      </c>
      <c r="D2" s="15" t="n">
        <v>0</v>
      </c>
      <c r="E2" s="15" t="n">
        <v>4</v>
      </c>
      <c r="F2" s="15" t="n">
        <v>0</v>
      </c>
      <c r="G2" s="15" t="n">
        <v>0</v>
      </c>
    </row>
    <row r="3" ht="15" customHeight="1" s="8">
      <c r="A3" s="17" t="n">
        <v>46223</v>
      </c>
      <c r="B3" s="15" t="n">
        <v>18</v>
      </c>
      <c r="C3" s="15" t="n">
        <v>5</v>
      </c>
      <c r="D3" s="15" t="n">
        <v>4</v>
      </c>
      <c r="E3" s="15" t="n">
        <v>4</v>
      </c>
      <c r="F3" s="15" t="n">
        <v>1</v>
      </c>
      <c r="G3" s="15" t="n">
        <v>1</v>
      </c>
    </row>
    <row r="4" ht="15" customHeight="1" s="8">
      <c r="A4" s="17" t="n">
        <v>46224</v>
      </c>
      <c r="B4" s="15" t="n">
        <v>14</v>
      </c>
      <c r="C4" s="15" t="n">
        <v>9</v>
      </c>
      <c r="D4" s="15" t="n">
        <v>8</v>
      </c>
      <c r="E4" s="15" t="n">
        <v>3</v>
      </c>
      <c r="F4" s="15" t="n">
        <v>1</v>
      </c>
      <c r="G4" s="15" t="n">
        <v>1</v>
      </c>
    </row>
    <row r="5" ht="15" customHeight="1" s="8">
      <c r="A5" s="17" t="n">
        <v>46225</v>
      </c>
      <c r="B5" s="15" t="n">
        <v>10</v>
      </c>
      <c r="C5" s="15" t="n">
        <v>12</v>
      </c>
      <c r="D5" s="15" t="n">
        <v>11</v>
      </c>
      <c r="E5" s="15" t="n">
        <v>2</v>
      </c>
      <c r="F5" s="15" t="n">
        <v>1</v>
      </c>
      <c r="G5" s="15" t="n">
        <v>1</v>
      </c>
    </row>
    <row r="6" ht="15" customHeight="1" s="8">
      <c r="A6" s="17" t="n">
        <v>46227</v>
      </c>
      <c r="B6" s="15" t="n">
        <v>4</v>
      </c>
      <c r="C6" s="15" t="n">
        <v>16</v>
      </c>
      <c r="D6" s="15" t="n">
        <v>16</v>
      </c>
      <c r="E6" s="15" t="n">
        <v>1</v>
      </c>
      <c r="F6" s="15" t="n">
        <v>0</v>
      </c>
      <c r="G6" s="15" t="n">
        <v>1</v>
      </c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B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3.36" customWidth="1" style="7" min="1" max="1"/>
    <col width="42" customWidth="1" style="7" min="2" max="2"/>
  </cols>
  <sheetData>
    <row r="1" ht="15" customHeight="1" s="8">
      <c r="A1" s="9" t="inlineStr">
        <is>
          <t>Metric</t>
        </is>
      </c>
      <c r="B1" s="9" t="inlineStr">
        <is>
          <t>Value</t>
        </is>
      </c>
    </row>
    <row r="2" ht="15" customHeight="1" s="8">
      <c r="A2" s="15" t="inlineStr">
        <is>
          <t>Approved execution actions</t>
        </is>
      </c>
      <c r="B2" s="10">
        <f>COUNTIF(Action_Register!$E$2:$E$29,"Approved execution")</f>
        <v/>
      </c>
    </row>
    <row r="3" ht="15" customHeight="1" s="8">
      <c r="A3" s="15" t="inlineStr">
        <is>
          <t>Controlled exception actions</t>
        </is>
      </c>
      <c r="B3" s="10">
        <f>COUNTIF(Action_Register!$E$2:$E$29,"Controlled exception")</f>
        <v/>
      </c>
    </row>
    <row r="4" ht="15" customHeight="1" s="8">
      <c r="A4" s="15" t="inlineStr">
        <is>
          <t>Blocked actions</t>
        </is>
      </c>
      <c r="B4" s="10">
        <f>COUNTIF(Action_Register!$R$2:$R$29,"Blocked")</f>
        <v/>
      </c>
    </row>
    <row r="5" ht="15" customHeight="1" s="8">
      <c r="A5" s="15" t="inlineStr">
        <is>
          <t>Total scheduled minutes</t>
        </is>
      </c>
      <c r="B5" s="10">
        <f>SUM(Action_Register!$P$2:$P$29)</f>
        <v/>
      </c>
    </row>
    <row r="6" ht="15" customHeight="1" s="8">
      <c r="A6" s="15" t="inlineStr">
        <is>
          <t>Earliest Tier 1 start</t>
        </is>
      </c>
      <c r="B6" s="11">
        <f>MIN(Action_Register!$O$2:$O$13)</f>
        <v/>
      </c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conditionalFormatting sqref="A2:B6">
    <cfRule type="expression" priority="1" dxfId="5">
      <formula>$A2="Blocked actions"</formula>
    </cfRule>
  </conditionalFormatting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3.28" customWidth="1" style="7" min="1" max="1"/>
    <col width="18.8" customWidth="1" style="7" min="2" max="2"/>
    <col width="17.68" customWidth="1" style="7" min="3" max="3"/>
    <col width="18.8" customWidth="1" style="7" min="4" max="4"/>
    <col width="30" customWidth="1" style="7" min="5" max="5"/>
    <col width="18.8" customWidth="1" style="7" min="6" max="7"/>
    <col width="15.44" customWidth="1" style="7" min="8" max="8"/>
    <col width="11" customWidth="1" style="7" min="9" max="9"/>
  </cols>
  <sheetData>
    <row r="1" ht="15" customHeight="1" s="8">
      <c r="A1" s="9" t="inlineStr">
        <is>
          <t>Date</t>
        </is>
      </c>
      <c r="B1" s="9" t="inlineStr">
        <is>
          <t>Tier 1</t>
        </is>
      </c>
      <c r="C1" s="9" t="inlineStr">
        <is>
          <t>Tier 2</t>
        </is>
      </c>
      <c r="D1" s="9" t="inlineStr">
        <is>
          <t>Tier 3</t>
        </is>
      </c>
      <c r="E1" s="9" t="inlineStr">
        <is>
          <t>Controlled exception/hold</t>
        </is>
      </c>
    </row>
    <row r="2" ht="15" customHeight="1" s="8">
      <c r="A2" s="17" t="n">
        <v>46220</v>
      </c>
      <c r="B2" s="15" t="n">
        <v>2</v>
      </c>
      <c r="C2" s="15" t="n">
        <v>2</v>
      </c>
      <c r="D2" s="15" t="n">
        <v>0</v>
      </c>
      <c r="E2" s="15" t="n">
        <v>1</v>
      </c>
      <c r="F2" s="18" t="n"/>
      <c r="G2" s="18" t="n"/>
      <c r="H2" s="18" t="n"/>
      <c r="I2" s="18" t="n"/>
    </row>
    <row r="3" ht="15" customHeight="1" s="8">
      <c r="A3" s="17" t="n">
        <v>46221</v>
      </c>
      <c r="B3" s="15" t="n">
        <v>2</v>
      </c>
      <c r="C3" s="15" t="n">
        <v>2</v>
      </c>
      <c r="D3" s="15" t="n">
        <v>0</v>
      </c>
      <c r="E3" s="15" t="n">
        <v>0</v>
      </c>
      <c r="F3" s="18" t="n"/>
      <c r="G3" s="18" t="n"/>
      <c r="H3" s="18" t="n"/>
      <c r="I3" s="18" t="n"/>
    </row>
    <row r="4" ht="15" customHeight="1" s="8">
      <c r="A4" s="17" t="n">
        <v>46223</v>
      </c>
      <c r="B4" s="15" t="n">
        <v>0</v>
      </c>
      <c r="C4" s="15" t="n">
        <v>2</v>
      </c>
      <c r="D4" s="15" t="n">
        <v>1</v>
      </c>
      <c r="E4" s="15" t="n">
        <v>1</v>
      </c>
      <c r="F4" s="18" t="n"/>
      <c r="G4" s="18" t="n"/>
      <c r="H4" s="18" t="n"/>
      <c r="I4" s="18" t="n"/>
    </row>
    <row r="5" ht="15" customHeight="1" s="8">
      <c r="A5" s="17" t="n">
        <v>46224</v>
      </c>
      <c r="B5" s="15" t="n">
        <v>0</v>
      </c>
      <c r="C5" s="15" t="n">
        <v>2</v>
      </c>
      <c r="D5" s="15" t="n">
        <v>3</v>
      </c>
      <c r="E5" s="15" t="n">
        <v>1</v>
      </c>
      <c r="F5" s="18" t="n"/>
      <c r="G5" s="18" t="n"/>
      <c r="H5" s="18" t="n"/>
      <c r="I5" s="18" t="n"/>
    </row>
    <row r="6" ht="15" customHeight="1" s="8">
      <c r="A6" s="17" t="n">
        <v>46225</v>
      </c>
      <c r="B6" s="15" t="n">
        <v>0</v>
      </c>
      <c r="C6" s="15" t="n">
        <v>0</v>
      </c>
      <c r="D6" s="15" t="n">
        <v>4</v>
      </c>
      <c r="E6" s="15" t="n">
        <v>1</v>
      </c>
      <c r="F6" s="18" t="n"/>
      <c r="G6" s="18" t="n"/>
      <c r="H6" s="18" t="n"/>
      <c r="I6" s="18" t="n"/>
    </row>
    <row r="7" ht="15" customHeight="1" s="8">
      <c r="A7" s="17" t="n">
        <v>46226</v>
      </c>
      <c r="B7" s="15" t="n">
        <v>0</v>
      </c>
      <c r="C7" s="15" t="n">
        <v>0</v>
      </c>
      <c r="D7" s="15" t="n">
        <v>3</v>
      </c>
      <c r="E7" s="15" t="n">
        <v>0</v>
      </c>
      <c r="F7" s="18" t="n"/>
      <c r="G7" s="18" t="n"/>
      <c r="H7" s="18" t="n"/>
      <c r="I7" s="18" t="n"/>
    </row>
    <row r="8" ht="15" customHeight="1" s="8">
      <c r="A8" s="17" t="n">
        <v>46227</v>
      </c>
      <c r="B8" s="15" t="n">
        <v>0</v>
      </c>
      <c r="C8" s="15" t="n">
        <v>0</v>
      </c>
      <c r="D8" s="15" t="n">
        <v>1</v>
      </c>
      <c r="E8" s="15" t="n">
        <v>0</v>
      </c>
      <c r="F8" s="18" t="n"/>
      <c r="G8" s="18" t="n"/>
      <c r="H8" s="18" t="n"/>
      <c r="I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</row>
    <row r="10" ht="15" customHeight="1" s="8">
      <c r="A10" s="15" t="inlineStr">
        <is>
          <t>Owner</t>
        </is>
      </c>
      <c r="B10" s="15" t="inlineStr">
        <is>
          <t>Scheduled tasks</t>
        </is>
      </c>
      <c r="C10" s="15" t="inlineStr">
        <is>
          <t>Duration hours</t>
        </is>
      </c>
      <c r="D10" s="15" t="inlineStr">
        <is>
          <t>Available slots</t>
        </is>
      </c>
      <c r="E10" s="18" t="n"/>
      <c r="F10" s="18" t="n"/>
      <c r="G10" s="15" t="inlineStr">
        <is>
          <t>Dependency Type</t>
        </is>
      </c>
      <c r="H10" s="15" t="inlineStr">
        <is>
          <t>Ready</t>
        </is>
      </c>
      <c r="I10" s="15" t="inlineStr">
        <is>
          <t>Blocked</t>
        </is>
      </c>
    </row>
    <row r="11" ht="15" customHeight="1" s="8">
      <c r="A11" s="15" t="inlineStr">
        <is>
          <t>Devon Brooks</t>
        </is>
      </c>
      <c r="B11" s="15" t="n">
        <v>5</v>
      </c>
      <c r="C11" s="15" t="n">
        <v>2.3</v>
      </c>
      <c r="D11" s="15" t="n">
        <v>8</v>
      </c>
      <c r="E11" s="18" t="n"/>
      <c r="F11" s="18" t="n"/>
      <c r="G11" s="15" t="inlineStr">
        <is>
          <t>Approval</t>
        </is>
      </c>
      <c r="H11" s="15" t="n">
        <v>0</v>
      </c>
      <c r="I11" s="15" t="n">
        <v>0</v>
      </c>
    </row>
    <row r="12" ht="15" customHeight="1" s="8">
      <c r="A12" s="15" t="inlineStr">
        <is>
          <t>Jordan Patel</t>
        </is>
      </c>
      <c r="B12" s="15" t="n">
        <v>7</v>
      </c>
      <c r="C12" s="15" t="n">
        <v>3.5</v>
      </c>
      <c r="D12" s="15" t="n">
        <v>8</v>
      </c>
      <c r="E12" s="18" t="n"/>
      <c r="F12" s="18" t="n"/>
      <c r="G12" s="15" t="inlineStr">
        <is>
          <t>Case</t>
        </is>
      </c>
      <c r="H12" s="15" t="n">
        <v>3</v>
      </c>
      <c r="I12" s="15" t="n">
        <v>1</v>
      </c>
    </row>
    <row r="13" ht="15" customHeight="1" s="8">
      <c r="A13" s="15" t="inlineStr">
        <is>
          <t>Luis Romero</t>
        </is>
      </c>
      <c r="B13" s="15" t="n">
        <v>5</v>
      </c>
      <c r="C13" s="15" t="n">
        <v>2.5</v>
      </c>
      <c r="D13" s="15" t="n">
        <v>8</v>
      </c>
      <c r="E13" s="18" t="n"/>
      <c r="F13" s="18" t="n"/>
      <c r="G13" s="15" t="inlineStr">
        <is>
          <t>Contact</t>
        </is>
      </c>
      <c r="H13" s="15" t="n">
        <v>0</v>
      </c>
      <c r="I13" s="15" t="n">
        <v>3</v>
      </c>
    </row>
    <row r="14" ht="15" customHeight="1" s="8">
      <c r="A14" s="15" t="inlineStr">
        <is>
          <t>Maya Chen</t>
        </is>
      </c>
      <c r="B14" s="15" t="n">
        <v>6</v>
      </c>
      <c r="C14" s="15" t="n">
        <v>2.7</v>
      </c>
      <c r="D14" s="15" t="n">
        <v>8</v>
      </c>
      <c r="E14" s="18" t="n"/>
      <c r="F14" s="18" t="n"/>
      <c r="G14" s="15" t="inlineStr">
        <is>
          <t>Offer</t>
        </is>
      </c>
      <c r="H14" s="15" t="n">
        <v>21</v>
      </c>
      <c r="I14" s="15" t="n">
        <v>0</v>
      </c>
    </row>
    <row r="15" ht="15" customHeight="1" s="8">
      <c r="A15" s="15" t="inlineStr">
        <is>
          <t>Priya Nair</t>
        </is>
      </c>
      <c r="B15" s="15" t="n">
        <v>5</v>
      </c>
      <c r="C15" s="15" t="n">
        <v>2.4</v>
      </c>
      <c r="D15" s="15" t="n">
        <v>8</v>
      </c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 ht="15" customHeight="1" s="8">
      <c r="A20" s="15" t="inlineStr">
        <is>
          <t>Status</t>
        </is>
      </c>
      <c r="B20" s="15" t="inlineStr">
        <is>
          <t>Actions</t>
        </is>
      </c>
      <c r="C20" s="18" t="n"/>
      <c r="D20" s="18" t="n"/>
      <c r="E20" s="15" t="inlineStr">
        <is>
          <t>Date</t>
        </is>
      </c>
      <c r="F20" s="15" t="inlineStr">
        <is>
          <t>Scheduled hours</t>
        </is>
      </c>
      <c r="G20" s="15" t="inlineStr">
        <is>
          <t>Available hours</t>
        </is>
      </c>
      <c r="H20" s="15" t="inlineStr">
        <is>
          <t>Buffer hours</t>
        </is>
      </c>
      <c r="I20" s="18" t="n"/>
    </row>
    <row r="21" ht="15" customHeight="1" s="8">
      <c r="A21" s="15" t="inlineStr">
        <is>
          <t>Planned</t>
        </is>
      </c>
      <c r="B21" s="15" t="n">
        <v>24</v>
      </c>
      <c r="C21" s="18" t="n"/>
      <c r="D21" s="18" t="n"/>
      <c r="E21" s="17" t="n">
        <v>46220</v>
      </c>
      <c r="F21" s="15" t="n">
        <v>3.25</v>
      </c>
      <c r="G21" s="15" t="n">
        <v>7.5</v>
      </c>
      <c r="H21" s="10">
        <f>G21-F21</f>
        <v/>
      </c>
      <c r="I21" s="18" t="n"/>
    </row>
    <row r="22" ht="15" customHeight="1" s="8">
      <c r="A22" s="15" t="inlineStr">
        <is>
          <t>Confirmed</t>
        </is>
      </c>
      <c r="B22" s="15" t="n">
        <v>0</v>
      </c>
      <c r="C22" s="18" t="n"/>
      <c r="D22" s="18" t="n"/>
      <c r="E22" s="17" t="n">
        <v>46221</v>
      </c>
      <c r="F22" s="15" t="n">
        <v>1.33</v>
      </c>
      <c r="G22" s="15" t="n">
        <v>7.5</v>
      </c>
      <c r="H22" s="10">
        <f>G22-F22</f>
        <v/>
      </c>
      <c r="I22" s="18" t="n"/>
    </row>
    <row r="23" ht="15" customHeight="1" s="8">
      <c r="A23" s="15" t="inlineStr">
        <is>
          <t>Completed</t>
        </is>
      </c>
      <c r="B23" s="15" t="n">
        <v>0</v>
      </c>
      <c r="C23" s="18" t="n"/>
      <c r="D23" s="18" t="n"/>
      <c r="E23" s="17" t="n">
        <v>46223</v>
      </c>
      <c r="F23" s="15" t="n">
        <v>2.5</v>
      </c>
      <c r="G23" s="15" t="n">
        <v>7.5</v>
      </c>
      <c r="H23" s="10">
        <f>G23-F23</f>
        <v/>
      </c>
      <c r="I23" s="18" t="n"/>
    </row>
    <row r="24" ht="15" customHeight="1" s="8">
      <c r="A24" s="15" t="inlineStr">
        <is>
          <t>Blocked</t>
        </is>
      </c>
      <c r="B24" s="15" t="n">
        <v>4</v>
      </c>
      <c r="C24" s="18" t="n"/>
      <c r="D24" s="18" t="n"/>
      <c r="E24" s="17" t="n">
        <v>46224</v>
      </c>
      <c r="F24" s="15" t="n">
        <v>2.58</v>
      </c>
      <c r="G24" s="15" t="n">
        <v>7.5</v>
      </c>
      <c r="H24" s="10">
        <f>G24-F24</f>
        <v/>
      </c>
      <c r="I24" s="18" t="n"/>
    </row>
    <row r="25" ht="15" customHeight="1" s="8">
      <c r="A25" s="15" t="inlineStr">
        <is>
          <t>Rescheduled</t>
        </is>
      </c>
      <c r="B25" s="15" t="n">
        <v>0</v>
      </c>
      <c r="C25" s="18" t="n"/>
      <c r="D25" s="18" t="n"/>
      <c r="E25" s="17" t="n">
        <v>46225</v>
      </c>
      <c r="F25" s="15" t="n">
        <v>2.33</v>
      </c>
      <c r="G25" s="15" t="n">
        <v>7.5</v>
      </c>
      <c r="H25" s="10">
        <f>G25-F25</f>
        <v/>
      </c>
      <c r="I25" s="18" t="n"/>
    </row>
    <row r="26" ht="15" customHeight="1" s="8">
      <c r="A26" s="15" t="inlineStr">
        <is>
          <t>Escalated</t>
        </is>
      </c>
      <c r="B26" s="15" t="n">
        <v>0</v>
      </c>
      <c r="C26" s="18" t="n"/>
      <c r="D26" s="18" t="n"/>
      <c r="E26" s="17" t="n">
        <v>46226</v>
      </c>
      <c r="F26" s="15" t="n">
        <v>1.08</v>
      </c>
      <c r="G26" s="15" t="n">
        <v>7.5</v>
      </c>
      <c r="H26" s="10">
        <f>G26-F26</f>
        <v/>
      </c>
      <c r="I26" s="18" t="n"/>
    </row>
    <row r="27" ht="15" customHeight="1" s="8">
      <c r="A27" s="18" t="n"/>
      <c r="B27" s="18" t="n"/>
      <c r="C27" s="18" t="n"/>
      <c r="D27" s="18" t="n"/>
      <c r="E27" s="17" t="n">
        <v>46227</v>
      </c>
      <c r="F27" s="15" t="n">
        <v>0.33</v>
      </c>
      <c r="G27" s="15" t="n">
        <v>7.5</v>
      </c>
      <c r="H27" s="10">
        <f>G27-F27</f>
        <v/>
      </c>
      <c r="I27" s="18" t="n"/>
    </row>
  </sheetData>
  <sheetProtection selectLockedCells="0" selectUnlockedCells="1" sheet="1" objects="0" insertRows="1" insertHyperlinks="1" autoFilter="0" scenarios="0" formatColumns="1" deleteColumns="1" insertColumns="1" pivotTables="1" deleteRows="1" formatCells="1" formatRows="1" sort="0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Media Network Revenue Operations</dc:creator>
  <dc:title xmlns:dc="http://purl.org/dc/elements/1.1/">Recovery Outreach Schedule</dc:title>
  <dc:description xmlns:dc="http://purl.org/dc/elements/1.1/">Daily execution schedule, capacity checks, and checkpoint charts for the July 2026 recovery sprint.</dc:description>
  <dc:subject xmlns:dc="http://purl.org/dc/elements/1.1/">Escalated advertiser account recovery</dc:subject>
  <dc:language xmlns:dc="http://purl.org/dc/elements/1.1/">en-US</dc:language>
  <dcterms:created xmlns:dcterms="http://purl.org/dc/terms/" xmlns:xsi="http://www.w3.org/2001/XMLSchema-instance" xsi:type="dcterms:W3CDTF">2026-07-17T03:07:39Z</dcterms:created>
  <dcterms:modified xmlns:dcterms="http://purl.org/dc/terms/" xmlns:xsi="http://www.w3.org/2001/XMLSchema-instance" xsi:type="dcterms:W3CDTF">2026-07-17T04:10:36Z</dcterms:modified>
  <cp:lastModifiedBy>Northstar Media Network Revenue Operations</cp:lastModifiedBy>
  <cp:category>Commerce operations</cp:category>
  <cp:revision>1</cp:revision>
  <cp:keywords>advertising sales account recovery renewal supervisor</cp:keywords>
</cp:coreProperties>
</file>