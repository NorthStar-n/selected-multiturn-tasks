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4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Read_Me" sheetId="1" state="visible" r:id="rId3"/>
    <sheet name="Metric_Definitions" sheetId="2" state="visible" r:id="rId4"/>
    <sheet name="Assumptions" sheetId="3" state="visible" r:id="rId5"/>
    <sheet name="Raw_CRM" sheetId="4" state="visible" r:id="rId6"/>
    <sheet name="Raw_Cases" sheetId="5" state="visible" r:id="rId7"/>
    <sheet name="Raw_Orders" sheetId="6" state="visible" r:id="rId8"/>
    <sheet name="Raw_Contacts" sheetId="7" state="visible" r:id="rId9"/>
    <sheet name="Raw_Activity" sheetId="8" state="visible" r:id="rId10"/>
    <sheet name="Raw_Offers" sheetId="9" state="visible" r:id="rId11"/>
    <sheet name="Raw_Approval" sheetId="10" state="visible" r:id="rId12"/>
    <sheet name="Case_Summary" sheetId="11" state="visible" r:id="rId13"/>
    <sheet name="Activity_Summary" sheetId="12" state="visible" r:id="rId14"/>
    <sheet name="Normalized_Accounts" sheetId="13" state="visible" r:id="rId15"/>
    <sheet name="Scoring" sheetId="14" state="visible" r:id="rId16"/>
    <sheet name="Decisions" sheetId="15" state="visible" r:id="rId17"/>
    <sheet name="Checks" sheetId="16" state="visible" r:id="rId18"/>
    <sheet name="Chart_Data" sheetId="17" state="visible" r:id="rId19"/>
    <sheet name="Dashboard" sheetId="18" state="visible" r:id="rId20"/>
    <sheet name="Forecast Impact" sheetId="19" state="visible" r:id="rId21"/>
    <sheet name="Priority Analysis" sheetId="20" state="visible" r:id="rId22"/>
    <sheet name="Coverage" sheetId="21" state="visible" r:id="rId23"/>
    <sheet name="Compliance" sheetId="22" state="visible" r:id="rId24"/>
  </sheets>
  <definedNames>
    <definedName function="false" hidden="true" localSheetId="11" name="_xlnm._FilterDatabase" vbProcedure="false">Activity_Summary!$A$1:$D$19</definedName>
    <definedName function="false" hidden="true" localSheetId="10" name="_xlnm._FilterDatabase" vbProcedure="false">Case_Summary!$A$1:$F$19</definedName>
    <definedName function="false" hidden="false" localSheetId="21" name="_xlnm.Print_Area" vbProcedure="false">Compliance!$A$1:$K$28</definedName>
    <definedName function="false" hidden="false" localSheetId="20" name="_xlnm.Print_Area" vbProcedure="false">Coverage!$A$1:$K$42</definedName>
    <definedName function="false" hidden="false" localSheetId="17" name="_xlnm.Print_Area" vbProcedure="false">Dashboard!$A$1:$K$42</definedName>
    <definedName function="false" hidden="false" localSheetId="18" name="_xlnm.Print_Area" vbProcedure="false">'Forecast Impact'!$A$1:$K$28</definedName>
    <definedName function="false" hidden="false" localSheetId="19" name="_xlnm.Print_Area" vbProcedure="false">'Priority Analysis'!$A$1:$K$42</definedName>
    <definedName function="false" hidden="true" localSheetId="7" name="_xlnm._FilterDatabase" vbProcedure="false">Raw_Activity!$A$1:$O$42</definedName>
    <definedName function="false" hidden="true" localSheetId="9" name="_xlnm._FilterDatabase" vbProcedure="false">Raw_Approval!$A$1:$G$19</definedName>
    <definedName function="false" hidden="true" localSheetId="4" name="_xlnm._FilterDatabase" vbProcedure="false">Raw_Cases!$A$1:$Q$24</definedName>
    <definedName function="false" hidden="true" localSheetId="6" name="_xlnm._FilterDatabase" vbProcedure="false">Raw_Contacts!$A$1:$N$41</definedName>
    <definedName function="false" hidden="true" localSheetId="3" name="_xlnm._FilterDatabase" vbProcedure="false">Raw_CRM!$A$1:$L$19</definedName>
    <definedName function="false" hidden="true" localSheetId="8" name="_xlnm._FilterDatabase" vbProcedure="false">Raw_Offers!$A$1:$H$7</definedName>
    <definedName function="false" hidden="true" localSheetId="5" name="_xlnm._FilterDatabase" vbProcedure="false">Raw_Orders!$A$1:$H$19</definedName>
    <definedName function="false" hidden="false" name="Authority_CR_10K_Cap" vbProcedure="false">Raw_Offers!$D$3</definedName>
    <definedName function="false" hidden="false" name="Authority_MGR_REQ_Cap" vbProcedure="false">Raw_Offers!$D$7</definedName>
    <definedName function="false" hidden="false" name="Authority_MG_15_Cap" vbProcedure="false">Raw_Offers!$D$2</definedName>
    <definedName function="false" hidden="false" name="Authority_RH_60_Cap" vbProcedure="false">Raw_Offers!$D$4</definedName>
    <definedName function="false" hidden="false" name="Authority_RPT_COMP_Cap" vbProcedure="false">Raw_Offers!$D$6</definedName>
    <definedName function="false" hidden="false" name="Authority_SW_PKG_Cap" vbProcedure="false">Raw_Offers!$D$5</definedName>
    <definedName function="false" hidden="false" name="Contact_Readiness_Weight" vbProcedure="false">Assumptions!$B$5</definedName>
    <definedName function="false" hidden="false" name="DecisionActionList" vbProcedure="false">Assumptions!$F$12:$F$29</definedName>
    <definedName function="false" hidden="false" name="DecisionStatusList" vbProcedure="false">Assumptions!$E$12:$E$14</definedName>
    <definedName function="false" hidden="false" name="ExceptionRouteList" vbProcedure="false">Assumptions!$G$12:$G$20</definedName>
    <definedName function="false" hidden="false" name="Exposure_Score_Denominator" vbProcedure="false">Assumptions!$B$7</definedName>
    <definedName function="false" hidden="false" name="Exposure_Weight" vbProcedure="false">Assumptions!$B$2</definedName>
    <definedName function="false" hidden="false" name="Forecast_Variance_Weight" vbProcedure="false">Assumptions!$B$6</definedName>
    <definedName function="false" hidden="false" name="Model_As_Of_Date" vbProcedure="false">Assumptions!$B$8</definedName>
    <definedName function="false" hidden="false" name="PriorityTierList" vbProcedure="false">Assumptions!$D$12:$D$15</definedName>
    <definedName function="false" hidden="false" name="Recovery_Risk_Weight" vbProcedure="false">Assumptions!$B$3</definedName>
    <definedName function="false" hidden="false" name="Urgency_Weight" vbProcedure="false">Assumptions!$B$4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<sst xmlns="http://schemas.openxmlformats.org/spreadsheetml/2006/main" count="2195" uniqueCount="723">
  <si>
    <t xml:space="preserve">Workbook owner</t>
  </si>
  <si>
    <t xml:space="preserve">Dana Morales, Advertising Sales Desk Supervisor</t>
  </si>
  <si>
    <t xml:space="preserve">Lifecycle state</t>
  </si>
  <si>
    <t xml:space="preserve">Approved executable record</t>
  </si>
  <si>
    <t xml:space="preserve">Approved objective</t>
  </si>
  <si>
    <t xml:space="preserve">Rank the July escalated renewal portfolio and convert approved accounts into compliant recovery actions.</t>
  </si>
  <si>
    <t xml:space="preserve">Source refresh</t>
  </si>
  <si>
    <t xml:space="preserve">CRM 2026-07-13; ad-ops 2026-07-13; orders 2026Q3; contacts 2026-07-10; activity through 2026-07-14; approval 2026-07-15.</t>
  </si>
  <si>
    <t xml:space="preserve">Navigation</t>
  </si>
  <si>
    <t xml:space="preserve">Use Dashboard first, then Scoring, Decisions, Checks, and Raw_Data sheets for lineage.</t>
  </si>
  <si>
    <t xml:space="preserve">Metric</t>
  </si>
  <si>
    <t xml:space="preserve">Definition</t>
  </si>
  <si>
    <t xml:space="preserve">Unit</t>
  </si>
  <si>
    <t xml:space="preserve">Renewal exposure</t>
  </si>
  <si>
    <t xml:space="preserve">Renewal opportunity amount from order history</t>
  </si>
  <si>
    <t xml:space="preserve">USD</t>
  </si>
  <si>
    <t xml:space="preserve">Forecast variance</t>
  </si>
  <si>
    <t xml:space="preserve">Current Q3 forecast minus Q3 2025 baseline</t>
  </si>
  <si>
    <t xml:space="preserve">Issue burden score</t>
  </si>
  <si>
    <t xml:space="preserve">Open case count, severity, and issue age</t>
  </si>
  <si>
    <t xml:space="preserve">0-100</t>
  </si>
  <si>
    <t xml:space="preserve">Operational recovery risk</t>
  </si>
  <si>
    <t xml:space="preserve">Weighted health, issue burden, and activity aging risk</t>
  </si>
  <si>
    <t xml:space="preserve">Priority score</t>
  </si>
  <si>
    <t xml:space="preserve">Exposure, risk, urgency, contact readiness, and forecast variance weighted for recovery order</t>
  </si>
  <si>
    <t xml:space="preserve">Offer compliance</t>
  </si>
  <si>
    <t xml:space="preserve">Recommended offer stays within local authority or remains a controlled exception</t>
  </si>
  <si>
    <t xml:space="preserve">Status</t>
  </si>
  <si>
    <t xml:space="preserve">Assumption</t>
  </si>
  <si>
    <t xml:space="preserve">Value</t>
  </si>
  <si>
    <t xml:space="preserve">Exposure weight</t>
  </si>
  <si>
    <t xml:space="preserve">Recovery risk weight</t>
  </si>
  <si>
    <t xml:space="preserve">Urgency weight</t>
  </si>
  <si>
    <t xml:space="preserve">Contact readiness weight</t>
  </si>
  <si>
    <t xml:space="preserve">Forecast variance weight</t>
  </si>
  <si>
    <t xml:space="preserve">Exposure score denominator</t>
  </si>
  <si>
    <t xml:space="preserve">As of date</t>
  </si>
  <si>
    <t xml:space="preserve">PriorityTierList</t>
  </si>
  <si>
    <t xml:space="preserve">DecisionStatusList</t>
  </si>
  <si>
    <t xml:space="preserve">DecisionActionList</t>
  </si>
  <si>
    <t xml:space="preserve">ExceptionRouteList</t>
  </si>
  <si>
    <t xml:space="preserve">Tier 1</t>
  </si>
  <si>
    <t xml:space="preserve">Approved execution</t>
  </si>
  <si>
    <t xml:space="preserve">Confirm makegood inventory and delivery recovery plan</t>
  </si>
  <si>
    <t xml:space="preserve">Decision-maker outreach permission pending</t>
  </si>
  <si>
    <t xml:space="preserve">Tier 2</t>
  </si>
  <si>
    <t xml:space="preserve">Controlled exception</t>
  </si>
  <si>
    <t xml:space="preserve">Deliver reconciled reporting package and executive summary</t>
  </si>
  <si>
    <t xml:space="preserve">Requested credit is above supervisor authority</t>
  </si>
  <si>
    <t xml:space="preserve">Tier 3</t>
  </si>
  <si>
    <t xml:space="preserve">Excluded - no action</t>
  </si>
  <si>
    <t xml:space="preserve">Confirm verified billing credit and renewal rate hold</t>
  </si>
  <si>
    <t xml:space="preserve">Ad-ops blocker not cleared</t>
  </si>
  <si>
    <t xml:space="preserve">Controlled exception/hold</t>
  </si>
  <si>
    <t xml:space="preserve">Offer equivalent package swap after trafficking confirmation</t>
  </si>
  <si>
    <t xml:space="preserve">Closed renewal</t>
  </si>
  <si>
    <t xml:space="preserve">Swap misaligned audience package and reset delivery proof</t>
  </si>
  <si>
    <t xml:space="preserve">Contract terms outside local authority</t>
  </si>
  <si>
    <t xml:space="preserve">Confirm verified invoice credit and corrected bill date</t>
  </si>
  <si>
    <t xml:space="preserve">Customer requested September review</t>
  </si>
  <si>
    <t xml:space="preserve">Confirm makegood placement and revised delivery dates</t>
  </si>
  <si>
    <t xml:space="preserve">Ready to schedule</t>
  </si>
  <si>
    <t xml:space="preserve">Send reconciled district reach report and renewal summary</t>
  </si>
  <si>
    <t xml:space="preserve">Confirm package swap and creative approval timeline</t>
  </si>
  <si>
    <t xml:space="preserve">No sprint outreach</t>
  </si>
  <si>
    <t xml:space="preserve">Offer 60-day rate hold without additional credit</t>
  </si>
  <si>
    <t xml:space="preserve">Send corrected lift summary and renewal confidence note</t>
  </si>
  <si>
    <t xml:space="preserve">Confirm makegood placement and invoice correction route</t>
  </si>
  <si>
    <t xml:space="preserve">Hold customer-facing offer until decision-maker route is approved</t>
  </si>
  <si>
    <t xml:space="preserve">Route credit request to manager; do not promise local credit</t>
  </si>
  <si>
    <t xml:space="preserve">Wait for product feed fix before customer offer</t>
  </si>
  <si>
    <t xml:space="preserve">No sprint action; keep closure note</t>
  </si>
  <si>
    <t xml:space="preserve">Escalate to manager and legal owner; no rep commitment</t>
  </si>
  <si>
    <t xml:space="preserve">Hold for September agency review</t>
  </si>
  <si>
    <t xml:space="preserve">Account ID</t>
  </si>
  <si>
    <t xml:space="preserve">Account Name</t>
  </si>
  <si>
    <t xml:space="preserve">Segment</t>
  </si>
  <si>
    <t xml:space="preserve">Account Tier</t>
  </si>
  <si>
    <t xml:space="preserve">Owner Rep</t>
  </si>
  <si>
    <t xml:space="preserve">Renewal Date</t>
  </si>
  <si>
    <t xml:space="preserve">Health Score</t>
  </si>
  <si>
    <t xml:space="preserve">Lifecycle State</t>
  </si>
  <si>
    <t xml:space="preserve">Forecast Category</t>
  </si>
  <si>
    <t xml:space="preserve">Requested Recovery Value</t>
  </si>
  <si>
    <t xml:space="preserve">Escalation Reason</t>
  </si>
  <si>
    <t xml:space="preserve">Approved Action Note</t>
  </si>
  <si>
    <t xml:space="preserve">A-1001</t>
  </si>
  <si>
    <t xml:space="preserve">Meridian Health Partners</t>
  </si>
  <si>
    <t xml:space="preserve">Healthcare</t>
  </si>
  <si>
    <t xml:space="preserve">Key Growth</t>
  </si>
  <si>
    <t xml:space="preserve">Maya Chen</t>
  </si>
  <si>
    <t xml:space="preserve">Commit at risk</t>
  </si>
  <si>
    <t xml:space="preserve">Delivery underpacing and reporting trust</t>
  </si>
  <si>
    <t xml:space="preserve">A-1002</t>
  </si>
  <si>
    <t xml:space="preserve">Larkspur Credit Union</t>
  </si>
  <si>
    <t xml:space="preserve">Financial Services</t>
  </si>
  <si>
    <t xml:space="preserve">Core</t>
  </si>
  <si>
    <t xml:space="preserve">Jordan Patel</t>
  </si>
  <si>
    <t xml:space="preserve">Best case</t>
  </si>
  <si>
    <t xml:space="preserve">Reporting discrepancy</t>
  </si>
  <si>
    <t xml:space="preserve">A-1003</t>
  </si>
  <si>
    <t xml:space="preserve">Cobalt Cloud Systems</t>
  </si>
  <si>
    <t xml:space="preserve">Technology</t>
  </si>
  <si>
    <t xml:space="preserve">Priya Nair</t>
  </si>
  <si>
    <t xml:space="preserve">Invoice credit and rate hold request</t>
  </si>
  <si>
    <t xml:space="preserve">A-1004</t>
  </si>
  <si>
    <t xml:space="preserve">Harborview Furnishings</t>
  </si>
  <si>
    <t xml:space="preserve">Retail</t>
  </si>
  <si>
    <t xml:space="preserve">Luis Romero</t>
  </si>
  <si>
    <t xml:space="preserve">Creative trafficking delay</t>
  </si>
  <si>
    <t xml:space="preserve">A-1005</t>
  </si>
  <si>
    <t xml:space="preserve">Axion Robotics</t>
  </si>
  <si>
    <t xml:space="preserve">Industrial</t>
  </si>
  <si>
    <t xml:space="preserve">Devon Brooks</t>
  </si>
  <si>
    <t xml:space="preserve">Audience mismatch and delivery quality</t>
  </si>
  <si>
    <t xml:space="preserve">A-1006</t>
  </si>
  <si>
    <t xml:space="preserve">Greenway Kitchens</t>
  </si>
  <si>
    <t xml:space="preserve">Emerging</t>
  </si>
  <si>
    <t xml:space="preserve">Pipeline</t>
  </si>
  <si>
    <t xml:space="preserve">Billing error</t>
  </si>
  <si>
    <t xml:space="preserve">A-1007</t>
  </si>
  <si>
    <t xml:space="preserve">Northline Insurance</t>
  </si>
  <si>
    <t xml:space="preserve">Delivery underpacing</t>
  </si>
  <si>
    <t xml:space="preserve">A-1008</t>
  </si>
  <si>
    <t xml:space="preserve">Veridian Charter Schools</t>
  </si>
  <si>
    <t xml:space="preserve">Education</t>
  </si>
  <si>
    <t xml:space="preserve">Reporting trust</t>
  </si>
  <si>
    <t xml:space="preserve">A-1009</t>
  </si>
  <si>
    <t xml:space="preserve">Copper Trail Hospitality</t>
  </si>
  <si>
    <t xml:space="preserve">Travel</t>
  </si>
  <si>
    <t xml:space="preserve">Creative approval blocker</t>
  </si>
  <si>
    <t xml:space="preserve">A-1010</t>
  </si>
  <si>
    <t xml:space="preserve">Finch Legal Group</t>
  </si>
  <si>
    <t xml:space="preserve">Professional Services</t>
  </si>
  <si>
    <t xml:space="preserve">Renewal rate objection</t>
  </si>
  <si>
    <t xml:space="preserve">A-1011</t>
  </si>
  <si>
    <t xml:space="preserve">Solstice Energy Co-op</t>
  </si>
  <si>
    <t xml:space="preserve">Energy</t>
  </si>
  <si>
    <t xml:space="preserve">A-1012</t>
  </si>
  <si>
    <t xml:space="preserve">Vesta Apparel Collective</t>
  </si>
  <si>
    <t xml:space="preserve">Delivery underpacing and invoice dispute</t>
  </si>
  <si>
    <t xml:space="preserve">A-1013</t>
  </si>
  <si>
    <t xml:space="preserve">BrightPath Dental Alliance</t>
  </si>
  <si>
    <t xml:space="preserve">Decision-maker contact permission pending</t>
  </si>
  <si>
    <t xml:space="preserve">A-1014</t>
  </si>
  <si>
    <t xml:space="preserve">SummitBank SMB Services</t>
  </si>
  <si>
    <t xml:space="preserve">Credit request exceeds local cap</t>
  </si>
  <si>
    <t xml:space="preserve">A-1015</t>
  </si>
  <si>
    <t xml:space="preserve">Mesa Tool Supply</t>
  </si>
  <si>
    <t xml:space="preserve">Product feed blocker unresolved</t>
  </si>
  <si>
    <t xml:space="preserve">A-1016</t>
  </si>
  <si>
    <t xml:space="preserve">Riverstone Fitness</t>
  </si>
  <si>
    <t xml:space="preserve">Local Services</t>
  </si>
  <si>
    <t xml:space="preserve">Excluded - closed renewal</t>
  </si>
  <si>
    <t xml:space="preserve">Closed</t>
  </si>
  <si>
    <t xml:space="preserve">Issue resolved and renewal signed</t>
  </si>
  <si>
    <t xml:space="preserve">A-1017</t>
  </si>
  <si>
    <t xml:space="preserve">Atlas BioLabs</t>
  </si>
  <si>
    <t xml:space="preserve">Enterprise</t>
  </si>
  <si>
    <t xml:space="preserve">Data-use terms outside local authority</t>
  </si>
  <si>
    <t xml:space="preserve">A-1018</t>
  </si>
  <si>
    <t xml:space="preserve">Pinyon Outdoor Media Buyers</t>
  </si>
  <si>
    <t xml:space="preserve">Agency</t>
  </si>
  <si>
    <t xml:space="preserve">Excluded - September review</t>
  </si>
  <si>
    <t xml:space="preserve">Customer requested pause until agency consolidation</t>
  </si>
  <si>
    <t xml:space="preserve">Case ID</t>
  </si>
  <si>
    <t xml:space="preserve">Order ID</t>
  </si>
  <si>
    <t xml:space="preserve">Issue Type</t>
  </si>
  <si>
    <t xml:space="preserve">Severity</t>
  </si>
  <si>
    <t xml:space="preserve">Severity Score</t>
  </si>
  <si>
    <t xml:space="preserve">Opened Date</t>
  </si>
  <si>
    <t xml:space="preserve">Issue Age Days</t>
  </si>
  <si>
    <t xml:space="preserve">Sla Target Date</t>
  </si>
  <si>
    <t xml:space="preserve">Last Update Date</t>
  </si>
  <si>
    <t xml:space="preserve">Expected Resolution Date</t>
  </si>
  <si>
    <t xml:space="preserve">Current Owner</t>
  </si>
  <si>
    <t xml:space="preserve">Issue Status</t>
  </si>
  <si>
    <t xml:space="preserve">Resolution Confidence</t>
  </si>
  <si>
    <t xml:space="preserve">Root Cause</t>
  </si>
  <si>
    <t xml:space="preserve">Customer Impact</t>
  </si>
  <si>
    <t xml:space="preserve">Open Dependency</t>
  </si>
  <si>
    <t xml:space="preserve">CASE-7201</t>
  </si>
  <si>
    <t xml:space="preserve">ORD-73101</t>
  </si>
  <si>
    <t xml:space="preserve">Delivery Underpacing</t>
  </si>
  <si>
    <t xml:space="preserve">High</t>
  </si>
  <si>
    <t xml:space="preserve">Ad Ops - Lena Ortiz</t>
  </si>
  <si>
    <t xml:space="preserve">Waiting on Ad Ops</t>
  </si>
  <si>
    <t xml:space="preserve">Medium</t>
  </si>
  <si>
    <t xml:space="preserve">Inventory pacing lag</t>
  </si>
  <si>
    <t xml:space="preserve">Renewal confidence and delivery promise</t>
  </si>
  <si>
    <t xml:space="preserve">Traffic pacing confirmation</t>
  </si>
  <si>
    <t xml:space="preserve">CASE-7202</t>
  </si>
  <si>
    <t xml:space="preserve">Reporting Discrepancy</t>
  </si>
  <si>
    <t xml:space="preserve">Reporting - Eli Park</t>
  </si>
  <si>
    <t xml:space="preserve">Open</t>
  </si>
  <si>
    <t xml:space="preserve">UTM match mismatch</t>
  </si>
  <si>
    <t xml:space="preserve">Trust in delivery report</t>
  </si>
  <si>
    <t xml:space="preserve">Reach report reconciliation</t>
  </si>
  <si>
    <t xml:space="preserve">CASE-7203</t>
  </si>
  <si>
    <t xml:space="preserve">ORD-73102</t>
  </si>
  <si>
    <t xml:space="preserve">Audience reach export defect</t>
  </si>
  <si>
    <t xml:space="preserve">Renewal proof stalled</t>
  </si>
  <si>
    <t xml:space="preserve">Corrected report</t>
  </si>
  <si>
    <t xml:space="preserve">CASE-7204</t>
  </si>
  <si>
    <t xml:space="preserve">ORD-73103</t>
  </si>
  <si>
    <t xml:space="preserve">Billing Error</t>
  </si>
  <si>
    <t xml:space="preserve">Billing - Nora Vale</t>
  </si>
  <si>
    <t xml:space="preserve">Resolved Pending Customer</t>
  </si>
  <si>
    <t xml:space="preserve">Duplicate invoice line</t>
  </si>
  <si>
    <t xml:space="preserve">Signature withheld pending credit</t>
  </si>
  <si>
    <t xml:space="preserve">Credit memo confirmation</t>
  </si>
  <si>
    <t xml:space="preserve">CASE-7205</t>
  </si>
  <si>
    <t xml:space="preserve">Renewal Rate Objection</t>
  </si>
  <si>
    <t xml:space="preserve">Sales Ops - Aaron Kim</t>
  </si>
  <si>
    <t xml:space="preserve">Waiting on Sales</t>
  </si>
  <si>
    <t xml:space="preserve">Rate card update not explained</t>
  </si>
  <si>
    <t xml:space="preserve">Commercial approval delay</t>
  </si>
  <si>
    <t xml:space="preserve">Rate hold language</t>
  </si>
  <si>
    <t xml:space="preserve">CASE-7206</t>
  </si>
  <si>
    <t xml:space="preserve">ORD-73104</t>
  </si>
  <si>
    <t xml:space="preserve">Creative Trafficking</t>
  </si>
  <si>
    <t xml:space="preserve">Creative tags rejected</t>
  </si>
  <si>
    <t xml:space="preserve">Launch dates unclear</t>
  </si>
  <si>
    <t xml:space="preserve">Creative retagging</t>
  </si>
  <si>
    <t xml:space="preserve">CASE-7207</t>
  </si>
  <si>
    <t xml:space="preserve">ORD-73105</t>
  </si>
  <si>
    <t xml:space="preserve">Audience Mismatch</t>
  </si>
  <si>
    <t xml:space="preserve">Critical</t>
  </si>
  <si>
    <t xml:space="preserve">Product Support - Ravi Mehta</t>
  </si>
  <si>
    <t xml:space="preserve">Lookalike seed list mismatch</t>
  </si>
  <si>
    <t xml:space="preserve">Audience quality dispute</t>
  </si>
  <si>
    <t xml:space="preserve">Audience rebuild proof</t>
  </si>
  <si>
    <t xml:space="preserve">CASE-7208</t>
  </si>
  <si>
    <t xml:space="preserve">Audience cap after mismatch</t>
  </si>
  <si>
    <t xml:space="preserve">Forecast risk</t>
  </si>
  <si>
    <t xml:space="preserve">Pacing reset</t>
  </si>
  <si>
    <t xml:space="preserve">CASE-7209</t>
  </si>
  <si>
    <t xml:space="preserve">ORD-73106</t>
  </si>
  <si>
    <t xml:space="preserve">Tax line miscoded</t>
  </si>
  <si>
    <t xml:space="preserve">Owner approval delayed</t>
  </si>
  <si>
    <t xml:space="preserve">Credit memo draft</t>
  </si>
  <si>
    <t xml:space="preserve">CASE-7210</t>
  </si>
  <si>
    <t xml:space="preserve">ORD-73107</t>
  </si>
  <si>
    <t xml:space="preserve">Publisher inventory drop</t>
  </si>
  <si>
    <t xml:space="preserve">Written remedy requested</t>
  </si>
  <si>
    <t xml:space="preserve">Makegood placement</t>
  </si>
  <si>
    <t xml:space="preserve">CASE-7211</t>
  </si>
  <si>
    <t xml:space="preserve">ORD-73108</t>
  </si>
  <si>
    <t xml:space="preserve">District reach grouping error</t>
  </si>
  <si>
    <t xml:space="preserve">Budget meeting proof</t>
  </si>
  <si>
    <t xml:space="preserve">Corrected district report</t>
  </si>
  <si>
    <t xml:space="preserve">CASE-7212</t>
  </si>
  <si>
    <t xml:space="preserve">ORD-73109</t>
  </si>
  <si>
    <t xml:space="preserve">Brand safety tag review</t>
  </si>
  <si>
    <t xml:space="preserve">August flight risk</t>
  </si>
  <si>
    <t xml:space="preserve">Creative approval proof</t>
  </si>
  <si>
    <t xml:space="preserve">CASE-7213</t>
  </si>
  <si>
    <t xml:space="preserve">ORD-73110</t>
  </si>
  <si>
    <t xml:space="preserve">Low</t>
  </si>
  <si>
    <t xml:space="preserve">CPM comparison missing</t>
  </si>
  <si>
    <t xml:space="preserve">Rate hold question</t>
  </si>
  <si>
    <t xml:space="preserve">Rate hold note</t>
  </si>
  <si>
    <t xml:space="preserve">CASE-7214</t>
  </si>
  <si>
    <t xml:space="preserve">ORD-73111</t>
  </si>
  <si>
    <t xml:space="preserve">Lift model file mismatch</t>
  </si>
  <si>
    <t xml:space="preserve">Procurement approval blocked</t>
  </si>
  <si>
    <t xml:space="preserve">Corrected lift model</t>
  </si>
  <si>
    <t xml:space="preserve">CASE-7215</t>
  </si>
  <si>
    <t xml:space="preserve">ORD-73112</t>
  </si>
  <si>
    <t xml:space="preserve">Premium placement shortfall</t>
  </si>
  <si>
    <t xml:space="preserve">Renewal at risk</t>
  </si>
  <si>
    <t xml:space="preserve">CASE-7216</t>
  </si>
  <si>
    <t xml:space="preserve">Invoice PO mismatch</t>
  </si>
  <si>
    <t xml:space="preserve">Finance approval pending</t>
  </si>
  <si>
    <t xml:space="preserve">Invoice correction</t>
  </si>
  <si>
    <t xml:space="preserve">CASE-7217</t>
  </si>
  <si>
    <t xml:space="preserve">ORD-73113</t>
  </si>
  <si>
    <t xml:space="preserve">Pacing drift</t>
  </si>
  <si>
    <t xml:space="preserve">Needs decision maker route</t>
  </si>
  <si>
    <t xml:space="preserve">Pacing check</t>
  </si>
  <si>
    <t xml:space="preserve">CASE-7218</t>
  </si>
  <si>
    <t xml:space="preserve">ORD-73114</t>
  </si>
  <si>
    <t xml:space="preserve">Verified duplicate billing</t>
  </si>
  <si>
    <t xml:space="preserve">Over-limit credit request</t>
  </si>
  <si>
    <t xml:space="preserve">Manager approval</t>
  </si>
  <si>
    <t xml:space="preserve">CASE-7219</t>
  </si>
  <si>
    <t xml:space="preserve">ORD-73115</t>
  </si>
  <si>
    <t xml:space="preserve">Product Feed Blocker</t>
  </si>
  <si>
    <t xml:space="preserve">Merchant feed mismatch</t>
  </si>
  <si>
    <t xml:space="preserve">Cannot confirm swap</t>
  </si>
  <si>
    <t xml:space="preserve">Feed fix proof</t>
  </si>
  <si>
    <t xml:space="preserve">CASE-7220</t>
  </si>
  <si>
    <t xml:space="preserve">ORD-73116</t>
  </si>
  <si>
    <t xml:space="preserve">Small credit issued</t>
  </si>
  <si>
    <t xml:space="preserve">Resolved</t>
  </si>
  <si>
    <t xml:space="preserve">Closure note</t>
  </si>
  <si>
    <t xml:space="preserve">CASE-7221</t>
  </si>
  <si>
    <t xml:space="preserve">ORD-73117</t>
  </si>
  <si>
    <t xml:space="preserve">Data-Use Terms</t>
  </si>
  <si>
    <t xml:space="preserve">Legal - Sasha Reed</t>
  </si>
  <si>
    <t xml:space="preserve">Contract data-use change</t>
  </si>
  <si>
    <t xml:space="preserve">Outside sales-desk authority</t>
  </si>
  <si>
    <t xml:space="preserve">Legal review</t>
  </si>
  <si>
    <t xml:space="preserve">CASE-7222</t>
  </si>
  <si>
    <t xml:space="preserve">Clinical segment grouping</t>
  </si>
  <si>
    <t xml:space="preserve">Executive concern</t>
  </si>
  <si>
    <t xml:space="preserve">Segment report</t>
  </si>
  <si>
    <t xml:space="preserve">CASE-7223</t>
  </si>
  <si>
    <t xml:space="preserve">ORD-73118</t>
  </si>
  <si>
    <t xml:space="preserve">Agency Consolidation</t>
  </si>
  <si>
    <t xml:space="preserve">Waiting on Customer</t>
  </si>
  <si>
    <t xml:space="preserve">Agency buying team reorg</t>
  </si>
  <si>
    <t xml:space="preserve">Customer requested hold</t>
  </si>
  <si>
    <t xml:space="preserve">September rebrief</t>
  </si>
  <si>
    <t xml:space="preserve">Opportunity ID</t>
  </si>
  <si>
    <t xml:space="preserve">Baseline Revenue</t>
  </si>
  <si>
    <t xml:space="preserve">Current Forecast</t>
  </si>
  <si>
    <t xml:space="preserve">Renewal Exposure</t>
  </si>
  <si>
    <t xml:space="preserve">Probability</t>
  </si>
  <si>
    <t xml:space="preserve">OPP-2601</t>
  </si>
  <si>
    <t xml:space="preserve">OPP-2602</t>
  </si>
  <si>
    <t xml:space="preserve">OPP-2603</t>
  </si>
  <si>
    <t xml:space="preserve">OPP-2604</t>
  </si>
  <si>
    <t xml:space="preserve">OPP-2605</t>
  </si>
  <si>
    <t xml:space="preserve">OPP-2606</t>
  </si>
  <si>
    <t xml:space="preserve">OPP-2607</t>
  </si>
  <si>
    <t xml:space="preserve">OPP-2608</t>
  </si>
  <si>
    <t xml:space="preserve">OPP-2609</t>
  </si>
  <si>
    <t xml:space="preserve">OPP-2610</t>
  </si>
  <si>
    <t xml:space="preserve">OPP-2611</t>
  </si>
  <si>
    <t xml:space="preserve">OPP-2612</t>
  </si>
  <si>
    <t xml:space="preserve">OPP-2613</t>
  </si>
  <si>
    <t xml:space="preserve">OPP-2614</t>
  </si>
  <si>
    <t xml:space="preserve">OPP-2615</t>
  </si>
  <si>
    <t xml:space="preserve">OPP-2616</t>
  </si>
  <si>
    <t xml:space="preserve">OPP-2617</t>
  </si>
  <si>
    <t xml:space="preserve">OPP-2618</t>
  </si>
  <si>
    <t xml:space="preserve">Contact ID</t>
  </si>
  <si>
    <t xml:space="preserve">Contact Name</t>
  </si>
  <si>
    <t xml:space="preserve">Title</t>
  </si>
  <si>
    <t xml:space="preserve">Contact Role</t>
  </si>
  <si>
    <t xml:space="preserve">Decision Authority</t>
  </si>
  <si>
    <t xml:space="preserve">Outreach Permission</t>
  </si>
  <si>
    <t xml:space="preserve">Preferred Channel</t>
  </si>
  <si>
    <t xml:space="preserve">Timezone</t>
  </si>
  <si>
    <t xml:space="preserve">Unavailable Window</t>
  </si>
  <si>
    <t xml:space="preserve">Sensitivity Flag</t>
  </si>
  <si>
    <t xml:space="preserve">Backup Owner</t>
  </si>
  <si>
    <t xml:space="preserve">CT-001A</t>
  </si>
  <si>
    <t xml:space="preserve">Dr. Lena Morris</t>
  </si>
  <si>
    <t xml:space="preserve">Chief Marketing Officer</t>
  </si>
  <si>
    <t xml:space="preserve">Final Renewal Approver</t>
  </si>
  <si>
    <t xml:space="preserve">Yes</t>
  </si>
  <si>
    <t xml:space="preserve">Approved</t>
  </si>
  <si>
    <t xml:space="preserve">Email then call</t>
  </si>
  <si>
    <t xml:space="preserve">Eastern</t>
  </si>
  <si>
    <t xml:space="preserve">None</t>
  </si>
  <si>
    <t xml:space="preserve">Executive expects delivery plan</t>
  </si>
  <si>
    <t xml:space="preserve">CT-001B</t>
  </si>
  <si>
    <t xml:space="preserve">Nora Blake</t>
  </si>
  <si>
    <t xml:space="preserve">Ad Operations Counterpart</t>
  </si>
  <si>
    <t xml:space="preserve">Operational Contact</t>
  </si>
  <si>
    <t xml:space="preserve">No</t>
  </si>
  <si>
    <t xml:space="preserve">Email</t>
  </si>
  <si>
    <t xml:space="preserve">Standard operating route</t>
  </si>
  <si>
    <t xml:space="preserve">CT-002A</t>
  </si>
  <si>
    <t xml:space="preserve">Tanya Wells</t>
  </si>
  <si>
    <t xml:space="preserve">Director of Marketing</t>
  </si>
  <si>
    <t xml:space="preserve">Central</t>
  </si>
  <si>
    <t xml:space="preserve">Avoid Friday after 12:00</t>
  </si>
  <si>
    <t xml:space="preserve">Compliance copy required</t>
  </si>
  <si>
    <t xml:space="preserve">CT-002B</t>
  </si>
  <si>
    <t xml:space="preserve">Theo Walsh</t>
  </si>
  <si>
    <t xml:space="preserve">Compliance Marketing Contact</t>
  </si>
  <si>
    <t xml:space="preserve">CT-003A</t>
  </si>
  <si>
    <t xml:space="preserve">Rafael Soto</t>
  </si>
  <si>
    <t xml:space="preserve">VP Demand Generation</t>
  </si>
  <si>
    <t xml:space="preserve">Call</t>
  </si>
  <si>
    <t xml:space="preserve">Pacific</t>
  </si>
  <si>
    <t xml:space="preserve">Unavailable July 22 AM</t>
  </si>
  <si>
    <t xml:space="preserve">Wants billing proof first</t>
  </si>
  <si>
    <t xml:space="preserve">CT-003B</t>
  </si>
  <si>
    <t xml:space="preserve">Vikram Shah</t>
  </si>
  <si>
    <t xml:space="preserve">Demand Operations Contact</t>
  </si>
  <si>
    <t xml:space="preserve">CT-003C</t>
  </si>
  <si>
    <t xml:space="preserve">Rafael Finance Desk</t>
  </si>
  <si>
    <t xml:space="preserve">Finance Contact</t>
  </si>
  <si>
    <t xml:space="preserve">Finance Only</t>
  </si>
  <si>
    <t xml:space="preserve">Use only for billing documentation</t>
  </si>
  <si>
    <t xml:space="preserve">CT-004A</t>
  </si>
  <si>
    <t xml:space="preserve">Nina Cho</t>
  </si>
  <si>
    <t xml:space="preserve">Retail Media Lead</t>
  </si>
  <si>
    <t xml:space="preserve">Creative team must be copied</t>
  </si>
  <si>
    <t xml:space="preserve">CT-004B</t>
  </si>
  <si>
    <t xml:space="preserve">Paige Ellis</t>
  </si>
  <si>
    <t xml:space="preserve">Campaign Operations Contact</t>
  </si>
  <si>
    <t xml:space="preserve">CT-005A</t>
  </si>
  <si>
    <t xml:space="preserve">Mark Feld</t>
  </si>
  <si>
    <t xml:space="preserve">VP Marketing</t>
  </si>
  <si>
    <t xml:space="preserve">Unavailable July 19</t>
  </si>
  <si>
    <t xml:space="preserve">Needs audience proof</t>
  </si>
  <si>
    <t xml:space="preserve">CT-005B</t>
  </si>
  <si>
    <t xml:space="preserve">Olivia Grant</t>
  </si>
  <si>
    <t xml:space="preserve">Media Operations Contact</t>
  </si>
  <si>
    <t xml:space="preserve">CT-006A</t>
  </si>
  <si>
    <t xml:space="preserve">Gloria Kim</t>
  </si>
  <si>
    <t xml:space="preserve">Owner</t>
  </si>
  <si>
    <t xml:space="preserve">SMS then email</t>
  </si>
  <si>
    <t xml:space="preserve">Prefers concise invoice note</t>
  </si>
  <si>
    <t xml:space="preserve">CT-006B</t>
  </si>
  <si>
    <t xml:space="preserve">CT-006C</t>
  </si>
  <si>
    <t xml:space="preserve">Gloria Finance Desk</t>
  </si>
  <si>
    <t xml:space="preserve">CT-007A</t>
  </si>
  <si>
    <t xml:space="preserve">Samira Ahmad</t>
  </si>
  <si>
    <t xml:space="preserve">Media Director</t>
  </si>
  <si>
    <t xml:space="preserve">Legal observer on copy</t>
  </si>
  <si>
    <t xml:space="preserve">CT-007B</t>
  </si>
  <si>
    <t xml:space="preserve">CT-008A</t>
  </si>
  <si>
    <t xml:space="preserve">Julian Pierce</t>
  </si>
  <si>
    <t xml:space="preserve">Enrollment Marketing Director</t>
  </si>
  <si>
    <t xml:space="preserve">Mountain</t>
  </si>
  <si>
    <t xml:space="preserve">School board meeting July 23</t>
  </si>
  <si>
    <t xml:space="preserve">No vendor calls before report</t>
  </si>
  <si>
    <t xml:space="preserve">CT-008B</t>
  </si>
  <si>
    <t xml:space="preserve">Riley Fox</t>
  </si>
  <si>
    <t xml:space="preserve">Enrollment Operations Contact</t>
  </si>
  <si>
    <t xml:space="preserve">CT-009A</t>
  </si>
  <si>
    <t xml:space="preserve">Cora Lind</t>
  </si>
  <si>
    <t xml:space="preserve">Brand Director</t>
  </si>
  <si>
    <t xml:space="preserve">Unavailable July 20 PM</t>
  </si>
  <si>
    <t xml:space="preserve">Sensitive to launch dates</t>
  </si>
  <si>
    <t xml:space="preserve">CT-009B</t>
  </si>
  <si>
    <t xml:space="preserve">Dane Wolfe</t>
  </si>
  <si>
    <t xml:space="preserve">Creative Operations Contact</t>
  </si>
  <si>
    <t xml:space="preserve">CT-010A</t>
  </si>
  <si>
    <t xml:space="preserve">Evan Finch</t>
  </si>
  <si>
    <t xml:space="preserve">Managing Partner</t>
  </si>
  <si>
    <t xml:space="preserve">Court calendar mornings</t>
  </si>
  <si>
    <t xml:space="preserve">Rate hold only</t>
  </si>
  <si>
    <t xml:space="preserve">CT-010B</t>
  </si>
  <si>
    <t xml:space="preserve">Leah Quinn</t>
  </si>
  <si>
    <t xml:space="preserve">Office Manager</t>
  </si>
  <si>
    <t xml:space="preserve">CT-011A</t>
  </si>
  <si>
    <t xml:space="preserve">Imani Hart</t>
  </si>
  <si>
    <t xml:space="preserve">Campaign Manager</t>
  </si>
  <si>
    <t xml:space="preserve">Procurement copied</t>
  </si>
  <si>
    <t xml:space="preserve">CT-011B</t>
  </si>
  <si>
    <t xml:space="preserve">Celia North</t>
  </si>
  <si>
    <t xml:space="preserve">CT-012A</t>
  </si>
  <si>
    <t xml:space="preserve">Marta Ruiz</t>
  </si>
  <si>
    <t xml:space="preserve">Digital Director</t>
  </si>
  <si>
    <t xml:space="preserve">Unavailable July 18</t>
  </si>
  <si>
    <t xml:space="preserve">Finance asks for PO note</t>
  </si>
  <si>
    <t xml:space="preserve">CT-012B</t>
  </si>
  <si>
    <t xml:space="preserve">CT-012C</t>
  </si>
  <si>
    <t xml:space="preserve">Marta Finance Desk</t>
  </si>
  <si>
    <t xml:space="preserve">CT-013A</t>
  </si>
  <si>
    <t xml:space="preserve">Alice Go</t>
  </si>
  <si>
    <t xml:space="preserve">Regional Marketing Director</t>
  </si>
  <si>
    <t xml:space="preserve">Pending</t>
  </si>
  <si>
    <t xml:space="preserve">Requires executive permission</t>
  </si>
  <si>
    <t xml:space="preserve">Decision-maker route not approved</t>
  </si>
  <si>
    <t xml:space="preserve">CT-013B</t>
  </si>
  <si>
    <t xml:space="preserve">Operations Only</t>
  </si>
  <si>
    <t xml:space="preserve">Use for issue details, not renewal commitment</t>
  </si>
  <si>
    <t xml:space="preserve">CT-014A</t>
  </si>
  <si>
    <t xml:space="preserve">Brent Ivers</t>
  </si>
  <si>
    <t xml:space="preserve">Finance VP</t>
  </si>
  <si>
    <t xml:space="preserve">Credit authority sensitive</t>
  </si>
  <si>
    <t xml:space="preserve">CT-014B</t>
  </si>
  <si>
    <t xml:space="preserve">CT-014C</t>
  </si>
  <si>
    <t xml:space="preserve">Brent Finance Desk</t>
  </si>
  <si>
    <t xml:space="preserve">CT-015A</t>
  </si>
  <si>
    <t xml:space="preserve">Mei Carter</t>
  </si>
  <si>
    <t xml:space="preserve">Ecommerce Lead</t>
  </si>
  <si>
    <t xml:space="preserve">Wait for feed proof</t>
  </si>
  <si>
    <t xml:space="preserve">CT-015B</t>
  </si>
  <si>
    <t xml:space="preserve">CT-016A</t>
  </si>
  <si>
    <t xml:space="preserve">Hannah Roy</t>
  </si>
  <si>
    <t xml:space="preserve">General Manager</t>
  </si>
  <si>
    <t xml:space="preserve">Renewal already signed</t>
  </si>
  <si>
    <t xml:space="preserve">CT-016B</t>
  </si>
  <si>
    <t xml:space="preserve">Irene Yu</t>
  </si>
  <si>
    <t xml:space="preserve">Marketing Coordinator</t>
  </si>
  <si>
    <t xml:space="preserve">CT-017A</t>
  </si>
  <si>
    <t xml:space="preserve">Dr. Paolo Kent</t>
  </si>
  <si>
    <t xml:space="preserve">Procurement Director</t>
  </si>
  <si>
    <t xml:space="preserve">Do not contact executive</t>
  </si>
  <si>
    <t xml:space="preserve">Email through manager</t>
  </si>
  <si>
    <t xml:space="preserve">Legal gate in force</t>
  </si>
  <si>
    <t xml:space="preserve">Use manager/legal route only</t>
  </si>
  <si>
    <t xml:space="preserve">CT-017B</t>
  </si>
  <si>
    <t xml:space="preserve">CT-018A</t>
  </si>
  <si>
    <t xml:space="preserve">Morgan Price</t>
  </si>
  <si>
    <t xml:space="preserve">Agency Strategy Lead</t>
  </si>
  <si>
    <t xml:space="preserve">Agency consolidation until September</t>
  </si>
  <si>
    <t xml:space="preserve">CT-018B</t>
  </si>
  <si>
    <t xml:space="preserve">Noah Becker</t>
  </si>
  <si>
    <t xml:space="preserve">Agency Planner</t>
  </si>
  <si>
    <t xml:space="preserve">Activity ID</t>
  </si>
  <si>
    <t xml:space="preserve">Activity Type</t>
  </si>
  <si>
    <t xml:space="preserve">Activity Date</t>
  </si>
  <si>
    <t xml:space="preserve">Customer Request</t>
  </si>
  <si>
    <t xml:space="preserve">Internal Commitment</t>
  </si>
  <si>
    <t xml:space="preserve">Commitment Due Date</t>
  </si>
  <si>
    <t xml:space="preserve">Commitment Status</t>
  </si>
  <si>
    <t xml:space="preserve">Confirmation Source</t>
  </si>
  <si>
    <t xml:space="preserve">Customer Sentiment</t>
  </si>
  <si>
    <t xml:space="preserve">Requested Decision Date</t>
  </si>
  <si>
    <t xml:space="preserve">Next Step</t>
  </si>
  <si>
    <t xml:space="preserve">Related Case ID</t>
  </si>
  <si>
    <t xml:space="preserve">Note</t>
  </si>
  <si>
    <t xml:space="preserve">ACT-26001A</t>
  </si>
  <si>
    <t xml:space="preserve">Customer call</t>
  </si>
  <si>
    <t xml:space="preserve">CMO asked for delivery plan before renewal call.</t>
  </si>
  <si>
    <t xml:space="preserve">Open case review with operational owner</t>
  </si>
  <si>
    <t xml:space="preserve">Completed</t>
  </si>
  <si>
    <t xml:space="preserve">CRM call note</t>
  </si>
  <si>
    <t xml:space="preserve">Concerned</t>
  </si>
  <si>
    <t xml:space="preserve">Prepare recovery evidence</t>
  </si>
  <si>
    <t xml:space="preserve">Initial escalation intake</t>
  </si>
  <si>
    <t xml:space="preserve">ACT-26001B</t>
  </si>
  <si>
    <t xml:space="preserve">Send corrected pacing plan</t>
  </si>
  <si>
    <t xml:space="preserve">Overdue</t>
  </si>
  <si>
    <t xml:space="preserve">Gmail thread</t>
  </si>
  <si>
    <t xml:space="preserve">Escalated</t>
  </si>
  <si>
    <t xml:space="preserve">Commitment carried into recovery review</t>
  </si>
  <si>
    <t xml:space="preserve">ACT-26002A</t>
  </si>
  <si>
    <t xml:space="preserve">Marketing director requested corrected reach report.</t>
  </si>
  <si>
    <t xml:space="preserve">ACT-26002B</t>
  </si>
  <si>
    <t xml:space="preserve">Provide reconciled reach report</t>
  </si>
  <si>
    <t xml:space="preserve">ACT-26003A</t>
  </si>
  <si>
    <t xml:space="preserve">Demand gen VP asked for invoice correction before signing.</t>
  </si>
  <si>
    <t xml:space="preserve">ACT-26003B</t>
  </si>
  <si>
    <t xml:space="preserve">Confirm billing investigation opened</t>
  </si>
  <si>
    <t xml:space="preserve">ACT-26004A</t>
  </si>
  <si>
    <t xml:space="preserve">Retail media lead requested trafficking fix and revised launch dates.</t>
  </si>
  <si>
    <t xml:space="preserve">Cautious</t>
  </si>
  <si>
    <t xml:space="preserve">ACT-26004B</t>
  </si>
  <si>
    <t xml:space="preserve">Send creative retagging ETA</t>
  </si>
  <si>
    <t xml:space="preserve">ACT-26005A</t>
  </si>
  <si>
    <t xml:space="preserve">VP Marketing requested audience correction plan before PO.</t>
  </si>
  <si>
    <t xml:space="preserve">ACT-26005B</t>
  </si>
  <si>
    <t xml:space="preserve">Share audience rebuild proof</t>
  </si>
  <si>
    <t xml:space="preserve">Missed</t>
  </si>
  <si>
    <t xml:space="preserve">No confirmation</t>
  </si>
  <si>
    <t xml:space="preserve">ACT-26006A</t>
  </si>
  <si>
    <t xml:space="preserve">Owner asked for invoice correction before approving fall campaign.</t>
  </si>
  <si>
    <t xml:space="preserve">ACT-26006B</t>
  </si>
  <si>
    <t xml:space="preserve">Send credit memo note</t>
  </si>
  <si>
    <t xml:space="preserve">ACT-26007A</t>
  </si>
  <si>
    <t xml:space="preserve">Media director requested written underdelivery remedy.</t>
  </si>
  <si>
    <t xml:space="preserve">ACT-26007B</t>
  </si>
  <si>
    <t xml:space="preserve">Provide underdelivery remedy</t>
  </si>
  <si>
    <t xml:space="preserve">ACT-26008A</t>
  </si>
  <si>
    <t xml:space="preserve">Enrollment team requested corrected district reach report.</t>
  </si>
  <si>
    <t xml:space="preserve">ACT-26008B</t>
  </si>
  <si>
    <t xml:space="preserve">Share district reach report</t>
  </si>
  <si>
    <t xml:space="preserve">ACT-26009A</t>
  </si>
  <si>
    <t xml:space="preserve">Brand director requested launch-risk plan for August flight.</t>
  </si>
  <si>
    <t xml:space="preserve">ACT-26009B</t>
  </si>
  <si>
    <t xml:space="preserve">Send brand safety approval path</t>
  </si>
  <si>
    <t xml:space="preserve">ACT-26010A</t>
  </si>
  <si>
    <t xml:space="preserve">Managing partner asked whether Q2 CPM can be held.</t>
  </si>
  <si>
    <t xml:space="preserve">ACT-26010B</t>
  </si>
  <si>
    <t xml:space="preserve">Confirm 60-day rate hold</t>
  </si>
  <si>
    <t xml:space="preserve">ACT-26011A</t>
  </si>
  <si>
    <t xml:space="preserve">Campaign manager asked for corrected lift summary.</t>
  </si>
  <si>
    <t xml:space="preserve">ACT-26011B</t>
  </si>
  <si>
    <t xml:space="preserve">Send corrected lift summary</t>
  </si>
  <si>
    <t xml:space="preserve">ACT-26012A</t>
  </si>
  <si>
    <t xml:space="preserve">Digital director requested delivery remedy and invoice note.</t>
  </si>
  <si>
    <t xml:space="preserve">ACT-26012B</t>
  </si>
  <si>
    <t xml:space="preserve">Send makegood and PO correction note</t>
  </si>
  <si>
    <t xml:space="preserve">ACT-26013A</t>
  </si>
  <si>
    <t xml:space="preserve">Regional marketer wants executive renewal call, but permission is pending.</t>
  </si>
  <si>
    <t xml:space="preserve">ACT-26013B</t>
  </si>
  <si>
    <t xml:space="preserve">Request permission to contact decision maker</t>
  </si>
  <si>
    <t xml:space="preserve">ACT-26014A</t>
  </si>
  <si>
    <t xml:space="preserve">Finance VP requested $42,000 credit tied to verified invoice dispute.</t>
  </si>
  <si>
    <t xml:space="preserve">ACT-26014B</t>
  </si>
  <si>
    <t xml:space="preserve">Escalate over-limit credit request</t>
  </si>
  <si>
    <t xml:space="preserve">ACT-26015A</t>
  </si>
  <si>
    <t xml:space="preserve">Ecommerce lead asked for feed proof before package swap.</t>
  </si>
  <si>
    <t xml:space="preserve">ACT-26015B</t>
  </si>
  <si>
    <t xml:space="preserve">Get feed proof from product support</t>
  </si>
  <si>
    <t xml:space="preserve">ACT-26016A</t>
  </si>
  <si>
    <t xml:space="preserve">Customer confirmed issue resolved; no recovery outreach needed.</t>
  </si>
  <si>
    <t xml:space="preserve">ACT-26016B</t>
  </si>
  <si>
    <t xml:space="preserve">Log closure confirmation</t>
  </si>
  <si>
    <t xml:space="preserve">ACT-26017A</t>
  </si>
  <si>
    <t xml:space="preserve">Procurement requested data-use term changes not owned by the sales desk.</t>
  </si>
  <si>
    <t xml:space="preserve">ACT-26017B</t>
  </si>
  <si>
    <t xml:space="preserve">Route data-use terms to manager/legal</t>
  </si>
  <si>
    <t xml:space="preserve">ACT-26018A</t>
  </si>
  <si>
    <t xml:space="preserve">Agency asked Northstar to wait for September consolidated brief.</t>
  </si>
  <si>
    <t xml:space="preserve">ACT-26018B</t>
  </si>
  <si>
    <t xml:space="preserve">Confirm September agency hold</t>
  </si>
  <si>
    <t xml:space="preserve">ACT-26037</t>
  </si>
  <si>
    <t xml:space="preserve">Manager huddle</t>
  </si>
  <si>
    <t xml:space="preserve">Confirm Tier 1 handling</t>
  </si>
  <si>
    <t xml:space="preserve">Internal checkpoint</t>
  </si>
  <si>
    <t xml:space="preserve">Manager visibility item</t>
  </si>
  <si>
    <t xml:space="preserve">ACT-26038</t>
  </si>
  <si>
    <t xml:space="preserve">Ad ops standup</t>
  </si>
  <si>
    <t xml:space="preserve">Product support to validate audience rebuild</t>
  </si>
  <si>
    <t xml:space="preserve">ACT-26039</t>
  </si>
  <si>
    <t xml:space="preserve">Billing huddle</t>
  </si>
  <si>
    <t xml:space="preserve">Billing owner to confirm PO correction</t>
  </si>
  <si>
    <t xml:space="preserve">ACT-26040</t>
  </si>
  <si>
    <t xml:space="preserve">Manager to decide over-limit credit route</t>
  </si>
  <si>
    <t xml:space="preserve">ACT-26041</t>
  </si>
  <si>
    <t xml:space="preserve">Legal handoff</t>
  </si>
  <si>
    <t xml:space="preserve">Legal owner to draft data-use response</t>
  </si>
  <si>
    <t xml:space="preserve">Offer Code</t>
  </si>
  <si>
    <t xml:space="preserve">Eligible Tiers</t>
  </si>
  <si>
    <t xml:space="preserve">Max Value</t>
  </si>
  <si>
    <t xml:space="preserve">Approval Level</t>
  </si>
  <si>
    <t xml:space="preserve">Expiration Date</t>
  </si>
  <si>
    <t xml:space="preserve">Description</t>
  </si>
  <si>
    <t xml:space="preserve">Exclusions</t>
  </si>
  <si>
    <t xml:space="preserve">MG-15</t>
  </si>
  <si>
    <t xml:space="preserve">Key Growth, Core, Emerging</t>
  </si>
  <si>
    <t xml:space="preserve">Supervisor</t>
  </si>
  <si>
    <t xml:space="preserve">Makegood inventory up to 15% of affected booked impressions after ad-ops validation.</t>
  </si>
  <si>
    <t xml:space="preserve">No guaranteed performance or new inventory categories.</t>
  </si>
  <si>
    <t xml:space="preserve">CR-10K</t>
  </si>
  <si>
    <t xml:space="preserve">Verified invoice credit up to $10,000 with billing case attached.</t>
  </si>
  <si>
    <t xml:space="preserve">Amounts above cap require manager approval.</t>
  </si>
  <si>
    <t xml:space="preserve">RH-60</t>
  </si>
  <si>
    <t xml:space="preserve">Core, Emerging</t>
  </si>
  <si>
    <t xml:space="preserve">Hold current renewal CPM for 60 days when no extra credit is promised.</t>
  </si>
  <si>
    <t xml:space="preserve">Cannot combine with unapproved credit or terms beyond 60 days.</t>
  </si>
  <si>
    <t xml:space="preserve">SW-PKG</t>
  </si>
  <si>
    <t xml:space="preserve">Creative Trafficking; Audience Mismatch; Product Feed Blocker</t>
  </si>
  <si>
    <t xml:space="preserve">Equivalent-value package swap after operational owner confirms feasibility.</t>
  </si>
  <si>
    <t xml:space="preserve">No customer commitment before blocker clears.</t>
  </si>
  <si>
    <t xml:space="preserve">RPT-COMP</t>
  </si>
  <si>
    <t xml:space="preserve">Expedited reporting reconciliation package with customer-facing summary.</t>
  </si>
  <si>
    <t xml:space="preserve">No performance guarantee or monetary credit.</t>
  </si>
  <si>
    <t xml:space="preserve">MGR-REQ</t>
  </si>
  <si>
    <t xml:space="preserve">Over-limit or unsupported</t>
  </si>
  <si>
    <t xml:space="preserve">All</t>
  </si>
  <si>
    <t xml:space="preserve">Manager required</t>
  </si>
  <si>
    <t xml:space="preserve">Controlled exception route for over-limit credits, legal terms, unsupported offers, or missing authority.</t>
  </si>
  <si>
    <t xml:space="preserve">Reps may not present as approved local commitment.</t>
  </si>
  <si>
    <t xml:space="preserve">Approval Status</t>
  </si>
  <si>
    <t xml:space="preserve">Approved Offer</t>
  </si>
  <si>
    <t xml:space="preserve">Approved Action</t>
  </si>
  <si>
    <t xml:space="preserve">Exception Reason</t>
  </si>
  <si>
    <t xml:space="preserve">Execution Window Start</t>
  </si>
  <si>
    <t xml:space="preserve">Execution Window End</t>
  </si>
  <si>
    <t xml:space="preserve">Open Cases</t>
  </si>
  <si>
    <t xml:space="preserve">Max Severity</t>
  </si>
  <si>
    <t xml:space="preserve">Avg Issue Age</t>
  </si>
  <si>
    <t xml:space="preserve">Primary Issue</t>
  </si>
  <si>
    <t xml:space="preserve">Source Case ID</t>
  </si>
  <si>
    <t xml:space="preserve">Overdue Commitments</t>
  </si>
  <si>
    <t xml:space="preserve">Last Touch</t>
  </si>
  <si>
    <t xml:space="preserve">Days Since Last Touch</t>
  </si>
  <si>
    <t xml:space="preserve">Tier</t>
  </si>
  <si>
    <t xml:space="preserve">Forecast Variance</t>
  </si>
  <si>
    <t xml:space="preserve">Contact Readiness</t>
  </si>
  <si>
    <t xml:space="preserve">Offer Cap</t>
  </si>
  <si>
    <t xml:space="preserve">Offer Compliance</t>
  </si>
  <si>
    <t xml:space="preserve">Source Lineage</t>
  </si>
  <si>
    <t xml:space="preserve">CRM, cases, orders, contacts, activity, offers, approval</t>
  </si>
  <si>
    <t xml:space="preserve">Exposure Score</t>
  </si>
  <si>
    <t xml:space="preserve">Issue Burden Score</t>
  </si>
  <si>
    <t xml:space="preserve">Health Risk Score</t>
  </si>
  <si>
    <t xml:space="preserve">Urgency Score</t>
  </si>
  <si>
    <t xml:space="preserve">Activity Risk Score</t>
  </si>
  <si>
    <t xml:space="preserve">Forecast Risk Score</t>
  </si>
  <si>
    <t xml:space="preserve">Contact Readiness Score</t>
  </si>
  <si>
    <t xml:space="preserve">Recovery Risk Score</t>
  </si>
  <si>
    <t xml:space="preserve">Priority Score</t>
  </si>
  <si>
    <t xml:space="preserve">Rank</t>
  </si>
  <si>
    <t xml:space="preserve">Priority Tier</t>
  </si>
  <si>
    <t xml:space="preserve">Decision Status</t>
  </si>
  <si>
    <t xml:space="preserve">Primary Contact</t>
  </si>
  <si>
    <t xml:space="preserve">Due Date</t>
  </si>
  <si>
    <t xml:space="preserve">Source Case</t>
  </si>
  <si>
    <t xml:space="preserve">Communication Status</t>
  </si>
  <si>
    <t xml:space="preserve">Check</t>
  </si>
  <si>
    <t xml:space="preserve">Formula</t>
  </si>
  <si>
    <t xml:space="preserve">Expected</t>
  </si>
  <si>
    <t xml:space="preserve">Account population</t>
  </si>
  <si>
    <t xml:space="preserve">Approved execution count</t>
  </si>
  <si>
    <t xml:space="preserve">Controlled exception count</t>
  </si>
  <si>
    <t xml:space="preserve">Excluded no-action count</t>
  </si>
  <si>
    <t xml:space="preserve">Weight total</t>
  </si>
  <si>
    <t xml:space="preserve">Over-limit local offers</t>
  </si>
  <si>
    <t xml:space="preserve">Rank uniqueness</t>
  </si>
  <si>
    <t xml:space="preserve">Executable exposure</t>
  </si>
  <si>
    <t xml:space="preserve">Total forecast variance</t>
  </si>
  <si>
    <t xml:space="preserve">Variance decline</t>
  </si>
  <si>
    <t xml:space="preserve">Variance improvement</t>
  </si>
  <si>
    <t xml:space="preserve">Account</t>
  </si>
  <si>
    <t xml:space="preserve">Issue Age</t>
  </si>
  <si>
    <t xml:space="preserve">Exposure</t>
  </si>
  <si>
    <t xml:space="preserve">Tier 1 Accounts</t>
  </si>
  <si>
    <t xml:space="preserve">Scheduled Tasks</t>
  </si>
  <si>
    <t xml:space="preserve">Available Slots</t>
  </si>
  <si>
    <t xml:space="preserve">Ready</t>
  </si>
  <si>
    <t xml:space="preserve">Ops route only</t>
  </si>
  <si>
    <t xml:space="preserve">Pending or manager</t>
  </si>
  <si>
    <t xml:space="preserve">Within Authority</t>
  </si>
  <si>
    <t xml:space="preserve">Controlled</t>
  </si>
  <si>
    <t xml:space="preserve">Age Bucket</t>
  </si>
  <si>
    <t xml:space="preserve">0-3 days</t>
  </si>
  <si>
    <t xml:space="preserve">4-7 days</t>
  </si>
  <si>
    <t xml:space="preserve">8-14 days</t>
  </si>
  <si>
    <t xml:space="preserve">15+ days</t>
  </si>
  <si>
    <t xml:space="preserve">Recovery Risk</t>
  </si>
  <si>
    <t xml:space="preserve">Priority Route</t>
  </si>
  <si>
    <t xml:space="preserve">Tier 1 matrix source</t>
  </si>
  <si>
    <t xml:space="preserve">Tier 2 matrix source</t>
  </si>
  <si>
    <t xml:space="preserve">Tier 3 matrix source</t>
  </si>
  <si>
    <t xml:space="preserve">Controlled exception matrix source</t>
  </si>
  <si>
    <t xml:space="preserve">Excluded/hold matrix source</t>
  </si>
  <si>
    <t xml:space="preserve">Portfolio prioritization dashboard</t>
  </si>
  <si>
    <t xml:space="preserve">Approved actions execute locally; exceptions remain controlled.</t>
  </si>
  <si>
    <t xml:space="preserve">Waterfall-style variance: negative segment impacts fall below baseline; positive movement rises above zero.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</si>
</sst>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"/>
    <numFmt numFmtId="167" formatCode="0%"/>
    <numFmt numFmtId="168" formatCode="0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172C46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18212B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2C46"/>
        <bgColor rgb="FF18212B"/>
      </patternFill>
    </fill>
    <fill>
      <patternFill patternType="solid">
        <fgColor rgb="FF174EA6"/>
        <bgColor rgb="FF1F4E78"/>
      </patternFill>
    </fill>
    <fill>
      <patternFill patternType="solid">
        <fgColor rgb="FFD97732"/>
        <bgColor rgb="FFD9822B"/>
      </patternFill>
    </fill>
    <fill>
      <patternFill patternType="solid">
        <fgColor rgb="FF557C78"/>
        <bgColor rgb="FF65717C"/>
      </patternFill>
    </fill>
    <fill>
      <patternFill patternType="solid">
        <fgColor rgb="FFC45A4A"/>
        <bgColor rgb="FFC0504D"/>
      </patternFill>
    </fill>
    <fill>
      <patternFill patternType="solid">
        <fgColor rgb="FF65717C"/>
        <bgColor rgb="FF557C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8C68"/>
      <rgbColor rgb="FF800080"/>
      <rgbColor rgb="FF557C78"/>
      <rgbColor rgb="FFB8C5C3"/>
      <rgbColor rgb="FF878787"/>
      <rgbColor rgb="FF7D5FA0"/>
      <rgbColor rgb="FFBE4B48"/>
      <rgbColor rgb="FFFFF2CC"/>
      <rgbColor rgb="FFE7E6E6"/>
      <rgbColor rgb="FF660066"/>
      <rgbColor rgb="FFFF8080"/>
      <rgbColor rgb="FF174EA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CE4D6"/>
      <rgbColor rgb="FF9BBB59"/>
      <rgbColor rgb="FFF4CCCC"/>
      <rgbColor rgb="FFCC99FF"/>
      <rgbColor rgb="FFF8CBAD"/>
      <rgbColor rgb="FF4A7EBB"/>
      <rgbColor rgb="FF46AAC4"/>
      <rgbColor rgb="FF98B855"/>
      <rgbColor rgb="FFFFCC00"/>
      <rgbColor rgb="FFD9822B"/>
      <rgbColor rgb="FFD97732"/>
      <rgbColor rgb="FF65717C"/>
      <rgbColor rgb="FFB3B3B3"/>
      <rgbColor rgb="FF172C46"/>
      <rgbColor rgb="FF2E7D5B"/>
      <rgbColor rgb="FF003300"/>
      <rgbColor rgb="FF333300"/>
      <rgbColor rgb="FFC45A4A"/>
      <rgbColor rgb="FFC0504D"/>
      <rgbColor rgb="FF1F4E78"/>
      <rgbColor rgb="FF18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Matrix by Priority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"Tier 1"</c:f>
              <c:strCache>
                <c:ptCount val="1"/>
                <c:pt idx="0">
                  <c:v>Tier 1</c:v>
                </c:pt>
              </c:strCache>
            </c:strRef>
          </c:tx>
          <c:spPr>
            <a:solidFill>
              <a:srgbClr val="174ea6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174ea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Chart_Data!$B$81:$B$82</c:f>
              <c:numCache>
                <c:formatCode>\$#,##0</c:formatCode>
                <c:ptCount val="2"/>
                <c:pt idx="0">
                  <c:v>340000</c:v>
                </c:pt>
                <c:pt idx="1">
                  <c:v>410000</c:v>
                </c:pt>
              </c:numCache>
            </c:numRef>
          </c:xVal>
          <c:yVal>
            <c:numRef>
              <c:f>Chart_Data!$C$81:$C$82</c:f>
              <c:numCache>
                <c:formatCode>0.0</c:formatCode>
                <c:ptCount val="2"/>
                <c:pt idx="0">
                  <c:v>58.64</c:v>
                </c:pt>
                <c:pt idx="1">
                  <c:v>65.98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"Tier 2"</c:f>
              <c:strCache>
                <c:ptCount val="1"/>
                <c:pt idx="0">
                  <c:v>Tier 2</c:v>
                </c:pt>
              </c:strCache>
            </c:strRef>
          </c:tx>
          <c:spPr>
            <a:solidFill>
              <a:srgbClr val="d97732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d977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Chart_Data!$B$85:$B$88</c:f>
              <c:numCache>
                <c:formatCode>\$#,##0</c:formatCode>
                <c:ptCount val="4"/>
                <c:pt idx="0">
                  <c:v>295000</c:v>
                </c:pt>
                <c:pt idx="1">
                  <c:v>260000</c:v>
                </c:pt>
                <c:pt idx="2">
                  <c:v>190000</c:v>
                </c:pt>
                <c:pt idx="3">
                  <c:v>305000</c:v>
                </c:pt>
              </c:numCache>
            </c:numRef>
          </c:xVal>
          <c:yVal>
            <c:numRef>
              <c:f>Chart_Data!$C$85:$C$88</c:f>
              <c:numCache>
                <c:formatCode>0.0</c:formatCode>
                <c:ptCount val="4"/>
                <c:pt idx="0">
                  <c:v>49.12</c:v>
                </c:pt>
                <c:pt idx="1">
                  <c:v>56.58</c:v>
                </c:pt>
                <c:pt idx="2">
                  <c:v>53.2</c:v>
                </c:pt>
                <c:pt idx="3">
                  <c:v>63.35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"Tier 3"</c:f>
              <c:strCache>
                <c:ptCount val="1"/>
                <c:pt idx="0">
                  <c:v>Tier 3</c:v>
                </c:pt>
              </c:strCache>
            </c:strRef>
          </c:tx>
          <c:spPr>
            <a:solidFill>
              <a:srgbClr val="557c78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557c78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Chart_Data!$B$91:$B$96</c:f>
              <c:numCache>
                <c:formatCode>\$#,##0</c:formatCode>
                <c:ptCount val="6"/>
                <c:pt idx="0">
                  <c:v>220000</c:v>
                </c:pt>
                <c:pt idx="1">
                  <c:v>150000</c:v>
                </c:pt>
                <c:pt idx="2">
                  <c:v>82000</c:v>
                </c:pt>
                <c:pt idx="3">
                  <c:v>110000</c:v>
                </c:pt>
                <c:pt idx="4">
                  <c:v>75000</c:v>
                </c:pt>
                <c:pt idx="5">
                  <c:v>175000</c:v>
                </c:pt>
              </c:numCache>
            </c:numRef>
          </c:xVal>
          <c:yVal>
            <c:numRef>
              <c:f>Chart_Data!$C$91:$C$96</c:f>
              <c:numCache>
                <c:formatCode>0.0</c:formatCode>
                <c:ptCount val="6"/>
                <c:pt idx="0">
                  <c:v>46.22</c:v>
                </c:pt>
                <c:pt idx="1">
                  <c:v>45.99</c:v>
                </c:pt>
                <c:pt idx="2">
                  <c:v>32.6</c:v>
                </c:pt>
                <c:pt idx="3">
                  <c:v>34.49</c:v>
                </c:pt>
                <c:pt idx="4">
                  <c:v>25.6</c:v>
                </c:pt>
                <c:pt idx="5">
                  <c:v>45.53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"Controlled exception"</c:f>
              <c:strCache>
                <c:ptCount val="1"/>
                <c:pt idx="0">
                  <c:v>Controlled exception</c:v>
                </c:pt>
              </c:strCache>
            </c:strRef>
          </c:tx>
          <c:spPr>
            <a:solidFill>
              <a:srgbClr val="c45a4a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c45a4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Chart_Data!$B$99:$B$102</c:f>
              <c:numCache>
                <c:formatCode>\$#,##0</c:formatCode>
                <c:ptCount val="4"/>
                <c:pt idx="0">
                  <c:v>165000</c:v>
                </c:pt>
                <c:pt idx="1">
                  <c:v>360000</c:v>
                </c:pt>
                <c:pt idx="2">
                  <c:v>210000</c:v>
                </c:pt>
                <c:pt idx="3">
                  <c:v>520000</c:v>
                </c:pt>
              </c:numCache>
            </c:numRef>
          </c:xVal>
          <c:yVal>
            <c:numRef>
              <c:f>Chart_Data!$C$99:$C$102</c:f>
              <c:numCache>
                <c:formatCode>0.0</c:formatCode>
                <c:ptCount val="4"/>
                <c:pt idx="0">
                  <c:v>37.47</c:v>
                </c:pt>
                <c:pt idx="1">
                  <c:v>57.48</c:v>
                </c:pt>
                <c:pt idx="2">
                  <c:v>57.71</c:v>
                </c:pt>
                <c:pt idx="3">
                  <c:v>61.5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"Excluded/hold"</c:f>
              <c:strCache>
                <c:ptCount val="1"/>
                <c:pt idx="0">
                  <c:v>Excluded/hold</c:v>
                </c:pt>
              </c:strCache>
            </c:strRef>
          </c:tx>
          <c:spPr>
            <a:solidFill>
              <a:srgbClr val="65717c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65717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Chart_Data!$B$105:$B$106</c:f>
              <c:numCache>
                <c:formatCode>\$#,##0</c:formatCode>
                <c:ptCount val="2"/>
                <c:pt idx="0">
                  <c:v>62000</c:v>
                </c:pt>
                <c:pt idx="1">
                  <c:v>135000</c:v>
                </c:pt>
              </c:numCache>
            </c:numRef>
          </c:xVal>
          <c:yVal>
            <c:numRef>
              <c:f>Chart_Data!$C$105:$C$106</c:f>
              <c:numCache>
                <c:formatCode>0.0</c:formatCode>
                <c:ptCount val="2"/>
                <c:pt idx="0">
                  <c:v>10.4</c:v>
                </c:pt>
                <c:pt idx="1">
                  <c:v>27.36</c:v>
                </c:pt>
              </c:numCache>
            </c:numRef>
          </c:yVal>
          <c:smooth val="1"/>
        </c:ser>
        <c:axId val="41336865"/>
        <c:axId val="44339050"/>
      </c:scatterChart>
      <c:valAx>
        <c:axId val="4133686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Renewal exposure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9050"/>
        <c:crosses val="autoZero"/>
        <c:crossBetween val="midCat"/>
      </c:valAx>
      <c:valAx>
        <c:axId val="44339050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Operational recovery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368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 Exposure by Priority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Commit at risk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1f4e7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Chart_Data!$B$2:$B$5</c:f>
              <c:numCache>
                <c:formatCode>General</c:formatCode>
                <c:ptCount val="4"/>
                <c:pt idx="0">
                  <c:v>750000</c:v>
                </c:pt>
                <c:pt idx="1">
                  <c:v>860000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Chart_Data!C1</c:f>
              <c:strCache>
                <c:ptCount val="1"/>
                <c:pt idx="0">
                  <c:v>Best case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Chart_Data!$C$2:$C$5</c:f>
              <c:numCache>
                <c:formatCode>General</c:formatCode>
                <c:ptCount val="4"/>
                <c:pt idx="0">
                  <c:v>0</c:v>
                </c:pt>
                <c:pt idx="1">
                  <c:v>190000</c:v>
                </c:pt>
                <c:pt idx="2">
                  <c:v>545000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Chart_Data!D1</c:f>
              <c:strCache>
                <c:ptCount val="1"/>
                <c:pt idx="0">
                  <c:v>Pipeline</c:v>
                </c:pt>
              </c:strCache>
            </c:strRef>
          </c:tx>
          <c:spPr>
            <a:solidFill>
              <a:srgbClr val="d9822b"/>
            </a:solidFill>
            <a:ln w="0">
              <a:solidFill>
                <a:srgbClr val="d9822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267000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264776"/>
        <c:axId val="62824615"/>
      </c:barChart>
      <c:catAx>
        <c:axId val="2264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24615"/>
        <c:crosses val="autoZero"/>
        <c:auto val="1"/>
        <c:lblAlgn val="ctr"/>
        <c:lblOffset val="100"/>
        <c:noMultiLvlLbl val="0"/>
      </c:catAx>
      <c:valAx>
        <c:axId val="62824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Renewal exposure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4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Variance Waterfall-Style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Chart_Data!C8</c:f>
              <c:strCache>
                <c:ptCount val="1"/>
                <c:pt idx="0">
                  <c:v>Variance decline</c:v>
                </c:pt>
              </c:strCache>
            </c:strRef>
          </c:tx>
          <c:spPr>
            <a:solidFill>
              <a:srgbClr val="c45a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Chart_Data!$A$9:$A$19</c:f>
              <c:strCache>
                <c:ptCount val="11"/>
                <c:pt idx="0">
                  <c:v>Agency</c:v>
                </c:pt>
                <c:pt idx="1">
                  <c:v>Education</c:v>
                </c:pt>
                <c:pt idx="2">
                  <c:v>Energy</c:v>
                </c:pt>
                <c:pt idx="3">
                  <c:v>Financial Services</c:v>
                </c:pt>
                <c:pt idx="4">
                  <c:v>Healthcare</c:v>
                </c:pt>
                <c:pt idx="5">
                  <c:v>Industrial</c:v>
                </c:pt>
                <c:pt idx="6">
                  <c:v>Local Services</c:v>
                </c:pt>
                <c:pt idx="7">
                  <c:v>Professional Services</c:v>
                </c:pt>
                <c:pt idx="8">
                  <c:v>Retail</c:v>
                </c:pt>
                <c:pt idx="9">
                  <c:v>Technology</c:v>
                </c:pt>
                <c:pt idx="10">
                  <c:v>Travel</c:v>
                </c:pt>
              </c:strCache>
            </c:strRef>
          </c:cat>
          <c:val>
            <c:numRef>
              <c:f>Chart_Data!$C$9:$C$19</c:f>
              <c:numCache>
                <c:formatCode>General</c:formatCode>
                <c:ptCount val="11"/>
                <c:pt idx="0">
                  <c:v>-6000</c:v>
                </c:pt>
                <c:pt idx="1">
                  <c:v>-10000</c:v>
                </c:pt>
                <c:pt idx="2">
                  <c:v>-20000</c:v>
                </c:pt>
                <c:pt idx="3">
                  <c:v>-121000</c:v>
                </c:pt>
                <c:pt idx="4">
                  <c:v>-160000</c:v>
                </c:pt>
                <c:pt idx="5">
                  <c:v>-110000</c:v>
                </c:pt>
                <c:pt idx="6">
                  <c:v>0</c:v>
                </c:pt>
                <c:pt idx="7">
                  <c:v>-2000</c:v>
                </c:pt>
                <c:pt idx="8">
                  <c:v>-70000</c:v>
                </c:pt>
                <c:pt idx="9">
                  <c:v>-35000</c:v>
                </c:pt>
                <c:pt idx="10">
                  <c:v>-25000</c:v>
                </c:pt>
              </c:numCache>
            </c:numRef>
          </c:val>
        </c:ser>
        <c:ser>
          <c:idx val="1"/>
          <c:order val="1"/>
          <c:tx>
            <c:strRef>
              <c:f>Chart_Data!D8</c:f>
              <c:strCache>
                <c:ptCount val="1"/>
                <c:pt idx="0">
                  <c:v>Variance improvement</c:v>
                </c:pt>
              </c:strCache>
            </c:strRef>
          </c:tx>
          <c:spPr>
            <a:solidFill>
              <a:srgbClr val="5f8c6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Chart_Data!$A$9:$A$19</c:f>
              <c:strCache>
                <c:ptCount val="11"/>
                <c:pt idx="0">
                  <c:v>Agency</c:v>
                </c:pt>
                <c:pt idx="1">
                  <c:v>Education</c:v>
                </c:pt>
                <c:pt idx="2">
                  <c:v>Energy</c:v>
                </c:pt>
                <c:pt idx="3">
                  <c:v>Financial Services</c:v>
                </c:pt>
                <c:pt idx="4">
                  <c:v>Healthcare</c:v>
                </c:pt>
                <c:pt idx="5">
                  <c:v>Industrial</c:v>
                </c:pt>
                <c:pt idx="6">
                  <c:v>Local Services</c:v>
                </c:pt>
                <c:pt idx="7">
                  <c:v>Professional Services</c:v>
                </c:pt>
                <c:pt idx="8">
                  <c:v>Retail</c:v>
                </c:pt>
                <c:pt idx="9">
                  <c:v>Technology</c:v>
                </c:pt>
                <c:pt idx="10">
                  <c:v>Travel</c:v>
                </c:pt>
              </c:strCache>
            </c:strRef>
          </c:cat>
          <c:val>
            <c:numRef>
              <c:f>Chart_Data!$D$9:$D$19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17411177"/>
        <c:axId val="35162112"/>
      </c:barChart>
      <c:catAx>
        <c:axId val="174111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2112"/>
        <c:crosses val="autoZero"/>
        <c:auto val="1"/>
        <c:lblAlgn val="ctr"/>
        <c:lblOffset val="100"/>
        <c:noMultiLvlLbl val="0"/>
      </c:catAx>
      <c:valAx>
        <c:axId val="35162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to baseline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11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Issue Age and Severity by Exposure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"Accounts"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Chart_Data!$F$9:$F$26</c:f>
              <c:numCache>
                <c:formatCode>General</c:formatCode>
                <c:ptCount val="18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14</c:v>
                </c:pt>
                <c:pt idx="4">
                  <c:v>23</c:v>
                </c:pt>
                <c:pt idx="5">
                  <c:v>10</c:v>
                </c:pt>
                <c:pt idx="6">
                  <c:v>23</c:v>
                </c:pt>
                <c:pt idx="7">
                  <c:v>9</c:v>
                </c:pt>
                <c:pt idx="8">
                  <c:v>20</c:v>
                </c:pt>
                <c:pt idx="9">
                  <c:v>5</c:v>
                </c:pt>
                <c:pt idx="10">
                  <c:v>18</c:v>
                </c:pt>
                <c:pt idx="11">
                  <c:v>20</c:v>
                </c:pt>
                <c:pt idx="12">
                  <c:v>12</c:v>
                </c:pt>
                <c:pt idx="13">
                  <c:v>33</c:v>
                </c:pt>
                <c:pt idx="14">
                  <c:v>21</c:v>
                </c:pt>
                <c:pt idx="15">
                  <c:v>0</c:v>
                </c:pt>
                <c:pt idx="16">
                  <c:v>29.5</c:v>
                </c:pt>
                <c:pt idx="17">
                  <c:v>6</c:v>
                </c:pt>
              </c:numCache>
            </c:numRef>
          </c:xVal>
          <c:yVal>
            <c:numRef>
              <c:f>Chart_Data!$G$9:$G$26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0</c:v>
                </c:pt>
                <c:pt idx="16">
                  <c:v>5</c:v>
                </c:pt>
                <c:pt idx="17">
                  <c:v>2</c:v>
                </c:pt>
              </c:numCache>
            </c:numRef>
          </c:yVal>
          <c:bubbleSize>
            <c:numRef>
              <c:f>Chart_Data!$H$9:$H$26</c:f>
              <c:numCache>
                <c:formatCode>General</c:formatCode>
                <c:ptCount val="18"/>
                <c:pt idx="0">
                  <c:v>340000</c:v>
                </c:pt>
                <c:pt idx="1">
                  <c:v>220000</c:v>
                </c:pt>
                <c:pt idx="2">
                  <c:v>295000</c:v>
                </c:pt>
                <c:pt idx="3">
                  <c:v>150000</c:v>
                </c:pt>
                <c:pt idx="4">
                  <c:v>410000</c:v>
                </c:pt>
                <c:pt idx="5">
                  <c:v>82000</c:v>
                </c:pt>
                <c:pt idx="6">
                  <c:v>260000</c:v>
                </c:pt>
                <c:pt idx="7">
                  <c:v>110000</c:v>
                </c:pt>
                <c:pt idx="8">
                  <c:v>190000</c:v>
                </c:pt>
                <c:pt idx="9">
                  <c:v>75000</c:v>
                </c:pt>
                <c:pt idx="10">
                  <c:v>175000</c:v>
                </c:pt>
                <c:pt idx="11">
                  <c:v>305000</c:v>
                </c:pt>
                <c:pt idx="12">
                  <c:v>165000</c:v>
                </c:pt>
                <c:pt idx="13">
                  <c:v>360000</c:v>
                </c:pt>
                <c:pt idx="14">
                  <c:v>210000</c:v>
                </c:pt>
                <c:pt idx="15">
                  <c:v>62000</c:v>
                </c:pt>
                <c:pt idx="16">
                  <c:v>520000</c:v>
                </c:pt>
                <c:pt idx="17">
                  <c:v>135000</c:v>
                </c:pt>
              </c:numCache>
            </c:numRef>
          </c:bubbleSize>
          <c:bubble3D val="0"/>
        </c:ser>
        <c:axId val="723283"/>
        <c:axId val="81515964"/>
      </c:bubbleChart>
      <c:valAx>
        <c:axId val="723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issue age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15964"/>
        <c:crosses val="autoZero"/>
        <c:crossBetween val="midCat"/>
      </c:valAx>
      <c:valAx>
        <c:axId val="81515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 severity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Commitment Aging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Chart_Data!G45</c:f>
              <c:strCache>
                <c:ptCount val="1"/>
                <c:pt idx="0">
                  <c:v>Devon Brooks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Chart_Data!$F$46:$F$49</c:f>
              <c:strCache>
                <c:ptCount val="4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15+ days</c:v>
                </c:pt>
              </c:strCache>
            </c:strRef>
          </c:cat>
          <c:val>
            <c:numRef>
              <c:f>Chart_Data!$G$46:$G$49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Chart_Data!H45</c:f>
              <c:strCache>
                <c:ptCount val="1"/>
                <c:pt idx="0">
                  <c:v>Jordan Patel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Chart_Data!$F$46:$F$49</c:f>
              <c:strCache>
                <c:ptCount val="4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15+ days</c:v>
                </c:pt>
              </c:strCache>
            </c:strRef>
          </c:cat>
          <c:val>
            <c:numRef>
              <c:f>Chart_Data!$H$46:$H$49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Chart_Data!I45</c:f>
              <c:strCache>
                <c:ptCount val="1"/>
                <c:pt idx="0">
                  <c:v>Luis Romero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Chart_Data!$F$46:$F$49</c:f>
              <c:strCache>
                <c:ptCount val="4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15+ days</c:v>
                </c:pt>
              </c:strCache>
            </c:strRef>
          </c:cat>
          <c:val>
            <c:numRef>
              <c:f>Chart_Data!$I$46:$I$49</c:f>
              <c:numCache>
                <c:formatCode>\$#,##0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Chart_Data!J45</c:f>
              <c:strCache>
                <c:ptCount val="1"/>
                <c:pt idx="0">
                  <c:v>Maya Chen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Chart_Data!$F$46:$F$49</c:f>
              <c:strCache>
                <c:ptCount val="4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15+ days</c:v>
                </c:pt>
              </c:strCache>
            </c:strRef>
          </c:cat>
          <c:val>
            <c:numRef>
              <c:f>Chart_Data!$J$46:$J$49</c:f>
              <c:numCache>
                <c:formatCode>\$#,##0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Chart_Data!K45</c:f>
              <c:strCache>
                <c:ptCount val="1"/>
                <c:pt idx="0">
                  <c:v>Priya Nair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Chart_Data!$F$46:$F$49</c:f>
              <c:strCache>
                <c:ptCount val="4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15+ days</c:v>
                </c:pt>
              </c:strCache>
            </c:strRef>
          </c:cat>
          <c:val>
            <c:numRef>
              <c:f>Chart_Data!$K$46:$K$49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368657"/>
        <c:axId val="45586929"/>
      </c:lineChart>
      <c:catAx>
        <c:axId val="243686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6929"/>
        <c:crosses val="autoZero"/>
        <c:auto val="1"/>
        <c:lblAlgn val="ctr"/>
        <c:lblOffset val="100"/>
        <c:noMultiLvlLbl val="0"/>
      </c:catAx>
      <c:valAx>
        <c:axId val="45586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Open commitments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68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Owner Recovery Workload vs Available Slots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Chart_Data!B31</c:f>
              <c:strCache>
                <c:ptCount val="1"/>
                <c:pt idx="0">
                  <c:v>Tier 1 Accounts</c:v>
                </c:pt>
              </c:strCache>
            </c:strRef>
          </c:tx>
          <c:spPr>
            <a:solidFill>
              <a:srgbClr val="174e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Chart_Data!$A$32:$A$36</c:f>
              <c:strCache>
                <c:ptCount val="5"/>
                <c:pt idx="0">
                  <c:v>Devon Brooks</c:v>
                </c:pt>
                <c:pt idx="1">
                  <c:v>Jordan Patel</c:v>
                </c:pt>
                <c:pt idx="2">
                  <c:v>Luis Romero</c:v>
                </c:pt>
                <c:pt idx="3">
                  <c:v>Maya Chen</c:v>
                </c:pt>
                <c:pt idx="4">
                  <c:v>Priya Nair</c:v>
                </c:pt>
              </c:strCache>
            </c:strRef>
          </c:cat>
          <c:val>
            <c:numRef>
              <c:f>Chart_Data!$B$32:$B$36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Chart_Data!C31</c:f>
              <c:strCache>
                <c:ptCount val="1"/>
                <c:pt idx="0">
                  <c:v>Scheduled Tasks</c:v>
                </c:pt>
              </c:strCache>
            </c:strRef>
          </c:tx>
          <c:spPr>
            <a:solidFill>
              <a:srgbClr val="d977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Chart_Data!$A$32:$A$36</c:f>
              <c:strCache>
                <c:ptCount val="5"/>
                <c:pt idx="0">
                  <c:v>Devon Brooks</c:v>
                </c:pt>
                <c:pt idx="1">
                  <c:v>Jordan Patel</c:v>
                </c:pt>
                <c:pt idx="2">
                  <c:v>Luis Romero</c:v>
                </c:pt>
                <c:pt idx="3">
                  <c:v>Maya Chen</c:v>
                </c:pt>
                <c:pt idx="4">
                  <c:v>Priya Nair</c:v>
                </c:pt>
              </c:strCache>
            </c:strRef>
          </c:cat>
          <c:val>
            <c:numRef>
              <c:f>Chart_Data!$C$32:$C$36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63470420"/>
        <c:axId val="21597126"/>
      </c:barChart>
      <c:lineChart>
        <c:grouping val="standard"/>
        <c:varyColors val="0"/>
        <c:ser>
          <c:idx val="2"/>
          <c:order val="2"/>
          <c:tx>
            <c:strRef>
              <c:f>Chart_Data!D31</c:f>
              <c:strCache>
                <c:ptCount val="1"/>
                <c:pt idx="0">
                  <c:v>Available Slots</c:v>
                </c:pt>
              </c:strCache>
            </c:strRef>
          </c:tx>
          <c:spPr>
            <a:solidFill>
              <a:srgbClr val="557c78"/>
            </a:solidFill>
            <a:ln w="29880">
              <a:solidFill>
                <a:srgbClr val="557c7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Chart_Data!$A$32:$A$36</c:f>
              <c:strCache>
                <c:ptCount val="5"/>
                <c:pt idx="0">
                  <c:v>Devon Brooks</c:v>
                </c:pt>
                <c:pt idx="1">
                  <c:v>Jordan Patel</c:v>
                </c:pt>
                <c:pt idx="2">
                  <c:v>Luis Romero</c:v>
                </c:pt>
                <c:pt idx="3">
                  <c:v>Maya Chen</c:v>
                </c:pt>
                <c:pt idx="4">
                  <c:v>Priya Nair</c:v>
                </c:pt>
              </c:strCache>
            </c:strRef>
          </c:cat>
          <c:val>
            <c:numRef>
              <c:f>Chart_Data!$D$32:$D$36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470420"/>
        <c:axId val="21597126"/>
      </c:lineChart>
      <c:catAx>
        <c:axId val="634704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97126"/>
        <c:crosses val="autoZero"/>
        <c:auto val="1"/>
        <c:lblAlgn val="ctr"/>
        <c:lblOffset val="100"/>
        <c:noMultiLvlLbl val="0"/>
      </c:catAx>
      <c:valAx>
        <c:axId val="21597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70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Contact Readiness by Priority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Chart_Data!H31</c:f>
              <c:strCache>
                <c:ptCount val="1"/>
                <c:pt idx="0">
                  <c:v>Ready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Chart_Data!$G$32:$G$35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Chart_Data!$H$32:$H$35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Chart_Data!I31</c:f>
              <c:strCache>
                <c:ptCount val="1"/>
                <c:pt idx="0">
                  <c:v>Ops route only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Chart_Data!$G$32:$G$35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Chart_Data!$I$32:$I$35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Chart_Data!J31</c:f>
              <c:strCache>
                <c:ptCount val="1"/>
                <c:pt idx="0">
                  <c:v>Pending or manager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Chart_Data!$G$32:$G$35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Controlled exception/hold</c:v>
                </c:pt>
              </c:strCache>
            </c:strRef>
          </c:cat>
          <c:val>
            <c:numRef>
              <c:f>Chart_Data!$J$32:$J$35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32065579"/>
        <c:axId val="92421785"/>
      </c:barChart>
      <c:catAx>
        <c:axId val="320655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21785"/>
        <c:crosses val="autoZero"/>
        <c:auto val="1"/>
        <c:lblAlgn val="ctr"/>
        <c:lblOffset val="100"/>
        <c:noMultiLvlLbl val="0"/>
      </c:catAx>
      <c:valAx>
        <c:axId val="92421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65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Offer Fit by Issue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Chart_Data!B45</c:f>
              <c:strCache>
                <c:ptCount val="1"/>
                <c:pt idx="0">
                  <c:v>Within Authority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Chart_Data!$A$46:$A$54</c:f>
              <c:strCache>
                <c:ptCount val="9"/>
                <c:pt idx="0">
                  <c:v>Agency Consolidation</c:v>
                </c:pt>
                <c:pt idx="1">
                  <c:v>Audience Mismatch</c:v>
                </c:pt>
                <c:pt idx="2">
                  <c:v>Billing Error</c:v>
                </c:pt>
                <c:pt idx="3">
                  <c:v>Creative Trafficking</c:v>
                </c:pt>
                <c:pt idx="4">
                  <c:v>Data-Use Terms</c:v>
                </c:pt>
                <c:pt idx="5">
                  <c:v>Delivery Underpacing</c:v>
                </c:pt>
                <c:pt idx="6">
                  <c:v>Product Feed Blocker</c:v>
                </c:pt>
                <c:pt idx="7">
                  <c:v>Renewal Rate Objection</c:v>
                </c:pt>
                <c:pt idx="8">
                  <c:v>Reporting Discrepancy</c:v>
                </c:pt>
              </c:strCache>
            </c:strRef>
          </c:cat>
          <c:val>
            <c:numRef>
              <c:f>Chart_Data!$B$46:$B$54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</c:ser>
        <c:ser>
          <c:idx val="1"/>
          <c:order val="1"/>
          <c:tx>
            <c:strRef>
              <c:f>Chart_Data!C45</c:f>
              <c:strCache>
                <c:ptCount val="1"/>
                <c:pt idx="0">
                  <c:v>Controlled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Chart_Data!$A$46:$A$54</c:f>
              <c:strCache>
                <c:ptCount val="9"/>
                <c:pt idx="0">
                  <c:v>Agency Consolidation</c:v>
                </c:pt>
                <c:pt idx="1">
                  <c:v>Audience Mismatch</c:v>
                </c:pt>
                <c:pt idx="2">
                  <c:v>Billing Error</c:v>
                </c:pt>
                <c:pt idx="3">
                  <c:v>Creative Trafficking</c:v>
                </c:pt>
                <c:pt idx="4">
                  <c:v>Data-Use Terms</c:v>
                </c:pt>
                <c:pt idx="5">
                  <c:v>Delivery Underpacing</c:v>
                </c:pt>
                <c:pt idx="6">
                  <c:v>Product Feed Blocker</c:v>
                </c:pt>
                <c:pt idx="7">
                  <c:v>Renewal Rate Objection</c:v>
                </c:pt>
                <c:pt idx="8">
                  <c:v>Reporting Discrepancy</c:v>
                </c:pt>
              </c:strCache>
            </c:strRef>
          </c:cat>
          <c:val>
            <c:numRef>
              <c:f>Chart_Data!$C$46:$C$54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83795250"/>
        <c:axId val="60586654"/>
      </c:barChart>
      <c:catAx>
        <c:axId val="837952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86654"/>
        <c:crosses val="autoZero"/>
        <c:auto val="1"/>
        <c:lblAlgn val="ctr"/>
        <c:lblOffset val="100"/>
        <c:noMultiLvlLbl val="0"/>
      </c:catAx>
      <c:valAx>
        <c:axId val="60586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95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</xdr:col>
      <xdr:colOff>284760</xdr:colOff>
      <xdr:row>17</xdr:row>
      <xdr:rowOff>32040</xdr:rowOff>
    </xdr:to>
    <xdr:graphicFrame>
      <xdr:nvGraphicFramePr>
        <xdr:cNvPr id="0" name="Chart 1"/>
        <xdr:cNvGraphicFramePr/>
      </xdr:nvGraphicFramePr>
      <xdr:xfrm>
        <a:off x="0" y="5716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284760</xdr:colOff>
      <xdr:row>35</xdr:row>
      <xdr:rowOff>32040</xdr:rowOff>
    </xdr:to>
    <xdr:graphicFrame>
      <xdr:nvGraphicFramePr>
        <xdr:cNvPr id="1" name="Chart 2"/>
        <xdr:cNvGraphicFramePr/>
      </xdr:nvGraphicFramePr>
      <xdr:xfrm>
        <a:off x="0" y="40006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506880</xdr:colOff>
      <xdr:row>16</xdr:row>
      <xdr:rowOff>31680</xdr:rowOff>
    </xdr:to>
    <xdr:graphicFrame>
      <xdr:nvGraphicFramePr>
        <xdr:cNvPr id="2" name="Chart 1"/>
        <xdr:cNvGraphicFramePr/>
      </xdr:nvGraphicFramePr>
      <xdr:xfrm>
        <a:off x="0" y="3808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143640</xdr:colOff>
      <xdr:row>18</xdr:row>
      <xdr:rowOff>187560</xdr:rowOff>
    </xdr:to>
    <xdr:graphicFrame>
      <xdr:nvGraphicFramePr>
        <xdr:cNvPr id="3" name="Chart 1"/>
        <xdr:cNvGraphicFramePr/>
      </xdr:nvGraphicFramePr>
      <xdr:xfrm>
        <a:off x="0" y="380880"/>
        <a:ext cx="50356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506520</xdr:colOff>
      <xdr:row>35</xdr:row>
      <xdr:rowOff>31680</xdr:rowOff>
    </xdr:to>
    <xdr:graphicFrame>
      <xdr:nvGraphicFramePr>
        <xdr:cNvPr id="4" name="Chart 2"/>
        <xdr:cNvGraphicFramePr/>
      </xdr:nvGraphicFramePr>
      <xdr:xfrm>
        <a:off x="0" y="400068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8</xdr:col>
      <xdr:colOff>506880</xdr:colOff>
      <xdr:row>16</xdr:row>
      <xdr:rowOff>31680</xdr:rowOff>
    </xdr:to>
    <xdr:graphicFrame>
      <xdr:nvGraphicFramePr>
        <xdr:cNvPr id="5" name="Chart 1"/>
        <xdr:cNvGraphicFramePr/>
      </xdr:nvGraphicFramePr>
      <xdr:xfrm>
        <a:off x="0" y="3808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8</xdr:col>
      <xdr:colOff>506880</xdr:colOff>
      <xdr:row>35</xdr:row>
      <xdr:rowOff>32040</xdr:rowOff>
    </xdr:to>
    <xdr:graphicFrame>
      <xdr:nvGraphicFramePr>
        <xdr:cNvPr id="6" name="Chart 2"/>
        <xdr:cNvGraphicFramePr/>
      </xdr:nvGraphicFramePr>
      <xdr:xfrm>
        <a:off x="0" y="400068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252000</xdr:colOff>
      <xdr:row>20</xdr:row>
      <xdr:rowOff>166680</xdr:rowOff>
    </xdr:to>
    <xdr:graphicFrame>
      <xdr:nvGraphicFramePr>
        <xdr:cNvPr id="7" name="Chart 1"/>
        <xdr:cNvGraphicFramePr/>
      </xdr:nvGraphicFramePr>
      <xdr:xfrm>
        <a:off x="0" y="380880"/>
        <a:ext cx="5755680" cy="35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tivitySummary" displayName="ActivitySummary" ref="A1:D19" headerRowCount="1" totalsRowCount="0" totalsRowShown="0">
  <autoFilter ref="A1:D19"/>
  <tableColumns count="4">
    <tableColumn id="1" name="Account ID"/>
    <tableColumn id="2" name="Overdue Commitments"/>
    <tableColumn id="3" name="Last Touch"/>
    <tableColumn id="4" name="Days Since Last Touch"/>
  </tableColumns>
</table>
</file>

<file path=xl/tables/table2.xml><?xml version="1.0" encoding="utf-8"?>
<table xmlns="http://schemas.openxmlformats.org/spreadsheetml/2006/main" id="2" name="CaseSummary" displayName="CaseSummary" ref="A1:F19" headerRowCount="1" totalsRowCount="0" totalsRowShown="0">
  <autoFilter ref="A1:F19"/>
  <tableColumns count="6">
    <tableColumn id="1" name="Account ID"/>
    <tableColumn id="2" name="Open Cases"/>
    <tableColumn id="3" name="Max Severity"/>
    <tableColumn id="4" name="Avg Issue Age"/>
    <tableColumn id="5" name="Primary Issue"/>
    <tableColumn id="6" name="Source Case ID"/>
  </tableColumns>
</table>
</file>

<file path=xl/tables/table3.xml><?xml version="1.0" encoding="utf-8"?>
<table xmlns="http://schemas.openxmlformats.org/spreadsheetml/2006/main" id="3" name="RawActivity" displayName="RawActivity" ref="A1:O42" headerRowCount="1" totalsRowCount="0" totalsRowShown="0">
  <autoFilter ref="A1:O42"/>
  <tableColumns count="15">
    <tableColumn id="1" name="Activity ID"/>
    <tableColumn id="2" name="Account ID"/>
    <tableColumn id="3" name="Owner Rep"/>
    <tableColumn id="4" name="Activity Type"/>
    <tableColumn id="5" name="Activity Date"/>
    <tableColumn id="6" name="Customer Request"/>
    <tableColumn id="7" name="Internal Commitment"/>
    <tableColumn id="8" name="Commitment Due Date"/>
    <tableColumn id="9" name="Commitment Status"/>
    <tableColumn id="10" name="Confirmation Source"/>
    <tableColumn id="11" name="Customer Sentiment"/>
    <tableColumn id="12" name="Requested Decision Date"/>
    <tableColumn id="13" name="Next Step"/>
    <tableColumn id="14" name="Related Case ID"/>
    <tableColumn id="15" name="Note"/>
  </tableColumns>
</table>
</file>

<file path=xl/tables/table4.xml><?xml version="1.0" encoding="utf-8"?>
<table xmlns="http://schemas.openxmlformats.org/spreadsheetml/2006/main" id="4" name="RawApproval" displayName="RawApproval" ref="A1:G19" headerRowCount="1" totalsRowCount="0" totalsRowShown="0">
  <autoFilter ref="A1:G19"/>
  <tableColumns count="7">
    <tableColumn id="1" name="Account ID"/>
    <tableColumn id="2" name="Approval Status"/>
    <tableColumn id="3" name="Approved Offer"/>
    <tableColumn id="4" name="Approved Action"/>
    <tableColumn id="5" name="Exception Reason"/>
    <tableColumn id="6" name="Execution Window Start"/>
    <tableColumn id="7" name="Execution Window End"/>
  </tableColumns>
</table>
</file>

<file path=xl/tables/table5.xml><?xml version="1.0" encoding="utf-8"?>
<table xmlns="http://schemas.openxmlformats.org/spreadsheetml/2006/main" id="5" name="RawCases" displayName="RawCases" ref="A1:Q24" headerRowCount="1" totalsRowCount="0" totalsRowShown="0">
  <autoFilter ref="A1:Q24"/>
  <tableColumns count="17">
    <tableColumn id="1" name="Case ID"/>
    <tableColumn id="2" name="Account ID"/>
    <tableColumn id="3" name="Order ID"/>
    <tableColumn id="4" name="Issue Type"/>
    <tableColumn id="5" name="Severity"/>
    <tableColumn id="6" name="Severity Score"/>
    <tableColumn id="7" name="Opened Date"/>
    <tableColumn id="8" name="Issue Age Days"/>
    <tableColumn id="9" name="Sla Target Date"/>
    <tableColumn id="10" name="Last Update Date"/>
    <tableColumn id="11" name="Expected Resolution Date"/>
    <tableColumn id="12" name="Current Owner"/>
    <tableColumn id="13" name="Issue Status"/>
    <tableColumn id="14" name="Resolution Confidence"/>
    <tableColumn id="15" name="Root Cause"/>
    <tableColumn id="16" name="Customer Impact"/>
    <tableColumn id="17" name="Open Dependency"/>
  </tableColumns>
</table>
</file>

<file path=xl/tables/table6.xml><?xml version="1.0" encoding="utf-8"?>
<table xmlns="http://schemas.openxmlformats.org/spreadsheetml/2006/main" id="6" name="RawContacts" displayName="RawContacts" ref="A1:N41" headerRowCount="1" totalsRowCount="0" totalsRowShown="0">
  <autoFilter ref="A1:N41"/>
  <tableColumns count="14">
    <tableColumn id="1" name="Contact ID"/>
    <tableColumn id="2" name="Account ID"/>
    <tableColumn id="3" name="Account Name"/>
    <tableColumn id="4" name="Contact Name"/>
    <tableColumn id="5" name="Title"/>
    <tableColumn id="6" name="Contact Role"/>
    <tableColumn id="7" name="Decision Authority"/>
    <tableColumn id="8" name="Outreach Permission"/>
    <tableColumn id="9" name="Preferred Channel"/>
    <tableColumn id="10" name="Timezone"/>
    <tableColumn id="11" name="Unavailable Window"/>
    <tableColumn id="12" name="Sensitivity Flag"/>
    <tableColumn id="13" name="Owner Rep"/>
    <tableColumn id="14" name="Backup Owner"/>
  </tableColumns>
</table>
</file>

<file path=xl/tables/table7.xml><?xml version="1.0" encoding="utf-8"?>
<table xmlns="http://schemas.openxmlformats.org/spreadsheetml/2006/main" id="7" name="RawCRM" displayName="RawCRM" ref="A1:L19" headerRowCount="1" totalsRowCount="0" totalsRowShown="0">
  <autoFilter ref="A1:L19"/>
  <tableColumns count="12">
    <tableColumn id="1" name="Account ID"/>
    <tableColumn id="2" name="Account Name"/>
    <tableColumn id="3" name="Segment"/>
    <tableColumn id="4" name="Account Tier"/>
    <tableColumn id="5" name="Owner Rep"/>
    <tableColumn id="6" name="Renewal Date"/>
    <tableColumn id="7" name="Health Score"/>
    <tableColumn id="8" name="Lifecycle State"/>
    <tableColumn id="9" name="Forecast Category"/>
    <tableColumn id="10" name="Requested Recovery Value"/>
    <tableColumn id="11" name="Escalation Reason"/>
    <tableColumn id="12" name="Approved Action Note"/>
  </tableColumns>
</table>
</file>

<file path=xl/tables/table8.xml><?xml version="1.0" encoding="utf-8"?>
<table xmlns="http://schemas.openxmlformats.org/spreadsheetml/2006/main" id="8" name="RawOffers" displayName="RawOffers" ref="A1:H7" headerRowCount="1" totalsRowCount="0" totalsRowShown="0">
  <autoFilter ref="A1:H7"/>
  <tableColumns count="8">
    <tableColumn id="1" name="Offer Code"/>
    <tableColumn id="2" name="Issue Type"/>
    <tableColumn id="3" name="Eligible Tiers"/>
    <tableColumn id="4" name="Max Value"/>
    <tableColumn id="5" name="Approval Level"/>
    <tableColumn id="6" name="Expiration Date"/>
    <tableColumn id="7" name="Description"/>
    <tableColumn id="8" name="Exclusions"/>
  </tableColumns>
</table>
</file>

<file path=xl/tables/table9.xml><?xml version="1.0" encoding="utf-8"?>
<table xmlns="http://schemas.openxmlformats.org/spreadsheetml/2006/main" id="9" name="RawOrders" displayName="RawOrders" ref="A1:H19" headerRowCount="1" totalsRowCount="0" totalsRowShown="0">
  <autoFilter ref="A1:H19"/>
  <tableColumns count="8">
    <tableColumn id="1" name="Account ID"/>
    <tableColumn id="2" name="Opportunity ID"/>
    <tableColumn id="3" name="Order ID"/>
    <tableColumn id="4" name="Baseline Revenue"/>
    <tableColumn id="5" name="Current Forecast"/>
    <tableColumn id="6" name="Renewal Exposure"/>
    <tableColumn id="7" name="Probability"/>
    <tableColumn id="8" name="Forecast 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1" width="136.39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3" t="s">
        <v>6</v>
      </c>
      <c r="B4" s="3" t="s">
        <v>7</v>
      </c>
    </row>
    <row r="5" customFormat="false" ht="15" hidden="false" customHeight="true" outlineLevel="0" collapsed="false">
      <c r="A5" s="3" t="s">
        <v>8</v>
      </c>
      <c r="B5" s="3" t="s">
        <v>9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6.16"/>
    <col collapsed="false" customWidth="true" hidden="false" outlineLevel="0" max="3" min="3" style="1" width="11"/>
  </cols>
  <sheetData>
    <row r="1" customFormat="false" ht="15" hidden="false" customHeight="true" outlineLevel="0" collapsed="false">
      <c r="A1" s="2" t="s">
        <v>10</v>
      </c>
      <c r="B1" s="2" t="s">
        <v>11</v>
      </c>
      <c r="C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</row>
    <row r="3" customFormat="false" ht="15" hidden="false" customHeight="true" outlineLevel="0" collapsed="false">
      <c r="A3" s="3" t="s">
        <v>16</v>
      </c>
      <c r="B3" s="3" t="s">
        <v>17</v>
      </c>
      <c r="C3" s="3" t="s">
        <v>15</v>
      </c>
    </row>
    <row r="4" customFormat="false" ht="15" hidden="false" customHeight="true" outlineLevel="0" collapsed="false">
      <c r="A4" s="3" t="s">
        <v>18</v>
      </c>
      <c r="B4" s="3" t="s">
        <v>19</v>
      </c>
      <c r="C4" s="3" t="s">
        <v>20</v>
      </c>
    </row>
    <row r="5" customFormat="false" ht="15" hidden="false" customHeight="true" outlineLevel="0" collapsed="false">
      <c r="A5" s="3" t="s">
        <v>21</v>
      </c>
      <c r="B5" s="3" t="s">
        <v>22</v>
      </c>
      <c r="C5" s="3" t="s">
        <v>20</v>
      </c>
    </row>
    <row r="6" customFormat="false" ht="15" hidden="false" customHeight="true" outlineLevel="0" collapsed="false">
      <c r="A6" s="3" t="s">
        <v>23</v>
      </c>
      <c r="B6" s="3" t="s">
        <v>24</v>
      </c>
      <c r="C6" s="3" t="s">
        <v>20</v>
      </c>
    </row>
    <row r="7" customFormat="false" ht="15" hidden="false" customHeight="true" outlineLevel="0" collapsed="false">
      <c r="A7" s="3" t="s">
        <v>25</v>
      </c>
      <c r="B7" s="3" t="s">
        <v>26</v>
      </c>
      <c r="C7" s="3" t="s">
        <v>27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1" width="23.28"/>
    <col collapsed="false" customWidth="true" hidden="false" outlineLevel="0" max="7" min="4" style="1" width="34"/>
  </cols>
  <sheetData>
    <row r="1" customFormat="false" ht="15" hidden="false" customHeight="true" outlineLevel="0" collapsed="false">
      <c r="A1" s="2" t="s">
        <v>28</v>
      </c>
      <c r="B1" s="2" t="s">
        <v>29</v>
      </c>
    </row>
    <row r="2" customFormat="false" ht="15" hidden="false" customHeight="true" outlineLevel="0" collapsed="false">
      <c r="A2" s="3" t="s">
        <v>30</v>
      </c>
      <c r="B2" s="3" t="n">
        <v>0.3</v>
      </c>
    </row>
    <row r="3" customFormat="false" ht="15" hidden="false" customHeight="true" outlineLevel="0" collapsed="false">
      <c r="A3" s="3" t="s">
        <v>31</v>
      </c>
      <c r="B3" s="3" t="n">
        <v>0.35</v>
      </c>
    </row>
    <row r="4" customFormat="false" ht="15" hidden="false" customHeight="true" outlineLevel="0" collapsed="false">
      <c r="A4" s="3" t="s">
        <v>32</v>
      </c>
      <c r="B4" s="3" t="n">
        <v>0.2</v>
      </c>
    </row>
    <row r="5" customFormat="false" ht="15" hidden="false" customHeight="true" outlineLevel="0" collapsed="false">
      <c r="A5" s="3" t="s">
        <v>33</v>
      </c>
      <c r="B5" s="3" t="n">
        <v>0.1</v>
      </c>
    </row>
    <row r="6" customFormat="false" ht="15" hidden="false" customHeight="true" outlineLevel="0" collapsed="false">
      <c r="A6" s="3" t="s">
        <v>34</v>
      </c>
      <c r="B6" s="3" t="n">
        <v>0.05</v>
      </c>
    </row>
    <row r="7" customFormat="false" ht="15" hidden="false" customHeight="true" outlineLevel="0" collapsed="false">
      <c r="A7" s="3" t="s">
        <v>35</v>
      </c>
      <c r="B7" s="3" t="n">
        <v>400000</v>
      </c>
    </row>
    <row r="8" customFormat="false" ht="15" hidden="false" customHeight="true" outlineLevel="0" collapsed="false">
      <c r="A8" s="3" t="s">
        <v>36</v>
      </c>
      <c r="B8" s="4" t="n">
        <v>46218</v>
      </c>
    </row>
    <row r="11" customFormat="false" ht="15" hidden="false" customHeight="true" outlineLevel="0" collapsed="false">
      <c r="D11" s="5" t="s">
        <v>37</v>
      </c>
      <c r="E11" s="5" t="s">
        <v>38</v>
      </c>
      <c r="F11" s="6" t="s">
        <v>39</v>
      </c>
      <c r="G11" s="6" t="s">
        <v>40</v>
      </c>
    </row>
    <row r="12" customFormat="false" ht="15" hidden="false" customHeight="true" outlineLevel="0" collapsed="false">
      <c r="D12" s="1" t="s">
        <v>41</v>
      </c>
      <c r="E12" s="1" t="s">
        <v>42</v>
      </c>
      <c r="F12" s="1" t="s">
        <v>43</v>
      </c>
      <c r="G12" s="1" t="s">
        <v>44</v>
      </c>
    </row>
    <row r="13" customFormat="false" ht="15" hidden="false" customHeight="true" outlineLevel="0" collapsed="false">
      <c r="D13" s="1" t="s">
        <v>45</v>
      </c>
      <c r="E13" s="1" t="s">
        <v>46</v>
      </c>
      <c r="F13" s="1" t="s">
        <v>47</v>
      </c>
      <c r="G13" s="1" t="s">
        <v>48</v>
      </c>
    </row>
    <row r="14" customFormat="false" ht="15" hidden="false" customHeight="true" outlineLevel="0" collapsed="false">
      <c r="D14" s="1" t="s">
        <v>49</v>
      </c>
      <c r="E14" s="1" t="s">
        <v>50</v>
      </c>
      <c r="F14" s="1" t="s">
        <v>51</v>
      </c>
      <c r="G14" s="1" t="s">
        <v>52</v>
      </c>
    </row>
    <row r="15" customFormat="false" ht="15" hidden="false" customHeight="true" outlineLevel="0" collapsed="false">
      <c r="D15" s="1" t="s">
        <v>53</v>
      </c>
      <c r="F15" s="1" t="s">
        <v>54</v>
      </c>
      <c r="G15" s="1" t="s">
        <v>55</v>
      </c>
    </row>
    <row r="16" customFormat="false" ht="15" hidden="false" customHeight="true" outlineLevel="0" collapsed="false">
      <c r="F16" s="1" t="s">
        <v>56</v>
      </c>
      <c r="G16" s="1" t="s">
        <v>57</v>
      </c>
    </row>
    <row r="17" customFormat="false" ht="15" hidden="false" customHeight="true" outlineLevel="0" collapsed="false">
      <c r="F17" s="1" t="s">
        <v>58</v>
      </c>
      <c r="G17" s="1" t="s">
        <v>59</v>
      </c>
    </row>
    <row r="18" customFormat="false" ht="15" hidden="false" customHeight="false" outlineLevel="0" collapsed="false">
      <c r="F18" s="1" t="s">
        <v>60</v>
      </c>
      <c r="G18" s="1" t="s">
        <v>61</v>
      </c>
    </row>
    <row r="19" customFormat="false" ht="15" hidden="false" customHeight="false" outlineLevel="0" collapsed="false">
      <c r="F19" s="1" t="s">
        <v>62</v>
      </c>
      <c r="G19" s="1" t="s">
        <v>46</v>
      </c>
    </row>
    <row r="20" customFormat="false" ht="15" hidden="false" customHeight="false" outlineLevel="0" collapsed="false">
      <c r="F20" s="1" t="s">
        <v>63</v>
      </c>
      <c r="G20" s="1" t="s">
        <v>64</v>
      </c>
    </row>
    <row r="21" customFormat="false" ht="15" hidden="false" customHeight="false" outlineLevel="0" collapsed="false">
      <c r="F21" s="1" t="s">
        <v>65</v>
      </c>
    </row>
    <row r="22" customFormat="false" ht="15" hidden="false" customHeight="false" outlineLevel="0" collapsed="false">
      <c r="F22" s="1" t="s">
        <v>66</v>
      </c>
    </row>
    <row r="23" customFormat="false" ht="15" hidden="false" customHeight="false" outlineLevel="0" collapsed="false">
      <c r="F23" s="1" t="s">
        <v>67</v>
      </c>
    </row>
    <row r="24" customFormat="false" ht="15" hidden="false" customHeight="false" outlineLevel="0" collapsed="false">
      <c r="F24" s="1" t="s">
        <v>68</v>
      </c>
    </row>
    <row r="25" customFormat="false" ht="15" hidden="false" customHeight="false" outlineLevel="0" collapsed="false">
      <c r="F25" s="1" t="s">
        <v>69</v>
      </c>
    </row>
    <row r="26" customFormat="false" ht="15" hidden="false" customHeight="false" outlineLevel="0" collapsed="false">
      <c r="F26" s="1" t="s">
        <v>70</v>
      </c>
    </row>
    <row r="27" customFormat="false" ht="15" hidden="false" customHeight="false" outlineLevel="0" collapsed="false">
      <c r="F27" s="1" t="s">
        <v>71</v>
      </c>
    </row>
    <row r="28" customFormat="false" ht="15" hidden="false" customHeight="false" outlineLevel="0" collapsed="false">
      <c r="F28" s="1" t="s">
        <v>72</v>
      </c>
    </row>
    <row r="29" customFormat="false" ht="15" hidden="false" customHeight="false" outlineLevel="0" collapsed="false">
      <c r="F29" s="1" t="s">
        <v>73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32.24"/>
    <col collapsed="false" customWidth="true" hidden="false" outlineLevel="0" max="3" min="3" style="1" width="25.52"/>
    <col collapsed="false" customWidth="true" hidden="false" outlineLevel="0" max="7" min="4" style="1" width="15.44"/>
    <col collapsed="false" customWidth="true" hidden="false" outlineLevel="0" max="8" min="8" style="1" width="32.24"/>
    <col collapsed="false" customWidth="true" hidden="false" outlineLevel="0" max="9" min="9" style="1" width="21.04"/>
    <col collapsed="false" customWidth="true" hidden="false" outlineLevel="0" max="10" min="10" style="1" width="28.88"/>
    <col collapsed="false" customWidth="true" hidden="false" outlineLevel="0" max="12" min="11" style="1" width="59.12"/>
  </cols>
  <sheetData>
    <row r="1" customFormat="false" ht="15" hidden="false" customHeight="true" outlineLevel="0" collapsed="false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</row>
    <row r="2" customFormat="false" ht="15" hidden="false" customHeight="true" outlineLevel="0" collapsed="false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4" t="n">
        <v>46227</v>
      </c>
      <c r="G2" s="3" t="n">
        <v>48</v>
      </c>
      <c r="H2" s="3" t="s">
        <v>42</v>
      </c>
      <c r="I2" s="3" t="s">
        <v>91</v>
      </c>
      <c r="J2" s="7" t="n">
        <v>21000</v>
      </c>
      <c r="K2" s="3" t="s">
        <v>92</v>
      </c>
      <c r="L2" s="3" t="s">
        <v>43</v>
      </c>
    </row>
    <row r="3" customFormat="false" ht="15" hidden="false" customHeight="true" outlineLevel="0" collapsed="false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4" t="n">
        <v>46234</v>
      </c>
      <c r="G3" s="3" t="n">
        <v>52</v>
      </c>
      <c r="H3" s="3" t="s">
        <v>42</v>
      </c>
      <c r="I3" s="3" t="s">
        <v>98</v>
      </c>
      <c r="J3" s="7" t="n">
        <v>0</v>
      </c>
      <c r="K3" s="3" t="s">
        <v>99</v>
      </c>
      <c r="L3" s="3" t="s">
        <v>47</v>
      </c>
    </row>
    <row r="4" customFormat="false" ht="15" hidden="false" customHeight="true" outlineLevel="0" collapsed="false">
      <c r="A4" s="3" t="s">
        <v>100</v>
      </c>
      <c r="B4" s="3" t="s">
        <v>101</v>
      </c>
      <c r="C4" s="3" t="s">
        <v>102</v>
      </c>
      <c r="D4" s="3" t="s">
        <v>89</v>
      </c>
      <c r="E4" s="3" t="s">
        <v>103</v>
      </c>
      <c r="F4" s="4" t="n">
        <v>46239</v>
      </c>
      <c r="G4" s="3" t="n">
        <v>56</v>
      </c>
      <c r="H4" s="3" t="s">
        <v>42</v>
      </c>
      <c r="I4" s="3" t="s">
        <v>91</v>
      </c>
      <c r="J4" s="7" t="n">
        <v>9500</v>
      </c>
      <c r="K4" s="3" t="s">
        <v>104</v>
      </c>
      <c r="L4" s="3" t="s">
        <v>51</v>
      </c>
    </row>
    <row r="5" customFormat="false" ht="15" hidden="false" customHeight="true" outlineLevel="0" collapsed="false">
      <c r="A5" s="3" t="s">
        <v>105</v>
      </c>
      <c r="B5" s="3" t="s">
        <v>106</v>
      </c>
      <c r="C5" s="3" t="s">
        <v>107</v>
      </c>
      <c r="D5" s="3" t="s">
        <v>96</v>
      </c>
      <c r="E5" s="3" t="s">
        <v>108</v>
      </c>
      <c r="F5" s="4" t="n">
        <v>46231</v>
      </c>
      <c r="G5" s="3" t="n">
        <v>61</v>
      </c>
      <c r="H5" s="3" t="s">
        <v>42</v>
      </c>
      <c r="I5" s="3" t="s">
        <v>98</v>
      </c>
      <c r="J5" s="7" t="n">
        <v>12000</v>
      </c>
      <c r="K5" s="3" t="s">
        <v>109</v>
      </c>
      <c r="L5" s="3" t="s">
        <v>54</v>
      </c>
    </row>
    <row r="6" customFormat="false" ht="15" hidden="false" customHeight="true" outlineLevel="0" collapsed="false">
      <c r="A6" s="3" t="s">
        <v>110</v>
      </c>
      <c r="B6" s="3" t="s">
        <v>111</v>
      </c>
      <c r="C6" s="3" t="s">
        <v>112</v>
      </c>
      <c r="D6" s="3" t="s">
        <v>89</v>
      </c>
      <c r="E6" s="3" t="s">
        <v>113</v>
      </c>
      <c r="F6" s="4" t="n">
        <v>46246</v>
      </c>
      <c r="G6" s="3" t="n">
        <v>44</v>
      </c>
      <c r="H6" s="3" t="s">
        <v>42</v>
      </c>
      <c r="I6" s="3" t="s">
        <v>91</v>
      </c>
      <c r="J6" s="7" t="n">
        <v>18000</v>
      </c>
      <c r="K6" s="3" t="s">
        <v>114</v>
      </c>
      <c r="L6" s="3" t="s">
        <v>56</v>
      </c>
    </row>
    <row r="7" customFormat="false" ht="15" hidden="false" customHeight="true" outlineLevel="0" collapsed="false">
      <c r="A7" s="3" t="s">
        <v>115</v>
      </c>
      <c r="B7" s="3" t="s">
        <v>116</v>
      </c>
      <c r="C7" s="3" t="s">
        <v>107</v>
      </c>
      <c r="D7" s="3" t="s">
        <v>117</v>
      </c>
      <c r="E7" s="3" t="s">
        <v>90</v>
      </c>
      <c r="F7" s="4" t="n">
        <v>46229</v>
      </c>
      <c r="G7" s="3" t="n">
        <v>68</v>
      </c>
      <c r="H7" s="3" t="s">
        <v>42</v>
      </c>
      <c r="I7" s="3" t="s">
        <v>118</v>
      </c>
      <c r="J7" s="7" t="n">
        <v>4800</v>
      </c>
      <c r="K7" s="3" t="s">
        <v>119</v>
      </c>
      <c r="L7" s="3" t="s">
        <v>58</v>
      </c>
    </row>
    <row r="8" customFormat="false" ht="15" hidden="false" customHeight="true" outlineLevel="0" collapsed="false">
      <c r="A8" s="3" t="s">
        <v>120</v>
      </c>
      <c r="B8" s="3" t="s">
        <v>121</v>
      </c>
      <c r="C8" s="3" t="s">
        <v>95</v>
      </c>
      <c r="D8" s="3" t="s">
        <v>96</v>
      </c>
      <c r="E8" s="3" t="s">
        <v>97</v>
      </c>
      <c r="F8" s="4" t="n">
        <v>46237</v>
      </c>
      <c r="G8" s="3" t="n">
        <v>50</v>
      </c>
      <c r="H8" s="3" t="s">
        <v>42</v>
      </c>
      <c r="I8" s="3" t="s">
        <v>91</v>
      </c>
      <c r="J8" s="7" t="n">
        <v>22000</v>
      </c>
      <c r="K8" s="3" t="s">
        <v>122</v>
      </c>
      <c r="L8" s="3" t="s">
        <v>60</v>
      </c>
    </row>
    <row r="9" customFormat="false" ht="15" hidden="false" customHeight="true" outlineLevel="0" collapsed="false">
      <c r="A9" s="3" t="s">
        <v>123</v>
      </c>
      <c r="B9" s="3" t="s">
        <v>124</v>
      </c>
      <c r="C9" s="3" t="s">
        <v>125</v>
      </c>
      <c r="D9" s="3" t="s">
        <v>117</v>
      </c>
      <c r="E9" s="3" t="s">
        <v>103</v>
      </c>
      <c r="F9" s="4" t="n">
        <v>46249</v>
      </c>
      <c r="G9" s="3" t="n">
        <v>63</v>
      </c>
      <c r="H9" s="3" t="s">
        <v>42</v>
      </c>
      <c r="I9" s="3" t="s">
        <v>118</v>
      </c>
      <c r="J9" s="7" t="n">
        <v>0</v>
      </c>
      <c r="K9" s="3" t="s">
        <v>126</v>
      </c>
      <c r="L9" s="3" t="s">
        <v>62</v>
      </c>
    </row>
    <row r="10" customFormat="false" ht="15" hidden="false" customHeight="true" outlineLevel="0" collapsed="false">
      <c r="A10" s="3" t="s">
        <v>127</v>
      </c>
      <c r="B10" s="3" t="s">
        <v>128</v>
      </c>
      <c r="C10" s="3" t="s">
        <v>129</v>
      </c>
      <c r="D10" s="3" t="s">
        <v>96</v>
      </c>
      <c r="E10" s="3" t="s">
        <v>108</v>
      </c>
      <c r="F10" s="4" t="n">
        <v>46232</v>
      </c>
      <c r="G10" s="3" t="n">
        <v>58</v>
      </c>
      <c r="H10" s="3" t="s">
        <v>42</v>
      </c>
      <c r="I10" s="3" t="s">
        <v>98</v>
      </c>
      <c r="J10" s="7" t="n">
        <v>15000</v>
      </c>
      <c r="K10" s="3" t="s">
        <v>130</v>
      </c>
      <c r="L10" s="3" t="s">
        <v>63</v>
      </c>
    </row>
    <row r="11" customFormat="false" ht="15" hidden="false" customHeight="true" outlineLevel="0" collapsed="false">
      <c r="A11" s="3" t="s">
        <v>131</v>
      </c>
      <c r="B11" s="3" t="s">
        <v>132</v>
      </c>
      <c r="C11" s="3" t="s">
        <v>133</v>
      </c>
      <c r="D11" s="3" t="s">
        <v>117</v>
      </c>
      <c r="E11" s="3" t="s">
        <v>113</v>
      </c>
      <c r="F11" s="4" t="n">
        <v>46254</v>
      </c>
      <c r="G11" s="3" t="n">
        <v>70</v>
      </c>
      <c r="H11" s="3" t="s">
        <v>42</v>
      </c>
      <c r="I11" s="3" t="s">
        <v>118</v>
      </c>
      <c r="J11" s="7" t="n">
        <v>0</v>
      </c>
      <c r="K11" s="3" t="s">
        <v>134</v>
      </c>
      <c r="L11" s="3" t="s">
        <v>65</v>
      </c>
    </row>
    <row r="12" customFormat="false" ht="15" hidden="false" customHeight="true" outlineLevel="0" collapsed="false">
      <c r="A12" s="3" t="s">
        <v>135</v>
      </c>
      <c r="B12" s="3" t="s">
        <v>136</v>
      </c>
      <c r="C12" s="3" t="s">
        <v>137</v>
      </c>
      <c r="D12" s="3" t="s">
        <v>96</v>
      </c>
      <c r="E12" s="3" t="s">
        <v>90</v>
      </c>
      <c r="F12" s="4" t="n">
        <v>46243</v>
      </c>
      <c r="G12" s="3" t="n">
        <v>55</v>
      </c>
      <c r="H12" s="3" t="s">
        <v>42</v>
      </c>
      <c r="I12" s="3" t="s">
        <v>98</v>
      </c>
      <c r="J12" s="7" t="n">
        <v>0</v>
      </c>
      <c r="K12" s="3" t="s">
        <v>99</v>
      </c>
      <c r="L12" s="3" t="s">
        <v>66</v>
      </c>
    </row>
    <row r="13" customFormat="false" ht="15" hidden="false" customHeight="true" outlineLevel="0" collapsed="false">
      <c r="A13" s="3" t="s">
        <v>138</v>
      </c>
      <c r="B13" s="3" t="s">
        <v>139</v>
      </c>
      <c r="C13" s="3" t="s">
        <v>107</v>
      </c>
      <c r="D13" s="3" t="s">
        <v>89</v>
      </c>
      <c r="E13" s="3" t="s">
        <v>97</v>
      </c>
      <c r="F13" s="4" t="n">
        <v>46235</v>
      </c>
      <c r="G13" s="3" t="n">
        <v>47</v>
      </c>
      <c r="H13" s="3" t="s">
        <v>42</v>
      </c>
      <c r="I13" s="3" t="s">
        <v>91</v>
      </c>
      <c r="J13" s="7" t="n">
        <v>24000</v>
      </c>
      <c r="K13" s="3" t="s">
        <v>140</v>
      </c>
      <c r="L13" s="3" t="s">
        <v>67</v>
      </c>
    </row>
    <row r="14" customFormat="false" ht="15" hidden="false" customHeight="true" outlineLevel="0" collapsed="false">
      <c r="A14" s="3" t="s">
        <v>141</v>
      </c>
      <c r="B14" s="3" t="s">
        <v>142</v>
      </c>
      <c r="C14" s="3" t="s">
        <v>88</v>
      </c>
      <c r="D14" s="3" t="s">
        <v>96</v>
      </c>
      <c r="E14" s="3" t="s">
        <v>103</v>
      </c>
      <c r="F14" s="4" t="n">
        <v>46251</v>
      </c>
      <c r="G14" s="3" t="n">
        <v>59</v>
      </c>
      <c r="H14" s="3" t="s">
        <v>46</v>
      </c>
      <c r="I14" s="3" t="s">
        <v>98</v>
      </c>
      <c r="J14" s="7" t="n">
        <v>17000</v>
      </c>
      <c r="K14" s="3" t="s">
        <v>143</v>
      </c>
      <c r="L14" s="3" t="s">
        <v>68</v>
      </c>
    </row>
    <row r="15" customFormat="false" ht="15" hidden="false" customHeight="true" outlineLevel="0" collapsed="false">
      <c r="A15" s="3" t="s">
        <v>144</v>
      </c>
      <c r="B15" s="3" t="s">
        <v>145</v>
      </c>
      <c r="C15" s="3" t="s">
        <v>95</v>
      </c>
      <c r="D15" s="3" t="s">
        <v>89</v>
      </c>
      <c r="E15" s="3" t="s">
        <v>108</v>
      </c>
      <c r="F15" s="4" t="n">
        <v>46233</v>
      </c>
      <c r="G15" s="3" t="n">
        <v>42</v>
      </c>
      <c r="H15" s="3" t="s">
        <v>46</v>
      </c>
      <c r="I15" s="3" t="s">
        <v>91</v>
      </c>
      <c r="J15" s="7" t="n">
        <v>42000</v>
      </c>
      <c r="K15" s="3" t="s">
        <v>146</v>
      </c>
      <c r="L15" s="3" t="s">
        <v>69</v>
      </c>
    </row>
    <row r="16" customFormat="false" ht="15" hidden="false" customHeight="true" outlineLevel="0" collapsed="false">
      <c r="A16" s="3" t="s">
        <v>147</v>
      </c>
      <c r="B16" s="3" t="s">
        <v>148</v>
      </c>
      <c r="C16" s="3" t="s">
        <v>112</v>
      </c>
      <c r="D16" s="3" t="s">
        <v>96</v>
      </c>
      <c r="E16" s="3" t="s">
        <v>113</v>
      </c>
      <c r="F16" s="4" t="n">
        <v>46241</v>
      </c>
      <c r="G16" s="3" t="n">
        <v>49</v>
      </c>
      <c r="H16" s="3" t="s">
        <v>46</v>
      </c>
      <c r="I16" s="3" t="s">
        <v>98</v>
      </c>
      <c r="J16" s="7" t="n">
        <v>16000</v>
      </c>
      <c r="K16" s="3" t="s">
        <v>149</v>
      </c>
      <c r="L16" s="3" t="s">
        <v>70</v>
      </c>
    </row>
    <row r="17" customFormat="false" ht="15" hidden="false" customHeight="true" outlineLevel="0" collapsed="false">
      <c r="A17" s="3" t="s">
        <v>150</v>
      </c>
      <c r="B17" s="3" t="s">
        <v>151</v>
      </c>
      <c r="C17" s="3" t="s">
        <v>152</v>
      </c>
      <c r="D17" s="3" t="s">
        <v>117</v>
      </c>
      <c r="E17" s="3" t="s">
        <v>90</v>
      </c>
      <c r="F17" s="4" t="n">
        <v>46225</v>
      </c>
      <c r="G17" s="3" t="n">
        <v>76</v>
      </c>
      <c r="H17" s="3" t="s">
        <v>153</v>
      </c>
      <c r="I17" s="3" t="s">
        <v>154</v>
      </c>
      <c r="J17" s="7" t="n">
        <v>0</v>
      </c>
      <c r="K17" s="3" t="s">
        <v>155</v>
      </c>
      <c r="L17" s="3" t="s">
        <v>71</v>
      </c>
    </row>
    <row r="18" customFormat="false" ht="15" hidden="false" customHeight="true" outlineLevel="0" collapsed="false">
      <c r="A18" s="3" t="s">
        <v>156</v>
      </c>
      <c r="B18" s="3" t="s">
        <v>157</v>
      </c>
      <c r="C18" s="3" t="s">
        <v>88</v>
      </c>
      <c r="D18" s="3" t="s">
        <v>158</v>
      </c>
      <c r="E18" s="3" t="s">
        <v>97</v>
      </c>
      <c r="F18" s="4" t="n">
        <v>46262</v>
      </c>
      <c r="G18" s="3" t="n">
        <v>40</v>
      </c>
      <c r="H18" s="3" t="s">
        <v>46</v>
      </c>
      <c r="I18" s="3" t="s">
        <v>91</v>
      </c>
      <c r="J18" s="7" t="n">
        <v>0</v>
      </c>
      <c r="K18" s="3" t="s">
        <v>159</v>
      </c>
      <c r="L18" s="3" t="s">
        <v>72</v>
      </c>
    </row>
    <row r="19" customFormat="false" ht="15" hidden="false" customHeight="true" outlineLevel="0" collapsed="false">
      <c r="A19" s="3" t="s">
        <v>160</v>
      </c>
      <c r="B19" s="3" t="s">
        <v>161</v>
      </c>
      <c r="C19" s="3" t="s">
        <v>162</v>
      </c>
      <c r="D19" s="3" t="s">
        <v>96</v>
      </c>
      <c r="E19" s="3" t="s">
        <v>103</v>
      </c>
      <c r="F19" s="4" t="n">
        <v>46283</v>
      </c>
      <c r="G19" s="3" t="n">
        <v>66</v>
      </c>
      <c r="H19" s="3" t="s">
        <v>163</v>
      </c>
      <c r="I19" s="3" t="s">
        <v>118</v>
      </c>
      <c r="J19" s="7" t="n">
        <v>0</v>
      </c>
      <c r="K19" s="3" t="s">
        <v>164</v>
      </c>
      <c r="L19" s="3" t="s">
        <v>73</v>
      </c>
    </row>
  </sheetData>
  <autoFilter ref="A1:L19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08"/>
    <col collapsed="false" customWidth="true" hidden="false" outlineLevel="0" max="2" min="2" style="1" width="13.2"/>
    <col collapsed="false" customWidth="true" hidden="false" outlineLevel="0" max="3" min="3" style="1" width="12.08"/>
    <col collapsed="false" customWidth="true" hidden="false" outlineLevel="0" max="4" min="4" style="1" width="26.64"/>
    <col collapsed="false" customWidth="true" hidden="false" outlineLevel="0" max="5" min="5" style="1" width="11"/>
    <col collapsed="false" customWidth="true" hidden="false" outlineLevel="0" max="6" min="6" style="1" width="17.68"/>
    <col collapsed="false" customWidth="true" hidden="false" outlineLevel="0" max="7" min="7" style="1" width="23.28"/>
    <col collapsed="false" customWidth="true" hidden="false" outlineLevel="0" max="8" min="8" style="1" width="17.68"/>
    <col collapsed="false" customWidth="true" hidden="false" outlineLevel="0" max="10" min="9" style="1" width="23.28"/>
    <col collapsed="false" customWidth="true" hidden="false" outlineLevel="0" max="11" min="11" style="1" width="28.88"/>
    <col collapsed="false" customWidth="true" hidden="false" outlineLevel="0" max="12" min="12" style="1" width="33.36"/>
    <col collapsed="false" customWidth="true" hidden="false" outlineLevel="0" max="13" min="13" style="1" width="30"/>
    <col collapsed="false" customWidth="true" hidden="false" outlineLevel="0" max="14" min="14" style="1" width="25.52"/>
    <col collapsed="false" customWidth="true" hidden="false" outlineLevel="0" max="15" min="15" style="1" width="35.6"/>
    <col collapsed="false" customWidth="true" hidden="false" outlineLevel="0" max="16" min="16" style="1" width="45.68"/>
    <col collapsed="false" customWidth="true" hidden="false" outlineLevel="0" max="17" min="17" style="1" width="32.24"/>
  </cols>
  <sheetData>
    <row r="1" customFormat="false" ht="15" hidden="false" customHeight="true" outlineLevel="0" collapsed="false">
      <c r="A1" s="2" t="s">
        <v>165</v>
      </c>
      <c r="B1" s="2" t="s">
        <v>74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customFormat="false" ht="15" hidden="false" customHeight="true" outlineLevel="0" collapsed="false">
      <c r="A2" s="3" t="s">
        <v>181</v>
      </c>
      <c r="B2" s="3" t="s">
        <v>86</v>
      </c>
      <c r="C2" s="3" t="s">
        <v>182</v>
      </c>
      <c r="D2" s="3" t="s">
        <v>183</v>
      </c>
      <c r="E2" s="3" t="s">
        <v>184</v>
      </c>
      <c r="F2" s="3" t="n">
        <v>4</v>
      </c>
      <c r="G2" s="4" t="n">
        <v>46193</v>
      </c>
      <c r="H2" s="3" t="n">
        <v>25</v>
      </c>
      <c r="I2" s="4" t="n">
        <v>46211</v>
      </c>
      <c r="J2" s="4" t="n">
        <v>46216</v>
      </c>
      <c r="K2" s="4" t="n">
        <v>46219</v>
      </c>
      <c r="L2" s="3" t="s">
        <v>185</v>
      </c>
      <c r="M2" s="3" t="s">
        <v>186</v>
      </c>
      <c r="N2" s="3" t="s">
        <v>187</v>
      </c>
      <c r="O2" s="3" t="s">
        <v>188</v>
      </c>
      <c r="P2" s="3" t="s">
        <v>189</v>
      </c>
      <c r="Q2" s="3" t="s">
        <v>190</v>
      </c>
    </row>
    <row r="3" customFormat="false" ht="15" hidden="false" customHeight="true" outlineLevel="0" collapsed="false">
      <c r="A3" s="3" t="s">
        <v>191</v>
      </c>
      <c r="B3" s="3" t="s">
        <v>86</v>
      </c>
      <c r="C3" s="3" t="s">
        <v>182</v>
      </c>
      <c r="D3" s="3" t="s">
        <v>192</v>
      </c>
      <c r="E3" s="3" t="s">
        <v>187</v>
      </c>
      <c r="F3" s="3" t="n">
        <v>3</v>
      </c>
      <c r="G3" s="4" t="n">
        <v>46205</v>
      </c>
      <c r="H3" s="3" t="n">
        <v>13</v>
      </c>
      <c r="I3" s="4" t="n">
        <v>46215</v>
      </c>
      <c r="J3" s="4" t="n">
        <v>46216</v>
      </c>
      <c r="K3" s="4" t="n">
        <v>46220</v>
      </c>
      <c r="L3" s="3" t="s">
        <v>193</v>
      </c>
      <c r="M3" s="3" t="s">
        <v>194</v>
      </c>
      <c r="N3" s="3" t="s">
        <v>187</v>
      </c>
      <c r="O3" s="3" t="s">
        <v>195</v>
      </c>
      <c r="P3" s="3" t="s">
        <v>196</v>
      </c>
      <c r="Q3" s="3" t="s">
        <v>197</v>
      </c>
    </row>
    <row r="4" customFormat="false" ht="15" hidden="false" customHeight="true" outlineLevel="0" collapsed="false">
      <c r="A4" s="3" t="s">
        <v>198</v>
      </c>
      <c r="B4" s="3" t="s">
        <v>93</v>
      </c>
      <c r="C4" s="3" t="s">
        <v>199</v>
      </c>
      <c r="D4" s="3" t="s">
        <v>192</v>
      </c>
      <c r="E4" s="3" t="s">
        <v>184</v>
      </c>
      <c r="F4" s="3" t="n">
        <v>4</v>
      </c>
      <c r="G4" s="4" t="n">
        <v>46201</v>
      </c>
      <c r="H4" s="3" t="n">
        <v>17</v>
      </c>
      <c r="I4" s="4" t="n">
        <v>46212</v>
      </c>
      <c r="J4" s="4" t="n">
        <v>46216</v>
      </c>
      <c r="K4" s="4" t="n">
        <v>46220</v>
      </c>
      <c r="L4" s="3" t="s">
        <v>193</v>
      </c>
      <c r="M4" s="3" t="s">
        <v>194</v>
      </c>
      <c r="N4" s="3" t="s">
        <v>184</v>
      </c>
      <c r="O4" s="3" t="s">
        <v>200</v>
      </c>
      <c r="P4" s="3" t="s">
        <v>201</v>
      </c>
      <c r="Q4" s="3" t="s">
        <v>202</v>
      </c>
    </row>
    <row r="5" customFormat="false" ht="15" hidden="false" customHeight="true" outlineLevel="0" collapsed="false">
      <c r="A5" s="3" t="s">
        <v>203</v>
      </c>
      <c r="B5" s="3" t="s">
        <v>100</v>
      </c>
      <c r="C5" s="3" t="s">
        <v>204</v>
      </c>
      <c r="D5" s="3" t="s">
        <v>205</v>
      </c>
      <c r="E5" s="3" t="s">
        <v>184</v>
      </c>
      <c r="F5" s="3" t="n">
        <v>4</v>
      </c>
      <c r="G5" s="4" t="n">
        <v>46191</v>
      </c>
      <c r="H5" s="3" t="n">
        <v>27</v>
      </c>
      <c r="I5" s="4" t="n">
        <v>46208</v>
      </c>
      <c r="J5" s="4" t="n">
        <v>46215</v>
      </c>
      <c r="K5" s="4" t="n">
        <v>46219</v>
      </c>
      <c r="L5" s="3" t="s">
        <v>206</v>
      </c>
      <c r="M5" s="3" t="s">
        <v>207</v>
      </c>
      <c r="N5" s="3" t="s">
        <v>184</v>
      </c>
      <c r="O5" s="3" t="s">
        <v>208</v>
      </c>
      <c r="P5" s="3" t="s">
        <v>209</v>
      </c>
      <c r="Q5" s="3" t="s">
        <v>210</v>
      </c>
    </row>
    <row r="6" customFormat="false" ht="15" hidden="false" customHeight="true" outlineLevel="0" collapsed="false">
      <c r="A6" s="3" t="s">
        <v>211</v>
      </c>
      <c r="B6" s="3" t="s">
        <v>100</v>
      </c>
      <c r="C6" s="3" t="s">
        <v>204</v>
      </c>
      <c r="D6" s="3" t="s">
        <v>212</v>
      </c>
      <c r="E6" s="3" t="s">
        <v>187</v>
      </c>
      <c r="F6" s="3" t="n">
        <v>3</v>
      </c>
      <c r="G6" s="4" t="n">
        <v>46211</v>
      </c>
      <c r="H6" s="3" t="n">
        <v>7</v>
      </c>
      <c r="I6" s="4" t="n">
        <v>46221</v>
      </c>
      <c r="J6" s="4" t="n">
        <v>46217</v>
      </c>
      <c r="K6" s="4" t="n">
        <v>46222</v>
      </c>
      <c r="L6" s="3" t="s">
        <v>213</v>
      </c>
      <c r="M6" s="3" t="s">
        <v>214</v>
      </c>
      <c r="N6" s="3" t="s">
        <v>184</v>
      </c>
      <c r="O6" s="3" t="s">
        <v>215</v>
      </c>
      <c r="P6" s="3" t="s">
        <v>216</v>
      </c>
      <c r="Q6" s="3" t="s">
        <v>217</v>
      </c>
    </row>
    <row r="7" customFormat="false" ht="15" hidden="false" customHeight="true" outlineLevel="0" collapsed="false">
      <c r="A7" s="3" t="s">
        <v>218</v>
      </c>
      <c r="B7" s="3" t="s">
        <v>105</v>
      </c>
      <c r="C7" s="3" t="s">
        <v>219</v>
      </c>
      <c r="D7" s="3" t="s">
        <v>220</v>
      </c>
      <c r="E7" s="3" t="s">
        <v>187</v>
      </c>
      <c r="F7" s="3" t="n">
        <v>3</v>
      </c>
      <c r="G7" s="4" t="n">
        <v>46204</v>
      </c>
      <c r="H7" s="3" t="n">
        <v>14</v>
      </c>
      <c r="I7" s="4" t="n">
        <v>46214</v>
      </c>
      <c r="J7" s="4" t="n">
        <v>46216</v>
      </c>
      <c r="K7" s="4" t="n">
        <v>46219</v>
      </c>
      <c r="L7" s="3" t="s">
        <v>185</v>
      </c>
      <c r="M7" s="3" t="s">
        <v>186</v>
      </c>
      <c r="N7" s="3" t="s">
        <v>184</v>
      </c>
      <c r="O7" s="3" t="s">
        <v>221</v>
      </c>
      <c r="P7" s="3" t="s">
        <v>222</v>
      </c>
      <c r="Q7" s="3" t="s">
        <v>223</v>
      </c>
    </row>
    <row r="8" customFormat="false" ht="15" hidden="false" customHeight="true" outlineLevel="0" collapsed="false">
      <c r="A8" s="3" t="s">
        <v>224</v>
      </c>
      <c r="B8" s="3" t="s">
        <v>110</v>
      </c>
      <c r="C8" s="3" t="s">
        <v>225</v>
      </c>
      <c r="D8" s="3" t="s">
        <v>226</v>
      </c>
      <c r="E8" s="3" t="s">
        <v>227</v>
      </c>
      <c r="F8" s="3" t="n">
        <v>5</v>
      </c>
      <c r="G8" s="4" t="n">
        <v>46187</v>
      </c>
      <c r="H8" s="3" t="n">
        <v>31</v>
      </c>
      <c r="I8" s="4" t="n">
        <v>46205</v>
      </c>
      <c r="J8" s="4" t="n">
        <v>46216</v>
      </c>
      <c r="K8" s="4" t="n">
        <v>46221</v>
      </c>
      <c r="L8" s="3" t="s">
        <v>228</v>
      </c>
      <c r="M8" s="3" t="s">
        <v>194</v>
      </c>
      <c r="N8" s="3" t="s">
        <v>187</v>
      </c>
      <c r="O8" s="3" t="s">
        <v>229</v>
      </c>
      <c r="P8" s="3" t="s">
        <v>230</v>
      </c>
      <c r="Q8" s="3" t="s">
        <v>231</v>
      </c>
    </row>
    <row r="9" customFormat="false" ht="15" hidden="false" customHeight="true" outlineLevel="0" collapsed="false">
      <c r="A9" s="3" t="s">
        <v>232</v>
      </c>
      <c r="B9" s="3" t="s">
        <v>110</v>
      </c>
      <c r="C9" s="3" t="s">
        <v>225</v>
      </c>
      <c r="D9" s="3" t="s">
        <v>183</v>
      </c>
      <c r="E9" s="3" t="s">
        <v>184</v>
      </c>
      <c r="F9" s="3" t="n">
        <v>4</v>
      </c>
      <c r="G9" s="4" t="n">
        <v>46203</v>
      </c>
      <c r="H9" s="3" t="n">
        <v>15</v>
      </c>
      <c r="I9" s="4" t="n">
        <v>46213</v>
      </c>
      <c r="J9" s="4" t="n">
        <v>46216</v>
      </c>
      <c r="K9" s="4" t="n">
        <v>46221</v>
      </c>
      <c r="L9" s="3" t="s">
        <v>185</v>
      </c>
      <c r="M9" s="3" t="s">
        <v>186</v>
      </c>
      <c r="N9" s="3" t="s">
        <v>187</v>
      </c>
      <c r="O9" s="3" t="s">
        <v>233</v>
      </c>
      <c r="P9" s="3" t="s">
        <v>234</v>
      </c>
      <c r="Q9" s="3" t="s">
        <v>235</v>
      </c>
    </row>
    <row r="10" customFormat="false" ht="15" hidden="false" customHeight="true" outlineLevel="0" collapsed="false">
      <c r="A10" s="3" t="s">
        <v>236</v>
      </c>
      <c r="B10" s="3" t="s">
        <v>115</v>
      </c>
      <c r="C10" s="3" t="s">
        <v>237</v>
      </c>
      <c r="D10" s="3" t="s">
        <v>205</v>
      </c>
      <c r="E10" s="3" t="s">
        <v>187</v>
      </c>
      <c r="F10" s="3" t="n">
        <v>3</v>
      </c>
      <c r="G10" s="4" t="n">
        <v>46208</v>
      </c>
      <c r="H10" s="3" t="n">
        <v>10</v>
      </c>
      <c r="I10" s="4" t="n">
        <v>46218</v>
      </c>
      <c r="J10" s="4" t="n">
        <v>46216</v>
      </c>
      <c r="K10" s="4" t="n">
        <v>46220</v>
      </c>
      <c r="L10" s="3" t="s">
        <v>206</v>
      </c>
      <c r="M10" s="3" t="s">
        <v>194</v>
      </c>
      <c r="N10" s="3" t="s">
        <v>184</v>
      </c>
      <c r="O10" s="3" t="s">
        <v>238</v>
      </c>
      <c r="P10" s="3" t="s">
        <v>239</v>
      </c>
      <c r="Q10" s="3" t="s">
        <v>240</v>
      </c>
    </row>
    <row r="11" customFormat="false" ht="15" hidden="false" customHeight="true" outlineLevel="0" collapsed="false">
      <c r="A11" s="3" t="s">
        <v>241</v>
      </c>
      <c r="B11" s="3" t="s">
        <v>120</v>
      </c>
      <c r="C11" s="3" t="s">
        <v>242</v>
      </c>
      <c r="D11" s="3" t="s">
        <v>183</v>
      </c>
      <c r="E11" s="3" t="s">
        <v>184</v>
      </c>
      <c r="F11" s="3" t="n">
        <v>4</v>
      </c>
      <c r="G11" s="4" t="n">
        <v>46195</v>
      </c>
      <c r="H11" s="3" t="n">
        <v>23</v>
      </c>
      <c r="I11" s="4" t="n">
        <v>46211</v>
      </c>
      <c r="J11" s="4" t="n">
        <v>46216</v>
      </c>
      <c r="K11" s="4" t="n">
        <v>46220</v>
      </c>
      <c r="L11" s="3" t="s">
        <v>185</v>
      </c>
      <c r="M11" s="3" t="s">
        <v>186</v>
      </c>
      <c r="N11" s="3" t="s">
        <v>187</v>
      </c>
      <c r="O11" s="3" t="s">
        <v>243</v>
      </c>
      <c r="P11" s="3" t="s">
        <v>244</v>
      </c>
      <c r="Q11" s="3" t="s">
        <v>245</v>
      </c>
    </row>
    <row r="12" customFormat="false" ht="15" hidden="false" customHeight="true" outlineLevel="0" collapsed="false">
      <c r="A12" s="3" t="s">
        <v>246</v>
      </c>
      <c r="B12" s="3" t="s">
        <v>123</v>
      </c>
      <c r="C12" s="3" t="s">
        <v>247</v>
      </c>
      <c r="D12" s="3" t="s">
        <v>192</v>
      </c>
      <c r="E12" s="3" t="s">
        <v>187</v>
      </c>
      <c r="F12" s="3" t="n">
        <v>3</v>
      </c>
      <c r="G12" s="4" t="n">
        <v>46209</v>
      </c>
      <c r="H12" s="3" t="n">
        <v>9</v>
      </c>
      <c r="I12" s="4" t="n">
        <v>46219</v>
      </c>
      <c r="J12" s="4" t="n">
        <v>46216</v>
      </c>
      <c r="K12" s="4" t="n">
        <v>46223</v>
      </c>
      <c r="L12" s="3" t="s">
        <v>193</v>
      </c>
      <c r="M12" s="3" t="s">
        <v>194</v>
      </c>
      <c r="N12" s="3" t="s">
        <v>184</v>
      </c>
      <c r="O12" s="3" t="s">
        <v>248</v>
      </c>
      <c r="P12" s="3" t="s">
        <v>249</v>
      </c>
      <c r="Q12" s="3" t="s">
        <v>250</v>
      </c>
    </row>
    <row r="13" customFormat="false" ht="15" hidden="false" customHeight="true" outlineLevel="0" collapsed="false">
      <c r="A13" s="3" t="s">
        <v>251</v>
      </c>
      <c r="B13" s="3" t="s">
        <v>127</v>
      </c>
      <c r="C13" s="3" t="s">
        <v>252</v>
      </c>
      <c r="D13" s="3" t="s">
        <v>220</v>
      </c>
      <c r="E13" s="3" t="s">
        <v>184</v>
      </c>
      <c r="F13" s="3" t="n">
        <v>4</v>
      </c>
      <c r="G13" s="4" t="n">
        <v>46198</v>
      </c>
      <c r="H13" s="3" t="n">
        <v>20</v>
      </c>
      <c r="I13" s="4" t="n">
        <v>46210</v>
      </c>
      <c r="J13" s="4" t="n">
        <v>46216</v>
      </c>
      <c r="K13" s="4" t="n">
        <v>46219</v>
      </c>
      <c r="L13" s="3" t="s">
        <v>185</v>
      </c>
      <c r="M13" s="3" t="s">
        <v>186</v>
      </c>
      <c r="N13" s="3" t="s">
        <v>187</v>
      </c>
      <c r="O13" s="3" t="s">
        <v>253</v>
      </c>
      <c r="P13" s="3" t="s">
        <v>254</v>
      </c>
      <c r="Q13" s="3" t="s">
        <v>255</v>
      </c>
    </row>
    <row r="14" customFormat="false" ht="15" hidden="false" customHeight="true" outlineLevel="0" collapsed="false">
      <c r="A14" s="3" t="s">
        <v>256</v>
      </c>
      <c r="B14" s="3" t="s">
        <v>131</v>
      </c>
      <c r="C14" s="3" t="s">
        <v>257</v>
      </c>
      <c r="D14" s="3" t="s">
        <v>212</v>
      </c>
      <c r="E14" s="3" t="s">
        <v>258</v>
      </c>
      <c r="F14" s="3" t="n">
        <v>2</v>
      </c>
      <c r="G14" s="4" t="n">
        <v>46213</v>
      </c>
      <c r="H14" s="3" t="n">
        <v>5</v>
      </c>
      <c r="I14" s="4" t="n">
        <v>46225</v>
      </c>
      <c r="J14" s="4" t="n">
        <v>46217</v>
      </c>
      <c r="K14" s="4" t="n">
        <v>46224</v>
      </c>
      <c r="L14" s="3" t="s">
        <v>213</v>
      </c>
      <c r="M14" s="3" t="s">
        <v>214</v>
      </c>
      <c r="N14" s="3" t="s">
        <v>184</v>
      </c>
      <c r="O14" s="3" t="s">
        <v>259</v>
      </c>
      <c r="P14" s="3" t="s">
        <v>260</v>
      </c>
      <c r="Q14" s="3" t="s">
        <v>261</v>
      </c>
    </row>
    <row r="15" customFormat="false" ht="15" hidden="false" customHeight="true" outlineLevel="0" collapsed="false">
      <c r="A15" s="3" t="s">
        <v>262</v>
      </c>
      <c r="B15" s="3" t="s">
        <v>135</v>
      </c>
      <c r="C15" s="3" t="s">
        <v>263</v>
      </c>
      <c r="D15" s="3" t="s">
        <v>192</v>
      </c>
      <c r="E15" s="3" t="s">
        <v>184</v>
      </c>
      <c r="F15" s="3" t="n">
        <v>4</v>
      </c>
      <c r="G15" s="4" t="n">
        <v>46200</v>
      </c>
      <c r="H15" s="3" t="n">
        <v>18</v>
      </c>
      <c r="I15" s="4" t="n">
        <v>46211</v>
      </c>
      <c r="J15" s="4" t="n">
        <v>46216</v>
      </c>
      <c r="K15" s="4" t="n">
        <v>46221</v>
      </c>
      <c r="L15" s="3" t="s">
        <v>193</v>
      </c>
      <c r="M15" s="3" t="s">
        <v>194</v>
      </c>
      <c r="N15" s="3" t="s">
        <v>187</v>
      </c>
      <c r="O15" s="3" t="s">
        <v>264</v>
      </c>
      <c r="P15" s="3" t="s">
        <v>265</v>
      </c>
      <c r="Q15" s="3" t="s">
        <v>266</v>
      </c>
    </row>
    <row r="16" customFormat="false" ht="15" hidden="false" customHeight="true" outlineLevel="0" collapsed="false">
      <c r="A16" s="3" t="s">
        <v>267</v>
      </c>
      <c r="B16" s="3" t="s">
        <v>138</v>
      </c>
      <c r="C16" s="3" t="s">
        <v>268</v>
      </c>
      <c r="D16" s="3" t="s">
        <v>183</v>
      </c>
      <c r="E16" s="3" t="s">
        <v>227</v>
      </c>
      <c r="F16" s="3" t="n">
        <v>5</v>
      </c>
      <c r="G16" s="4" t="n">
        <v>46189</v>
      </c>
      <c r="H16" s="3" t="n">
        <v>29</v>
      </c>
      <c r="I16" s="4" t="n">
        <v>46206</v>
      </c>
      <c r="J16" s="4" t="n">
        <v>46216</v>
      </c>
      <c r="K16" s="4" t="n">
        <v>46220</v>
      </c>
      <c r="L16" s="3" t="s">
        <v>185</v>
      </c>
      <c r="M16" s="3" t="s">
        <v>186</v>
      </c>
      <c r="N16" s="3" t="s">
        <v>187</v>
      </c>
      <c r="O16" s="3" t="s">
        <v>269</v>
      </c>
      <c r="P16" s="3" t="s">
        <v>270</v>
      </c>
      <c r="Q16" s="3" t="s">
        <v>245</v>
      </c>
    </row>
    <row r="17" customFormat="false" ht="15" hidden="false" customHeight="true" outlineLevel="0" collapsed="false">
      <c r="A17" s="3" t="s">
        <v>271</v>
      </c>
      <c r="B17" s="3" t="s">
        <v>138</v>
      </c>
      <c r="C17" s="3" t="s">
        <v>268</v>
      </c>
      <c r="D17" s="3" t="s">
        <v>205</v>
      </c>
      <c r="E17" s="3" t="s">
        <v>187</v>
      </c>
      <c r="F17" s="3" t="n">
        <v>3</v>
      </c>
      <c r="G17" s="4" t="n">
        <v>46207</v>
      </c>
      <c r="H17" s="3" t="n">
        <v>11</v>
      </c>
      <c r="I17" s="4" t="n">
        <v>46218</v>
      </c>
      <c r="J17" s="4" t="n">
        <v>46216</v>
      </c>
      <c r="K17" s="4" t="n">
        <v>46221</v>
      </c>
      <c r="L17" s="3" t="s">
        <v>206</v>
      </c>
      <c r="M17" s="3" t="s">
        <v>194</v>
      </c>
      <c r="N17" s="3" t="s">
        <v>184</v>
      </c>
      <c r="O17" s="3" t="s">
        <v>272</v>
      </c>
      <c r="P17" s="3" t="s">
        <v>273</v>
      </c>
      <c r="Q17" s="3" t="s">
        <v>274</v>
      </c>
    </row>
    <row r="18" customFormat="false" ht="15" hidden="false" customHeight="true" outlineLevel="0" collapsed="false">
      <c r="A18" s="3" t="s">
        <v>275</v>
      </c>
      <c r="B18" s="3" t="s">
        <v>141</v>
      </c>
      <c r="C18" s="3" t="s">
        <v>276</v>
      </c>
      <c r="D18" s="3" t="s">
        <v>183</v>
      </c>
      <c r="E18" s="3" t="s">
        <v>187</v>
      </c>
      <c r="F18" s="3" t="n">
        <v>3</v>
      </c>
      <c r="G18" s="4" t="n">
        <v>46206</v>
      </c>
      <c r="H18" s="3" t="n">
        <v>12</v>
      </c>
      <c r="I18" s="4" t="n">
        <v>46219</v>
      </c>
      <c r="J18" s="4" t="n">
        <v>46216</v>
      </c>
      <c r="K18" s="4" t="n">
        <v>46223</v>
      </c>
      <c r="L18" s="3" t="s">
        <v>185</v>
      </c>
      <c r="M18" s="3" t="s">
        <v>194</v>
      </c>
      <c r="N18" s="3" t="s">
        <v>187</v>
      </c>
      <c r="O18" s="3" t="s">
        <v>277</v>
      </c>
      <c r="P18" s="3" t="s">
        <v>278</v>
      </c>
      <c r="Q18" s="3" t="s">
        <v>279</v>
      </c>
    </row>
    <row r="19" customFormat="false" ht="15" hidden="false" customHeight="true" outlineLevel="0" collapsed="false">
      <c r="A19" s="3" t="s">
        <v>280</v>
      </c>
      <c r="B19" s="3" t="s">
        <v>144</v>
      </c>
      <c r="C19" s="3" t="s">
        <v>281</v>
      </c>
      <c r="D19" s="3" t="s">
        <v>205</v>
      </c>
      <c r="E19" s="3" t="s">
        <v>227</v>
      </c>
      <c r="F19" s="3" t="n">
        <v>5</v>
      </c>
      <c r="G19" s="4" t="n">
        <v>46185</v>
      </c>
      <c r="H19" s="3" t="n">
        <v>33</v>
      </c>
      <c r="I19" s="4" t="n">
        <v>46201</v>
      </c>
      <c r="J19" s="4" t="n">
        <v>46216</v>
      </c>
      <c r="K19" s="4" t="n">
        <v>46222</v>
      </c>
      <c r="L19" s="3" t="s">
        <v>206</v>
      </c>
      <c r="M19" s="3" t="s">
        <v>207</v>
      </c>
      <c r="N19" s="3" t="s">
        <v>184</v>
      </c>
      <c r="O19" s="3" t="s">
        <v>282</v>
      </c>
      <c r="P19" s="3" t="s">
        <v>283</v>
      </c>
      <c r="Q19" s="3" t="s">
        <v>284</v>
      </c>
    </row>
    <row r="20" customFormat="false" ht="15" hidden="false" customHeight="true" outlineLevel="0" collapsed="false">
      <c r="A20" s="3" t="s">
        <v>285</v>
      </c>
      <c r="B20" s="3" t="s">
        <v>147</v>
      </c>
      <c r="C20" s="3" t="s">
        <v>286</v>
      </c>
      <c r="D20" s="3" t="s">
        <v>287</v>
      </c>
      <c r="E20" s="3" t="s">
        <v>184</v>
      </c>
      <c r="F20" s="3" t="n">
        <v>4</v>
      </c>
      <c r="G20" s="4" t="n">
        <v>46197</v>
      </c>
      <c r="H20" s="3" t="n">
        <v>21</v>
      </c>
      <c r="I20" s="4" t="n">
        <v>46212</v>
      </c>
      <c r="J20" s="4" t="n">
        <v>46216</v>
      </c>
      <c r="K20" s="4" t="n">
        <v>46225</v>
      </c>
      <c r="L20" s="3" t="s">
        <v>228</v>
      </c>
      <c r="M20" s="3" t="s">
        <v>186</v>
      </c>
      <c r="N20" s="3" t="s">
        <v>258</v>
      </c>
      <c r="O20" s="3" t="s">
        <v>288</v>
      </c>
      <c r="P20" s="3" t="s">
        <v>289</v>
      </c>
      <c r="Q20" s="3" t="s">
        <v>290</v>
      </c>
    </row>
    <row r="21" customFormat="false" ht="15" hidden="false" customHeight="true" outlineLevel="0" collapsed="false">
      <c r="A21" s="3" t="s">
        <v>291</v>
      </c>
      <c r="B21" s="3" t="s">
        <v>150</v>
      </c>
      <c r="C21" s="3" t="s">
        <v>292</v>
      </c>
      <c r="D21" s="3" t="s">
        <v>205</v>
      </c>
      <c r="E21" s="3" t="s">
        <v>258</v>
      </c>
      <c r="F21" s="3" t="n">
        <v>2</v>
      </c>
      <c r="G21" s="4" t="n">
        <v>46202</v>
      </c>
      <c r="H21" s="3" t="n">
        <v>16</v>
      </c>
      <c r="I21" s="4" t="n">
        <v>46212</v>
      </c>
      <c r="J21" s="4" t="n">
        <v>46214</v>
      </c>
      <c r="K21" s="4" t="n">
        <v>46214</v>
      </c>
      <c r="L21" s="3" t="s">
        <v>206</v>
      </c>
      <c r="M21" s="3" t="s">
        <v>154</v>
      </c>
      <c r="N21" s="3" t="s">
        <v>184</v>
      </c>
      <c r="O21" s="3" t="s">
        <v>293</v>
      </c>
      <c r="P21" s="3" t="s">
        <v>294</v>
      </c>
      <c r="Q21" s="3" t="s">
        <v>295</v>
      </c>
    </row>
    <row r="22" customFormat="false" ht="15" hidden="false" customHeight="true" outlineLevel="0" collapsed="false">
      <c r="A22" s="3" t="s">
        <v>296</v>
      </c>
      <c r="B22" s="3" t="s">
        <v>156</v>
      </c>
      <c r="C22" s="3" t="s">
        <v>297</v>
      </c>
      <c r="D22" s="3" t="s">
        <v>298</v>
      </c>
      <c r="E22" s="3" t="s">
        <v>227</v>
      </c>
      <c r="F22" s="3" t="n">
        <v>5</v>
      </c>
      <c r="G22" s="4" t="n">
        <v>46183</v>
      </c>
      <c r="H22" s="3" t="n">
        <v>35</v>
      </c>
      <c r="I22" s="4" t="n">
        <v>46201</v>
      </c>
      <c r="J22" s="4" t="n">
        <v>46217</v>
      </c>
      <c r="K22" s="4" t="n">
        <v>46227</v>
      </c>
      <c r="L22" s="3" t="s">
        <v>299</v>
      </c>
      <c r="M22" s="3" t="s">
        <v>194</v>
      </c>
      <c r="N22" s="3" t="s">
        <v>258</v>
      </c>
      <c r="O22" s="3" t="s">
        <v>300</v>
      </c>
      <c r="P22" s="3" t="s">
        <v>301</v>
      </c>
      <c r="Q22" s="3" t="s">
        <v>302</v>
      </c>
    </row>
    <row r="23" customFormat="false" ht="15" hidden="false" customHeight="true" outlineLevel="0" collapsed="false">
      <c r="A23" s="3" t="s">
        <v>303</v>
      </c>
      <c r="B23" s="3" t="s">
        <v>156</v>
      </c>
      <c r="C23" s="3" t="s">
        <v>297</v>
      </c>
      <c r="D23" s="3" t="s">
        <v>192</v>
      </c>
      <c r="E23" s="3" t="s">
        <v>184</v>
      </c>
      <c r="F23" s="3" t="n">
        <v>4</v>
      </c>
      <c r="G23" s="4" t="n">
        <v>46194</v>
      </c>
      <c r="H23" s="3" t="n">
        <v>24</v>
      </c>
      <c r="I23" s="4" t="n">
        <v>46210</v>
      </c>
      <c r="J23" s="4" t="n">
        <v>46216</v>
      </c>
      <c r="K23" s="4" t="n">
        <v>46226</v>
      </c>
      <c r="L23" s="3" t="s">
        <v>193</v>
      </c>
      <c r="M23" s="3" t="s">
        <v>194</v>
      </c>
      <c r="N23" s="3" t="s">
        <v>187</v>
      </c>
      <c r="O23" s="3" t="s">
        <v>304</v>
      </c>
      <c r="P23" s="3" t="s">
        <v>305</v>
      </c>
      <c r="Q23" s="3" t="s">
        <v>306</v>
      </c>
    </row>
    <row r="24" customFormat="false" ht="15" hidden="false" customHeight="true" outlineLevel="0" collapsed="false">
      <c r="A24" s="3" t="s">
        <v>307</v>
      </c>
      <c r="B24" s="3" t="s">
        <v>160</v>
      </c>
      <c r="C24" s="3" t="s">
        <v>308</v>
      </c>
      <c r="D24" s="3" t="s">
        <v>309</v>
      </c>
      <c r="E24" s="3" t="s">
        <v>258</v>
      </c>
      <c r="F24" s="3" t="n">
        <v>2</v>
      </c>
      <c r="G24" s="4" t="n">
        <v>46212</v>
      </c>
      <c r="H24" s="3" t="n">
        <v>6</v>
      </c>
      <c r="I24" s="4" t="n">
        <v>46227</v>
      </c>
      <c r="J24" s="4" t="n">
        <v>46217</v>
      </c>
      <c r="K24" s="4" t="n">
        <v>46267</v>
      </c>
      <c r="L24" s="3" t="s">
        <v>213</v>
      </c>
      <c r="M24" s="3" t="s">
        <v>310</v>
      </c>
      <c r="N24" s="3" t="s">
        <v>184</v>
      </c>
      <c r="O24" s="3" t="s">
        <v>311</v>
      </c>
      <c r="P24" s="3" t="s">
        <v>312</v>
      </c>
      <c r="Q24" s="3" t="s">
        <v>313</v>
      </c>
    </row>
  </sheetData>
  <autoFilter ref="A1:Q24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17.68"/>
    <col collapsed="false" customWidth="true" hidden="false" outlineLevel="0" max="3" min="3" style="1" width="12.08"/>
    <col collapsed="false" customWidth="true" hidden="false" outlineLevel="0" max="6" min="4" style="1" width="19.92"/>
    <col collapsed="false" customWidth="true" hidden="false" outlineLevel="0" max="7" min="7" style="1" width="14.33"/>
    <col collapsed="false" customWidth="true" hidden="false" outlineLevel="0" max="8" min="8" style="1" width="21.04"/>
  </cols>
  <sheetData>
    <row r="1" customFormat="false" ht="15" hidden="false" customHeight="true" outlineLevel="0" collapsed="false">
      <c r="A1" s="2" t="s">
        <v>74</v>
      </c>
      <c r="B1" s="2" t="s">
        <v>314</v>
      </c>
      <c r="C1" s="2" t="s">
        <v>166</v>
      </c>
      <c r="D1" s="2" t="s">
        <v>315</v>
      </c>
      <c r="E1" s="2" t="s">
        <v>316</v>
      </c>
      <c r="F1" s="2" t="s">
        <v>317</v>
      </c>
      <c r="G1" s="2" t="s">
        <v>318</v>
      </c>
      <c r="H1" s="2" t="s">
        <v>82</v>
      </c>
    </row>
    <row r="2" customFormat="false" ht="15" hidden="false" customHeight="true" outlineLevel="0" collapsed="false">
      <c r="A2" s="3" t="s">
        <v>86</v>
      </c>
      <c r="B2" s="3" t="s">
        <v>319</v>
      </c>
      <c r="C2" s="3" t="s">
        <v>182</v>
      </c>
      <c r="D2" s="7" t="n">
        <v>310000</v>
      </c>
      <c r="E2" s="7" t="n">
        <v>272000</v>
      </c>
      <c r="F2" s="7" t="n">
        <v>340000</v>
      </c>
      <c r="G2" s="8" t="n">
        <v>0.72</v>
      </c>
      <c r="H2" s="3" t="s">
        <v>91</v>
      </c>
    </row>
    <row r="3" customFormat="false" ht="15" hidden="false" customHeight="true" outlineLevel="0" collapsed="false">
      <c r="A3" s="3" t="s">
        <v>93</v>
      </c>
      <c r="B3" s="3" t="s">
        <v>320</v>
      </c>
      <c r="C3" s="3" t="s">
        <v>199</v>
      </c>
      <c r="D3" s="7" t="n">
        <v>205000</v>
      </c>
      <c r="E3" s="7" t="n">
        <v>184000</v>
      </c>
      <c r="F3" s="7" t="n">
        <v>220000</v>
      </c>
      <c r="G3" s="8" t="n">
        <v>0.68</v>
      </c>
      <c r="H3" s="3" t="s">
        <v>98</v>
      </c>
    </row>
    <row r="4" customFormat="false" ht="15" hidden="false" customHeight="true" outlineLevel="0" collapsed="false">
      <c r="A4" s="3" t="s">
        <v>100</v>
      </c>
      <c r="B4" s="3" t="s">
        <v>321</v>
      </c>
      <c r="C4" s="3" t="s">
        <v>204</v>
      </c>
      <c r="D4" s="7" t="n">
        <v>275000</v>
      </c>
      <c r="E4" s="7" t="n">
        <v>240000</v>
      </c>
      <c r="F4" s="7" t="n">
        <v>295000</v>
      </c>
      <c r="G4" s="8" t="n">
        <v>0.65</v>
      </c>
      <c r="H4" s="3" t="s">
        <v>91</v>
      </c>
    </row>
    <row r="5" customFormat="false" ht="15" hidden="false" customHeight="true" outlineLevel="0" collapsed="false">
      <c r="A5" s="3" t="s">
        <v>105</v>
      </c>
      <c r="B5" s="3" t="s">
        <v>322</v>
      </c>
      <c r="C5" s="3" t="s">
        <v>219</v>
      </c>
      <c r="D5" s="7" t="n">
        <v>142000</v>
      </c>
      <c r="E5" s="7" t="n">
        <v>129000</v>
      </c>
      <c r="F5" s="7" t="n">
        <v>150000</v>
      </c>
      <c r="G5" s="8" t="n">
        <v>0.7</v>
      </c>
      <c r="H5" s="3" t="s">
        <v>98</v>
      </c>
    </row>
    <row r="6" customFormat="false" ht="15" hidden="false" customHeight="true" outlineLevel="0" collapsed="false">
      <c r="A6" s="3" t="s">
        <v>110</v>
      </c>
      <c r="B6" s="3" t="s">
        <v>323</v>
      </c>
      <c r="C6" s="3" t="s">
        <v>225</v>
      </c>
      <c r="D6" s="7" t="n">
        <v>390000</v>
      </c>
      <c r="E6" s="7" t="n">
        <v>318000</v>
      </c>
      <c r="F6" s="7" t="n">
        <v>410000</v>
      </c>
      <c r="G6" s="8" t="n">
        <v>0.58</v>
      </c>
      <c r="H6" s="3" t="s">
        <v>91</v>
      </c>
    </row>
    <row r="7" customFormat="false" ht="15" hidden="false" customHeight="true" outlineLevel="0" collapsed="false">
      <c r="A7" s="3" t="s">
        <v>115</v>
      </c>
      <c r="B7" s="3" t="s">
        <v>324</v>
      </c>
      <c r="C7" s="3" t="s">
        <v>237</v>
      </c>
      <c r="D7" s="7" t="n">
        <v>76000</v>
      </c>
      <c r="E7" s="7" t="n">
        <v>71000</v>
      </c>
      <c r="F7" s="7" t="n">
        <v>82000</v>
      </c>
      <c r="G7" s="8" t="n">
        <v>0.64</v>
      </c>
      <c r="H7" s="3" t="s">
        <v>118</v>
      </c>
    </row>
    <row r="8" customFormat="false" ht="15" hidden="false" customHeight="true" outlineLevel="0" collapsed="false">
      <c r="A8" s="3" t="s">
        <v>120</v>
      </c>
      <c r="B8" s="3" t="s">
        <v>325</v>
      </c>
      <c r="C8" s="3" t="s">
        <v>242</v>
      </c>
      <c r="D8" s="7" t="n">
        <v>246000</v>
      </c>
      <c r="E8" s="7" t="n">
        <v>206000</v>
      </c>
      <c r="F8" s="7" t="n">
        <v>260000</v>
      </c>
      <c r="G8" s="8" t="n">
        <v>0.61</v>
      </c>
      <c r="H8" s="3" t="s">
        <v>91</v>
      </c>
    </row>
    <row r="9" customFormat="false" ht="15" hidden="false" customHeight="true" outlineLevel="0" collapsed="false">
      <c r="A9" s="3" t="s">
        <v>123</v>
      </c>
      <c r="B9" s="3" t="s">
        <v>326</v>
      </c>
      <c r="C9" s="3" t="s">
        <v>247</v>
      </c>
      <c r="D9" s="7" t="n">
        <v>98000</v>
      </c>
      <c r="E9" s="7" t="n">
        <v>88000</v>
      </c>
      <c r="F9" s="7" t="n">
        <v>110000</v>
      </c>
      <c r="G9" s="8" t="n">
        <v>0.6</v>
      </c>
      <c r="H9" s="3" t="s">
        <v>118</v>
      </c>
    </row>
    <row r="10" customFormat="false" ht="15" hidden="false" customHeight="true" outlineLevel="0" collapsed="false">
      <c r="A10" s="3" t="s">
        <v>127</v>
      </c>
      <c r="B10" s="3" t="s">
        <v>327</v>
      </c>
      <c r="C10" s="3" t="s">
        <v>252</v>
      </c>
      <c r="D10" s="7" t="n">
        <v>174000</v>
      </c>
      <c r="E10" s="7" t="n">
        <v>149000</v>
      </c>
      <c r="F10" s="7" t="n">
        <v>190000</v>
      </c>
      <c r="G10" s="8" t="n">
        <v>0.63</v>
      </c>
      <c r="H10" s="3" t="s">
        <v>98</v>
      </c>
    </row>
    <row r="11" customFormat="false" ht="15" hidden="false" customHeight="true" outlineLevel="0" collapsed="false">
      <c r="A11" s="3" t="s">
        <v>131</v>
      </c>
      <c r="B11" s="3" t="s">
        <v>328</v>
      </c>
      <c r="C11" s="3" t="s">
        <v>257</v>
      </c>
      <c r="D11" s="7" t="n">
        <v>72000</v>
      </c>
      <c r="E11" s="7" t="n">
        <v>70000</v>
      </c>
      <c r="F11" s="7" t="n">
        <v>75000</v>
      </c>
      <c r="G11" s="8" t="n">
        <v>0.59</v>
      </c>
      <c r="H11" s="3" t="s">
        <v>118</v>
      </c>
    </row>
    <row r="12" customFormat="false" ht="15" hidden="false" customHeight="true" outlineLevel="0" collapsed="false">
      <c r="A12" s="3" t="s">
        <v>135</v>
      </c>
      <c r="B12" s="3" t="s">
        <v>329</v>
      </c>
      <c r="C12" s="3" t="s">
        <v>263</v>
      </c>
      <c r="D12" s="7" t="n">
        <v>160000</v>
      </c>
      <c r="E12" s="7" t="n">
        <v>140000</v>
      </c>
      <c r="F12" s="7" t="n">
        <v>175000</v>
      </c>
      <c r="G12" s="8" t="n">
        <v>0.62</v>
      </c>
      <c r="H12" s="3" t="s">
        <v>98</v>
      </c>
    </row>
    <row r="13" customFormat="false" ht="15" hidden="false" customHeight="true" outlineLevel="0" collapsed="false">
      <c r="A13" s="3" t="s">
        <v>138</v>
      </c>
      <c r="B13" s="3" t="s">
        <v>330</v>
      </c>
      <c r="C13" s="3" t="s">
        <v>268</v>
      </c>
      <c r="D13" s="7" t="n">
        <v>290000</v>
      </c>
      <c r="E13" s="7" t="n">
        <v>238000</v>
      </c>
      <c r="F13" s="7" t="n">
        <v>305000</v>
      </c>
      <c r="G13" s="8" t="n">
        <v>0.57</v>
      </c>
      <c r="H13" s="3" t="s">
        <v>91</v>
      </c>
    </row>
    <row r="14" customFormat="false" ht="15" hidden="false" customHeight="true" outlineLevel="0" collapsed="false">
      <c r="A14" s="3" t="s">
        <v>141</v>
      </c>
      <c r="B14" s="3" t="s">
        <v>331</v>
      </c>
      <c r="C14" s="3" t="s">
        <v>276</v>
      </c>
      <c r="D14" s="7" t="n">
        <v>150000</v>
      </c>
      <c r="E14" s="7" t="n">
        <v>138000</v>
      </c>
      <c r="F14" s="7" t="n">
        <v>165000</v>
      </c>
      <c r="G14" s="8" t="n">
        <v>0.55</v>
      </c>
      <c r="H14" s="3" t="s">
        <v>98</v>
      </c>
    </row>
    <row r="15" customFormat="false" ht="15" hidden="false" customHeight="true" outlineLevel="0" collapsed="false">
      <c r="A15" s="3" t="s">
        <v>144</v>
      </c>
      <c r="B15" s="3" t="s">
        <v>332</v>
      </c>
      <c r="C15" s="3" t="s">
        <v>281</v>
      </c>
      <c r="D15" s="7" t="n">
        <v>342000</v>
      </c>
      <c r="E15" s="7" t="n">
        <v>282000</v>
      </c>
      <c r="F15" s="7" t="n">
        <v>360000</v>
      </c>
      <c r="G15" s="8" t="n">
        <v>0.5</v>
      </c>
      <c r="H15" s="3" t="s">
        <v>91</v>
      </c>
    </row>
    <row r="16" customFormat="false" ht="15" hidden="false" customHeight="true" outlineLevel="0" collapsed="false">
      <c r="A16" s="3" t="s">
        <v>147</v>
      </c>
      <c r="B16" s="3" t="s">
        <v>333</v>
      </c>
      <c r="C16" s="3" t="s">
        <v>286</v>
      </c>
      <c r="D16" s="7" t="n">
        <v>198000</v>
      </c>
      <c r="E16" s="7" t="n">
        <v>160000</v>
      </c>
      <c r="F16" s="7" t="n">
        <v>210000</v>
      </c>
      <c r="G16" s="8" t="n">
        <v>0.54</v>
      </c>
      <c r="H16" s="3" t="s">
        <v>98</v>
      </c>
    </row>
    <row r="17" customFormat="false" ht="15" hidden="false" customHeight="true" outlineLevel="0" collapsed="false">
      <c r="A17" s="3" t="s">
        <v>150</v>
      </c>
      <c r="B17" s="3" t="s">
        <v>334</v>
      </c>
      <c r="C17" s="3" t="s">
        <v>292</v>
      </c>
      <c r="D17" s="7" t="n">
        <v>58000</v>
      </c>
      <c r="E17" s="7" t="n">
        <v>60000</v>
      </c>
      <c r="F17" s="7" t="n">
        <v>62000</v>
      </c>
      <c r="G17" s="8" t="n">
        <v>1</v>
      </c>
      <c r="H17" s="3" t="s">
        <v>154</v>
      </c>
    </row>
    <row r="18" customFormat="false" ht="15" hidden="false" customHeight="true" outlineLevel="0" collapsed="false">
      <c r="A18" s="3" t="s">
        <v>156</v>
      </c>
      <c r="B18" s="3" t="s">
        <v>335</v>
      </c>
      <c r="C18" s="3" t="s">
        <v>297</v>
      </c>
      <c r="D18" s="7" t="n">
        <v>500000</v>
      </c>
      <c r="E18" s="7" t="n">
        <v>390000</v>
      </c>
      <c r="F18" s="7" t="n">
        <v>520000</v>
      </c>
      <c r="G18" s="8" t="n">
        <v>0.45</v>
      </c>
      <c r="H18" s="3" t="s">
        <v>91</v>
      </c>
    </row>
    <row r="19" customFormat="false" ht="15" hidden="false" customHeight="true" outlineLevel="0" collapsed="false">
      <c r="A19" s="3" t="s">
        <v>160</v>
      </c>
      <c r="B19" s="3" t="s">
        <v>336</v>
      </c>
      <c r="C19" s="3" t="s">
        <v>308</v>
      </c>
      <c r="D19" s="7" t="n">
        <v>124000</v>
      </c>
      <c r="E19" s="7" t="n">
        <v>118000</v>
      </c>
      <c r="F19" s="7" t="n">
        <v>135000</v>
      </c>
      <c r="G19" s="8" t="n">
        <v>0.5</v>
      </c>
      <c r="H19" s="3" t="s">
        <v>118</v>
      </c>
    </row>
  </sheetData>
  <autoFilter ref="A1:H19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.2"/>
    <col collapsed="false" customWidth="true" hidden="false" outlineLevel="0" max="3" min="3" style="1" width="32.24"/>
    <col collapsed="false" customWidth="true" hidden="false" outlineLevel="0" max="4" min="4" style="1" width="23.28"/>
    <col collapsed="false" customWidth="true" hidden="false" outlineLevel="0" max="5" min="5" style="1" width="34.48"/>
    <col collapsed="false" customWidth="true" hidden="false" outlineLevel="0" max="6" min="6" style="1" width="26.64"/>
    <col collapsed="false" customWidth="true" hidden="false" outlineLevel="0" max="7" min="7" style="1" width="22.16"/>
    <col collapsed="false" customWidth="true" hidden="false" outlineLevel="0" max="8" min="8" style="1" width="28.88"/>
    <col collapsed="false" customWidth="true" hidden="false" outlineLevel="0" max="9" min="9" style="1" width="25.52"/>
    <col collapsed="false" customWidth="true" hidden="false" outlineLevel="0" max="10" min="10" style="1" width="11"/>
    <col collapsed="false" customWidth="true" hidden="false" outlineLevel="0" max="11" min="11" style="1" width="42.34"/>
    <col collapsed="false" customWidth="true" hidden="false" outlineLevel="0" max="12" min="12" style="1" width="52.4"/>
    <col collapsed="false" customWidth="true" hidden="false" outlineLevel="0" max="14" min="13" style="1" width="15.44"/>
  </cols>
  <sheetData>
    <row r="1" customFormat="false" ht="15" hidden="false" customHeight="true" outlineLevel="0" collapsed="false">
      <c r="A1" s="2" t="s">
        <v>337</v>
      </c>
      <c r="B1" s="2" t="s">
        <v>74</v>
      </c>
      <c r="C1" s="2" t="s">
        <v>75</v>
      </c>
      <c r="D1" s="2" t="s">
        <v>338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  <c r="L1" s="2" t="s">
        <v>346</v>
      </c>
      <c r="M1" s="2" t="s">
        <v>78</v>
      </c>
      <c r="N1" s="2" t="s">
        <v>347</v>
      </c>
    </row>
    <row r="2" customFormat="false" ht="15" hidden="false" customHeight="true" outlineLevel="0" collapsed="false">
      <c r="A2" s="3" t="s">
        <v>348</v>
      </c>
      <c r="B2" s="3" t="s">
        <v>86</v>
      </c>
      <c r="C2" s="3" t="s">
        <v>87</v>
      </c>
      <c r="D2" s="3" t="s">
        <v>349</v>
      </c>
      <c r="E2" s="3" t="s">
        <v>350</v>
      </c>
      <c r="F2" s="3" t="s">
        <v>351</v>
      </c>
      <c r="G2" s="3" t="s">
        <v>352</v>
      </c>
      <c r="H2" s="3" t="s">
        <v>353</v>
      </c>
      <c r="I2" s="3" t="s">
        <v>354</v>
      </c>
      <c r="J2" s="3" t="s">
        <v>355</v>
      </c>
      <c r="K2" s="3" t="s">
        <v>356</v>
      </c>
      <c r="L2" s="3" t="s">
        <v>357</v>
      </c>
      <c r="M2" s="3" t="s">
        <v>90</v>
      </c>
      <c r="N2" s="3" t="s">
        <v>113</v>
      </c>
    </row>
    <row r="3" customFormat="false" ht="15" hidden="false" customHeight="true" outlineLevel="0" collapsed="false">
      <c r="A3" s="3" t="s">
        <v>358</v>
      </c>
      <c r="B3" s="3" t="s">
        <v>86</v>
      </c>
      <c r="C3" s="3" t="s">
        <v>87</v>
      </c>
      <c r="D3" s="3" t="s">
        <v>359</v>
      </c>
      <c r="E3" s="3" t="s">
        <v>360</v>
      </c>
      <c r="F3" s="3" t="s">
        <v>361</v>
      </c>
      <c r="G3" s="3" t="s">
        <v>362</v>
      </c>
      <c r="H3" s="3" t="s">
        <v>353</v>
      </c>
      <c r="I3" s="3" t="s">
        <v>363</v>
      </c>
      <c r="J3" s="3" t="s">
        <v>355</v>
      </c>
      <c r="K3" s="3" t="s">
        <v>356</v>
      </c>
      <c r="L3" s="3" t="s">
        <v>364</v>
      </c>
      <c r="M3" s="3" t="s">
        <v>90</v>
      </c>
      <c r="N3" s="3" t="s">
        <v>113</v>
      </c>
    </row>
    <row r="4" customFormat="false" ht="15" hidden="false" customHeight="true" outlineLevel="0" collapsed="false">
      <c r="A4" s="3" t="s">
        <v>365</v>
      </c>
      <c r="B4" s="3" t="s">
        <v>93</v>
      </c>
      <c r="C4" s="3" t="s">
        <v>94</v>
      </c>
      <c r="D4" s="3" t="s">
        <v>366</v>
      </c>
      <c r="E4" s="3" t="s">
        <v>367</v>
      </c>
      <c r="F4" s="3" t="s">
        <v>351</v>
      </c>
      <c r="G4" s="3" t="s">
        <v>352</v>
      </c>
      <c r="H4" s="3" t="s">
        <v>353</v>
      </c>
      <c r="I4" s="3" t="s">
        <v>363</v>
      </c>
      <c r="J4" s="3" t="s">
        <v>368</v>
      </c>
      <c r="K4" s="3" t="s">
        <v>369</v>
      </c>
      <c r="L4" s="3" t="s">
        <v>370</v>
      </c>
      <c r="M4" s="3" t="s">
        <v>97</v>
      </c>
      <c r="N4" s="3" t="s">
        <v>90</v>
      </c>
    </row>
    <row r="5" customFormat="false" ht="15" hidden="false" customHeight="true" outlineLevel="0" collapsed="false">
      <c r="A5" s="3" t="s">
        <v>371</v>
      </c>
      <c r="B5" s="3" t="s">
        <v>93</v>
      </c>
      <c r="C5" s="3" t="s">
        <v>94</v>
      </c>
      <c r="D5" s="3" t="s">
        <v>372</v>
      </c>
      <c r="E5" s="3" t="s">
        <v>373</v>
      </c>
      <c r="F5" s="3" t="s">
        <v>361</v>
      </c>
      <c r="G5" s="3" t="s">
        <v>362</v>
      </c>
      <c r="H5" s="3" t="s">
        <v>353</v>
      </c>
      <c r="I5" s="3" t="s">
        <v>363</v>
      </c>
      <c r="J5" s="3" t="s">
        <v>355</v>
      </c>
      <c r="K5" s="3" t="s">
        <v>356</v>
      </c>
      <c r="L5" s="3" t="s">
        <v>364</v>
      </c>
      <c r="M5" s="3" t="s">
        <v>97</v>
      </c>
      <c r="N5" s="3" t="s">
        <v>90</v>
      </c>
    </row>
    <row r="6" customFormat="false" ht="15" hidden="false" customHeight="true" outlineLevel="0" collapsed="false">
      <c r="A6" s="3" t="s">
        <v>374</v>
      </c>
      <c r="B6" s="3" t="s">
        <v>100</v>
      </c>
      <c r="C6" s="3" t="s">
        <v>101</v>
      </c>
      <c r="D6" s="3" t="s">
        <v>375</v>
      </c>
      <c r="E6" s="3" t="s">
        <v>376</v>
      </c>
      <c r="F6" s="3" t="s">
        <v>351</v>
      </c>
      <c r="G6" s="3" t="s">
        <v>352</v>
      </c>
      <c r="H6" s="3" t="s">
        <v>353</v>
      </c>
      <c r="I6" s="3" t="s">
        <v>377</v>
      </c>
      <c r="J6" s="3" t="s">
        <v>378</v>
      </c>
      <c r="K6" s="3" t="s">
        <v>379</v>
      </c>
      <c r="L6" s="3" t="s">
        <v>380</v>
      </c>
      <c r="M6" s="3" t="s">
        <v>103</v>
      </c>
      <c r="N6" s="3" t="s">
        <v>97</v>
      </c>
    </row>
    <row r="7" customFormat="false" ht="15" hidden="false" customHeight="true" outlineLevel="0" collapsed="false">
      <c r="A7" s="3" t="s">
        <v>381</v>
      </c>
      <c r="B7" s="3" t="s">
        <v>100</v>
      </c>
      <c r="C7" s="3" t="s">
        <v>101</v>
      </c>
      <c r="D7" s="3" t="s">
        <v>382</v>
      </c>
      <c r="E7" s="3" t="s">
        <v>383</v>
      </c>
      <c r="F7" s="3" t="s">
        <v>361</v>
      </c>
      <c r="G7" s="3" t="s">
        <v>362</v>
      </c>
      <c r="H7" s="3" t="s">
        <v>353</v>
      </c>
      <c r="I7" s="3" t="s">
        <v>363</v>
      </c>
      <c r="J7" s="3" t="s">
        <v>355</v>
      </c>
      <c r="K7" s="3" t="s">
        <v>356</v>
      </c>
      <c r="L7" s="3" t="s">
        <v>364</v>
      </c>
      <c r="M7" s="3" t="s">
        <v>103</v>
      </c>
      <c r="N7" s="3" t="s">
        <v>97</v>
      </c>
    </row>
    <row r="8" customFormat="false" ht="15" hidden="false" customHeight="true" outlineLevel="0" collapsed="false">
      <c r="A8" s="3" t="s">
        <v>384</v>
      </c>
      <c r="B8" s="3" t="s">
        <v>100</v>
      </c>
      <c r="C8" s="3" t="s">
        <v>101</v>
      </c>
      <c r="D8" s="3" t="s">
        <v>385</v>
      </c>
      <c r="E8" s="3" t="s">
        <v>386</v>
      </c>
      <c r="F8" s="3" t="s">
        <v>386</v>
      </c>
      <c r="G8" s="3" t="s">
        <v>362</v>
      </c>
      <c r="H8" s="3" t="s">
        <v>387</v>
      </c>
      <c r="I8" s="3" t="s">
        <v>363</v>
      </c>
      <c r="J8" s="3" t="s">
        <v>378</v>
      </c>
      <c r="K8" s="3" t="s">
        <v>356</v>
      </c>
      <c r="L8" s="3" t="s">
        <v>388</v>
      </c>
      <c r="M8" s="3" t="s">
        <v>103</v>
      </c>
      <c r="N8" s="3" t="s">
        <v>97</v>
      </c>
    </row>
    <row r="9" customFormat="false" ht="15" hidden="false" customHeight="true" outlineLevel="0" collapsed="false">
      <c r="A9" s="3" t="s">
        <v>389</v>
      </c>
      <c r="B9" s="3" t="s">
        <v>105</v>
      </c>
      <c r="C9" s="3" t="s">
        <v>106</v>
      </c>
      <c r="D9" s="3" t="s">
        <v>390</v>
      </c>
      <c r="E9" s="3" t="s">
        <v>391</v>
      </c>
      <c r="F9" s="3" t="s">
        <v>351</v>
      </c>
      <c r="G9" s="3" t="s">
        <v>352</v>
      </c>
      <c r="H9" s="3" t="s">
        <v>353</v>
      </c>
      <c r="I9" s="3" t="s">
        <v>363</v>
      </c>
      <c r="J9" s="3" t="s">
        <v>378</v>
      </c>
      <c r="K9" s="3" t="s">
        <v>356</v>
      </c>
      <c r="L9" s="3" t="s">
        <v>392</v>
      </c>
      <c r="M9" s="3" t="s">
        <v>108</v>
      </c>
      <c r="N9" s="3" t="s">
        <v>103</v>
      </c>
    </row>
    <row r="10" customFormat="false" ht="15" hidden="false" customHeight="true" outlineLevel="0" collapsed="false">
      <c r="A10" s="3" t="s">
        <v>393</v>
      </c>
      <c r="B10" s="3" t="s">
        <v>105</v>
      </c>
      <c r="C10" s="3" t="s">
        <v>106</v>
      </c>
      <c r="D10" s="3" t="s">
        <v>394</v>
      </c>
      <c r="E10" s="3" t="s">
        <v>395</v>
      </c>
      <c r="F10" s="3" t="s">
        <v>361</v>
      </c>
      <c r="G10" s="3" t="s">
        <v>362</v>
      </c>
      <c r="H10" s="3" t="s">
        <v>353</v>
      </c>
      <c r="I10" s="3" t="s">
        <v>363</v>
      </c>
      <c r="J10" s="3" t="s">
        <v>355</v>
      </c>
      <c r="K10" s="3" t="s">
        <v>356</v>
      </c>
      <c r="L10" s="3" t="s">
        <v>364</v>
      </c>
      <c r="M10" s="3" t="s">
        <v>108</v>
      </c>
      <c r="N10" s="3" t="s">
        <v>103</v>
      </c>
    </row>
    <row r="11" customFormat="false" ht="15" hidden="false" customHeight="true" outlineLevel="0" collapsed="false">
      <c r="A11" s="3" t="s">
        <v>396</v>
      </c>
      <c r="B11" s="3" t="s">
        <v>110</v>
      </c>
      <c r="C11" s="3" t="s">
        <v>111</v>
      </c>
      <c r="D11" s="3" t="s">
        <v>397</v>
      </c>
      <c r="E11" s="3" t="s">
        <v>398</v>
      </c>
      <c r="F11" s="3" t="s">
        <v>351</v>
      </c>
      <c r="G11" s="3" t="s">
        <v>352</v>
      </c>
      <c r="H11" s="3" t="s">
        <v>353</v>
      </c>
      <c r="I11" s="3" t="s">
        <v>377</v>
      </c>
      <c r="J11" s="3" t="s">
        <v>368</v>
      </c>
      <c r="K11" s="3" t="s">
        <v>399</v>
      </c>
      <c r="L11" s="3" t="s">
        <v>400</v>
      </c>
      <c r="M11" s="3" t="s">
        <v>113</v>
      </c>
      <c r="N11" s="3" t="s">
        <v>108</v>
      </c>
    </row>
    <row r="12" customFormat="false" ht="15" hidden="false" customHeight="true" outlineLevel="0" collapsed="false">
      <c r="A12" s="3" t="s">
        <v>401</v>
      </c>
      <c r="B12" s="3" t="s">
        <v>110</v>
      </c>
      <c r="C12" s="3" t="s">
        <v>111</v>
      </c>
      <c r="D12" s="3" t="s">
        <v>402</v>
      </c>
      <c r="E12" s="3" t="s">
        <v>403</v>
      </c>
      <c r="F12" s="3" t="s">
        <v>361</v>
      </c>
      <c r="G12" s="3" t="s">
        <v>362</v>
      </c>
      <c r="H12" s="3" t="s">
        <v>353</v>
      </c>
      <c r="I12" s="3" t="s">
        <v>363</v>
      </c>
      <c r="J12" s="3" t="s">
        <v>355</v>
      </c>
      <c r="K12" s="3" t="s">
        <v>356</v>
      </c>
      <c r="L12" s="3" t="s">
        <v>364</v>
      </c>
      <c r="M12" s="3" t="s">
        <v>113</v>
      </c>
      <c r="N12" s="3" t="s">
        <v>108</v>
      </c>
    </row>
    <row r="13" customFormat="false" ht="15" hidden="false" customHeight="true" outlineLevel="0" collapsed="false">
      <c r="A13" s="3" t="s">
        <v>404</v>
      </c>
      <c r="B13" s="3" t="s">
        <v>115</v>
      </c>
      <c r="C13" s="3" t="s">
        <v>116</v>
      </c>
      <c r="D13" s="3" t="s">
        <v>405</v>
      </c>
      <c r="E13" s="3" t="s">
        <v>406</v>
      </c>
      <c r="F13" s="3" t="s">
        <v>351</v>
      </c>
      <c r="G13" s="3" t="s">
        <v>352</v>
      </c>
      <c r="H13" s="3" t="s">
        <v>353</v>
      </c>
      <c r="I13" s="3" t="s">
        <v>407</v>
      </c>
      <c r="J13" s="3" t="s">
        <v>355</v>
      </c>
      <c r="K13" s="3" t="s">
        <v>356</v>
      </c>
      <c r="L13" s="3" t="s">
        <v>408</v>
      </c>
      <c r="M13" s="3" t="s">
        <v>90</v>
      </c>
      <c r="N13" s="3" t="s">
        <v>103</v>
      </c>
    </row>
    <row r="14" customFormat="false" ht="15" hidden="false" customHeight="true" outlineLevel="0" collapsed="false">
      <c r="A14" s="3" t="s">
        <v>409</v>
      </c>
      <c r="B14" s="3" t="s">
        <v>115</v>
      </c>
      <c r="C14" s="3" t="s">
        <v>116</v>
      </c>
      <c r="D14" s="3" t="s">
        <v>394</v>
      </c>
      <c r="E14" s="3" t="s">
        <v>395</v>
      </c>
      <c r="F14" s="3" t="s">
        <v>361</v>
      </c>
      <c r="G14" s="3" t="s">
        <v>362</v>
      </c>
      <c r="H14" s="3" t="s">
        <v>353</v>
      </c>
      <c r="I14" s="3" t="s">
        <v>363</v>
      </c>
      <c r="J14" s="3" t="s">
        <v>355</v>
      </c>
      <c r="K14" s="3" t="s">
        <v>356</v>
      </c>
      <c r="L14" s="3" t="s">
        <v>364</v>
      </c>
      <c r="M14" s="3" t="s">
        <v>90</v>
      </c>
      <c r="N14" s="3" t="s">
        <v>103</v>
      </c>
    </row>
    <row r="15" customFormat="false" ht="15" hidden="false" customHeight="true" outlineLevel="0" collapsed="false">
      <c r="A15" s="3" t="s">
        <v>410</v>
      </c>
      <c r="B15" s="3" t="s">
        <v>115</v>
      </c>
      <c r="C15" s="3" t="s">
        <v>116</v>
      </c>
      <c r="D15" s="3" t="s">
        <v>411</v>
      </c>
      <c r="E15" s="3" t="s">
        <v>386</v>
      </c>
      <c r="F15" s="3" t="s">
        <v>386</v>
      </c>
      <c r="G15" s="3" t="s">
        <v>362</v>
      </c>
      <c r="H15" s="3" t="s">
        <v>387</v>
      </c>
      <c r="I15" s="3" t="s">
        <v>363</v>
      </c>
      <c r="J15" s="3" t="s">
        <v>355</v>
      </c>
      <c r="K15" s="3" t="s">
        <v>356</v>
      </c>
      <c r="L15" s="3" t="s">
        <v>388</v>
      </c>
      <c r="M15" s="3" t="s">
        <v>90</v>
      </c>
      <c r="N15" s="3" t="s">
        <v>103</v>
      </c>
    </row>
    <row r="16" customFormat="false" ht="15" hidden="false" customHeight="true" outlineLevel="0" collapsed="false">
      <c r="A16" s="3" t="s">
        <v>412</v>
      </c>
      <c r="B16" s="3" t="s">
        <v>120</v>
      </c>
      <c r="C16" s="3" t="s">
        <v>121</v>
      </c>
      <c r="D16" s="3" t="s">
        <v>413</v>
      </c>
      <c r="E16" s="3" t="s">
        <v>414</v>
      </c>
      <c r="F16" s="3" t="s">
        <v>351</v>
      </c>
      <c r="G16" s="3" t="s">
        <v>352</v>
      </c>
      <c r="H16" s="3" t="s">
        <v>353</v>
      </c>
      <c r="I16" s="3" t="s">
        <v>363</v>
      </c>
      <c r="J16" s="3" t="s">
        <v>355</v>
      </c>
      <c r="K16" s="3" t="s">
        <v>356</v>
      </c>
      <c r="L16" s="3" t="s">
        <v>415</v>
      </c>
      <c r="M16" s="3" t="s">
        <v>97</v>
      </c>
      <c r="N16" s="3" t="s">
        <v>113</v>
      </c>
    </row>
    <row r="17" customFormat="false" ht="15" hidden="false" customHeight="true" outlineLevel="0" collapsed="false">
      <c r="A17" s="3" t="s">
        <v>416</v>
      </c>
      <c r="B17" s="3" t="s">
        <v>120</v>
      </c>
      <c r="C17" s="3" t="s">
        <v>121</v>
      </c>
      <c r="D17" s="3" t="s">
        <v>372</v>
      </c>
      <c r="E17" s="3" t="s">
        <v>373</v>
      </c>
      <c r="F17" s="3" t="s">
        <v>361</v>
      </c>
      <c r="G17" s="3" t="s">
        <v>362</v>
      </c>
      <c r="H17" s="3" t="s">
        <v>353</v>
      </c>
      <c r="I17" s="3" t="s">
        <v>363</v>
      </c>
      <c r="J17" s="3" t="s">
        <v>355</v>
      </c>
      <c r="K17" s="3" t="s">
        <v>356</v>
      </c>
      <c r="L17" s="3" t="s">
        <v>364</v>
      </c>
      <c r="M17" s="3" t="s">
        <v>97</v>
      </c>
      <c r="N17" s="3" t="s">
        <v>113</v>
      </c>
    </row>
    <row r="18" customFormat="false" ht="15" hidden="false" customHeight="true" outlineLevel="0" collapsed="false">
      <c r="A18" s="3" t="s">
        <v>417</v>
      </c>
      <c r="B18" s="3" t="s">
        <v>123</v>
      </c>
      <c r="C18" s="3" t="s">
        <v>124</v>
      </c>
      <c r="D18" s="3" t="s">
        <v>418</v>
      </c>
      <c r="E18" s="3" t="s">
        <v>419</v>
      </c>
      <c r="F18" s="3" t="s">
        <v>351</v>
      </c>
      <c r="G18" s="3" t="s">
        <v>352</v>
      </c>
      <c r="H18" s="3" t="s">
        <v>353</v>
      </c>
      <c r="I18" s="3" t="s">
        <v>363</v>
      </c>
      <c r="J18" s="3" t="s">
        <v>420</v>
      </c>
      <c r="K18" s="3" t="s">
        <v>421</v>
      </c>
      <c r="L18" s="3" t="s">
        <v>422</v>
      </c>
      <c r="M18" s="3" t="s">
        <v>103</v>
      </c>
      <c r="N18" s="3" t="s">
        <v>90</v>
      </c>
    </row>
    <row r="19" customFormat="false" ht="15" hidden="false" customHeight="true" outlineLevel="0" collapsed="false">
      <c r="A19" s="3" t="s">
        <v>423</v>
      </c>
      <c r="B19" s="3" t="s">
        <v>123</v>
      </c>
      <c r="C19" s="3" t="s">
        <v>124</v>
      </c>
      <c r="D19" s="3" t="s">
        <v>424</v>
      </c>
      <c r="E19" s="3" t="s">
        <v>425</v>
      </c>
      <c r="F19" s="3" t="s">
        <v>361</v>
      </c>
      <c r="G19" s="3" t="s">
        <v>362</v>
      </c>
      <c r="H19" s="3" t="s">
        <v>353</v>
      </c>
      <c r="I19" s="3" t="s">
        <v>363</v>
      </c>
      <c r="J19" s="3" t="s">
        <v>355</v>
      </c>
      <c r="K19" s="3" t="s">
        <v>356</v>
      </c>
      <c r="L19" s="3" t="s">
        <v>364</v>
      </c>
      <c r="M19" s="3" t="s">
        <v>103</v>
      </c>
      <c r="N19" s="3" t="s">
        <v>90</v>
      </c>
    </row>
    <row r="20" customFormat="false" ht="15" hidden="false" customHeight="true" outlineLevel="0" collapsed="false">
      <c r="A20" s="3" t="s">
        <v>426</v>
      </c>
      <c r="B20" s="3" t="s">
        <v>127</v>
      </c>
      <c r="C20" s="3" t="s">
        <v>128</v>
      </c>
      <c r="D20" s="3" t="s">
        <v>427</v>
      </c>
      <c r="E20" s="3" t="s">
        <v>428</v>
      </c>
      <c r="F20" s="3" t="s">
        <v>351</v>
      </c>
      <c r="G20" s="3" t="s">
        <v>352</v>
      </c>
      <c r="H20" s="3" t="s">
        <v>353</v>
      </c>
      <c r="I20" s="3" t="s">
        <v>377</v>
      </c>
      <c r="J20" s="3" t="s">
        <v>378</v>
      </c>
      <c r="K20" s="3" t="s">
        <v>429</v>
      </c>
      <c r="L20" s="3" t="s">
        <v>430</v>
      </c>
      <c r="M20" s="3" t="s">
        <v>108</v>
      </c>
      <c r="N20" s="3" t="s">
        <v>97</v>
      </c>
    </row>
    <row r="21" customFormat="false" ht="15" hidden="false" customHeight="true" outlineLevel="0" collapsed="false">
      <c r="A21" s="3" t="s">
        <v>431</v>
      </c>
      <c r="B21" s="3" t="s">
        <v>127</v>
      </c>
      <c r="C21" s="3" t="s">
        <v>128</v>
      </c>
      <c r="D21" s="3" t="s">
        <v>432</v>
      </c>
      <c r="E21" s="3" t="s">
        <v>433</v>
      </c>
      <c r="F21" s="3" t="s">
        <v>361</v>
      </c>
      <c r="G21" s="3" t="s">
        <v>362</v>
      </c>
      <c r="H21" s="3" t="s">
        <v>353</v>
      </c>
      <c r="I21" s="3" t="s">
        <v>363</v>
      </c>
      <c r="J21" s="3" t="s">
        <v>355</v>
      </c>
      <c r="K21" s="3" t="s">
        <v>356</v>
      </c>
      <c r="L21" s="3" t="s">
        <v>364</v>
      </c>
      <c r="M21" s="3" t="s">
        <v>108</v>
      </c>
      <c r="N21" s="3" t="s">
        <v>97</v>
      </c>
    </row>
    <row r="22" customFormat="false" ht="15" hidden="false" customHeight="true" outlineLevel="0" collapsed="false">
      <c r="A22" s="3" t="s">
        <v>434</v>
      </c>
      <c r="B22" s="3" t="s">
        <v>131</v>
      </c>
      <c r="C22" s="3" t="s">
        <v>132</v>
      </c>
      <c r="D22" s="3" t="s">
        <v>435</v>
      </c>
      <c r="E22" s="3" t="s">
        <v>436</v>
      </c>
      <c r="F22" s="3" t="s">
        <v>351</v>
      </c>
      <c r="G22" s="3" t="s">
        <v>352</v>
      </c>
      <c r="H22" s="3" t="s">
        <v>353</v>
      </c>
      <c r="I22" s="3" t="s">
        <v>363</v>
      </c>
      <c r="J22" s="3" t="s">
        <v>355</v>
      </c>
      <c r="K22" s="3" t="s">
        <v>437</v>
      </c>
      <c r="L22" s="3" t="s">
        <v>438</v>
      </c>
      <c r="M22" s="3" t="s">
        <v>113</v>
      </c>
      <c r="N22" s="3" t="s">
        <v>108</v>
      </c>
    </row>
    <row r="23" customFormat="false" ht="15" hidden="false" customHeight="true" outlineLevel="0" collapsed="false">
      <c r="A23" s="3" t="s">
        <v>439</v>
      </c>
      <c r="B23" s="3" t="s">
        <v>131</v>
      </c>
      <c r="C23" s="3" t="s">
        <v>132</v>
      </c>
      <c r="D23" s="3" t="s">
        <v>440</v>
      </c>
      <c r="E23" s="3" t="s">
        <v>441</v>
      </c>
      <c r="F23" s="3" t="s">
        <v>361</v>
      </c>
      <c r="G23" s="3" t="s">
        <v>362</v>
      </c>
      <c r="H23" s="3" t="s">
        <v>353</v>
      </c>
      <c r="I23" s="3" t="s">
        <v>363</v>
      </c>
      <c r="J23" s="3" t="s">
        <v>355</v>
      </c>
      <c r="K23" s="3" t="s">
        <v>356</v>
      </c>
      <c r="L23" s="3" t="s">
        <v>364</v>
      </c>
      <c r="M23" s="3" t="s">
        <v>113</v>
      </c>
      <c r="N23" s="3" t="s">
        <v>108</v>
      </c>
    </row>
    <row r="24" customFormat="false" ht="15" hidden="false" customHeight="true" outlineLevel="0" collapsed="false">
      <c r="A24" s="3" t="s">
        <v>442</v>
      </c>
      <c r="B24" s="3" t="s">
        <v>135</v>
      </c>
      <c r="C24" s="3" t="s">
        <v>136</v>
      </c>
      <c r="D24" s="3" t="s">
        <v>443</v>
      </c>
      <c r="E24" s="3" t="s">
        <v>444</v>
      </c>
      <c r="F24" s="3" t="s">
        <v>351</v>
      </c>
      <c r="G24" s="3" t="s">
        <v>352</v>
      </c>
      <c r="H24" s="3" t="s">
        <v>353</v>
      </c>
      <c r="I24" s="3" t="s">
        <v>363</v>
      </c>
      <c r="J24" s="3" t="s">
        <v>368</v>
      </c>
      <c r="K24" s="3" t="s">
        <v>356</v>
      </c>
      <c r="L24" s="3" t="s">
        <v>445</v>
      </c>
      <c r="M24" s="3" t="s">
        <v>90</v>
      </c>
      <c r="N24" s="3" t="s">
        <v>97</v>
      </c>
    </row>
    <row r="25" customFormat="false" ht="15" hidden="false" customHeight="true" outlineLevel="0" collapsed="false">
      <c r="A25" s="3" t="s">
        <v>446</v>
      </c>
      <c r="B25" s="3" t="s">
        <v>135</v>
      </c>
      <c r="C25" s="3" t="s">
        <v>136</v>
      </c>
      <c r="D25" s="3" t="s">
        <v>447</v>
      </c>
      <c r="E25" s="3" t="s">
        <v>395</v>
      </c>
      <c r="F25" s="3" t="s">
        <v>361</v>
      </c>
      <c r="G25" s="3" t="s">
        <v>362</v>
      </c>
      <c r="H25" s="3" t="s">
        <v>353</v>
      </c>
      <c r="I25" s="3" t="s">
        <v>363</v>
      </c>
      <c r="J25" s="3" t="s">
        <v>355</v>
      </c>
      <c r="K25" s="3" t="s">
        <v>356</v>
      </c>
      <c r="L25" s="3" t="s">
        <v>364</v>
      </c>
      <c r="M25" s="3" t="s">
        <v>90</v>
      </c>
      <c r="N25" s="3" t="s">
        <v>97</v>
      </c>
    </row>
    <row r="26" customFormat="false" ht="15" hidden="false" customHeight="true" outlineLevel="0" collapsed="false">
      <c r="A26" s="3" t="s">
        <v>448</v>
      </c>
      <c r="B26" s="3" t="s">
        <v>138</v>
      </c>
      <c r="C26" s="3" t="s">
        <v>139</v>
      </c>
      <c r="D26" s="3" t="s">
        <v>449</v>
      </c>
      <c r="E26" s="3" t="s">
        <v>450</v>
      </c>
      <c r="F26" s="3" t="s">
        <v>351</v>
      </c>
      <c r="G26" s="3" t="s">
        <v>352</v>
      </c>
      <c r="H26" s="3" t="s">
        <v>353</v>
      </c>
      <c r="I26" s="3" t="s">
        <v>377</v>
      </c>
      <c r="J26" s="3" t="s">
        <v>355</v>
      </c>
      <c r="K26" s="3" t="s">
        <v>451</v>
      </c>
      <c r="L26" s="3" t="s">
        <v>452</v>
      </c>
      <c r="M26" s="3" t="s">
        <v>97</v>
      </c>
      <c r="N26" s="3" t="s">
        <v>90</v>
      </c>
    </row>
    <row r="27" customFormat="false" ht="15" hidden="false" customHeight="true" outlineLevel="0" collapsed="false">
      <c r="A27" s="3" t="s">
        <v>453</v>
      </c>
      <c r="B27" s="3" t="s">
        <v>138</v>
      </c>
      <c r="C27" s="3" t="s">
        <v>139</v>
      </c>
      <c r="D27" s="3" t="s">
        <v>394</v>
      </c>
      <c r="E27" s="3" t="s">
        <v>395</v>
      </c>
      <c r="F27" s="3" t="s">
        <v>361</v>
      </c>
      <c r="G27" s="3" t="s">
        <v>362</v>
      </c>
      <c r="H27" s="3" t="s">
        <v>353</v>
      </c>
      <c r="I27" s="3" t="s">
        <v>363</v>
      </c>
      <c r="J27" s="3" t="s">
        <v>355</v>
      </c>
      <c r="K27" s="3" t="s">
        <v>356</v>
      </c>
      <c r="L27" s="3" t="s">
        <v>364</v>
      </c>
      <c r="M27" s="3" t="s">
        <v>97</v>
      </c>
      <c r="N27" s="3" t="s">
        <v>90</v>
      </c>
    </row>
    <row r="28" customFormat="false" ht="15" hidden="false" customHeight="true" outlineLevel="0" collapsed="false">
      <c r="A28" s="3" t="s">
        <v>454</v>
      </c>
      <c r="B28" s="3" t="s">
        <v>138</v>
      </c>
      <c r="C28" s="3" t="s">
        <v>139</v>
      </c>
      <c r="D28" s="3" t="s">
        <v>455</v>
      </c>
      <c r="E28" s="3" t="s">
        <v>386</v>
      </c>
      <c r="F28" s="3" t="s">
        <v>386</v>
      </c>
      <c r="G28" s="3" t="s">
        <v>362</v>
      </c>
      <c r="H28" s="3" t="s">
        <v>387</v>
      </c>
      <c r="I28" s="3" t="s">
        <v>363</v>
      </c>
      <c r="J28" s="3" t="s">
        <v>355</v>
      </c>
      <c r="K28" s="3" t="s">
        <v>356</v>
      </c>
      <c r="L28" s="3" t="s">
        <v>388</v>
      </c>
      <c r="M28" s="3" t="s">
        <v>97</v>
      </c>
      <c r="N28" s="3" t="s">
        <v>90</v>
      </c>
    </row>
    <row r="29" customFormat="false" ht="15" hidden="false" customHeight="true" outlineLevel="0" collapsed="false">
      <c r="A29" s="3" t="s">
        <v>456</v>
      </c>
      <c r="B29" s="3" t="s">
        <v>141</v>
      </c>
      <c r="C29" s="3" t="s">
        <v>142</v>
      </c>
      <c r="D29" s="3" t="s">
        <v>457</v>
      </c>
      <c r="E29" s="3" t="s">
        <v>458</v>
      </c>
      <c r="F29" s="3" t="s">
        <v>351</v>
      </c>
      <c r="G29" s="3" t="s">
        <v>352</v>
      </c>
      <c r="H29" s="3" t="s">
        <v>459</v>
      </c>
      <c r="I29" s="3" t="s">
        <v>363</v>
      </c>
      <c r="J29" s="3" t="s">
        <v>355</v>
      </c>
      <c r="K29" s="3" t="s">
        <v>460</v>
      </c>
      <c r="L29" s="3" t="s">
        <v>461</v>
      </c>
      <c r="M29" s="3" t="s">
        <v>103</v>
      </c>
      <c r="N29" s="3" t="s">
        <v>113</v>
      </c>
    </row>
    <row r="30" customFormat="false" ht="15" hidden="false" customHeight="true" outlineLevel="0" collapsed="false">
      <c r="A30" s="3" t="s">
        <v>462</v>
      </c>
      <c r="B30" s="3" t="s">
        <v>141</v>
      </c>
      <c r="C30" s="3" t="s">
        <v>142</v>
      </c>
      <c r="D30" s="3" t="s">
        <v>359</v>
      </c>
      <c r="E30" s="3" t="s">
        <v>360</v>
      </c>
      <c r="F30" s="3" t="s">
        <v>361</v>
      </c>
      <c r="G30" s="3" t="s">
        <v>362</v>
      </c>
      <c r="H30" s="3" t="s">
        <v>463</v>
      </c>
      <c r="I30" s="3" t="s">
        <v>363</v>
      </c>
      <c r="J30" s="3" t="s">
        <v>355</v>
      </c>
      <c r="K30" s="3" t="s">
        <v>356</v>
      </c>
      <c r="L30" s="3" t="s">
        <v>464</v>
      </c>
      <c r="M30" s="3" t="s">
        <v>103</v>
      </c>
      <c r="N30" s="3" t="s">
        <v>113</v>
      </c>
    </row>
    <row r="31" customFormat="false" ht="15" hidden="false" customHeight="true" outlineLevel="0" collapsed="false">
      <c r="A31" s="3" t="s">
        <v>465</v>
      </c>
      <c r="B31" s="3" t="s">
        <v>144</v>
      </c>
      <c r="C31" s="3" t="s">
        <v>145</v>
      </c>
      <c r="D31" s="3" t="s">
        <v>466</v>
      </c>
      <c r="E31" s="3" t="s">
        <v>467</v>
      </c>
      <c r="F31" s="3" t="s">
        <v>351</v>
      </c>
      <c r="G31" s="3" t="s">
        <v>352</v>
      </c>
      <c r="H31" s="3" t="s">
        <v>353</v>
      </c>
      <c r="I31" s="3" t="s">
        <v>363</v>
      </c>
      <c r="J31" s="3" t="s">
        <v>355</v>
      </c>
      <c r="K31" s="3" t="s">
        <v>356</v>
      </c>
      <c r="L31" s="3" t="s">
        <v>468</v>
      </c>
      <c r="M31" s="3" t="s">
        <v>108</v>
      </c>
      <c r="N31" s="3" t="s">
        <v>97</v>
      </c>
    </row>
    <row r="32" customFormat="false" ht="15" hidden="false" customHeight="true" outlineLevel="0" collapsed="false">
      <c r="A32" s="3" t="s">
        <v>469</v>
      </c>
      <c r="B32" s="3" t="s">
        <v>144</v>
      </c>
      <c r="C32" s="3" t="s">
        <v>145</v>
      </c>
      <c r="D32" s="3" t="s">
        <v>372</v>
      </c>
      <c r="E32" s="3" t="s">
        <v>373</v>
      </c>
      <c r="F32" s="3" t="s">
        <v>361</v>
      </c>
      <c r="G32" s="3" t="s">
        <v>362</v>
      </c>
      <c r="H32" s="3" t="s">
        <v>353</v>
      </c>
      <c r="I32" s="3" t="s">
        <v>363</v>
      </c>
      <c r="J32" s="3" t="s">
        <v>355</v>
      </c>
      <c r="K32" s="3" t="s">
        <v>356</v>
      </c>
      <c r="L32" s="3" t="s">
        <v>364</v>
      </c>
      <c r="M32" s="3" t="s">
        <v>108</v>
      </c>
      <c r="N32" s="3" t="s">
        <v>97</v>
      </c>
    </row>
    <row r="33" customFormat="false" ht="15" hidden="false" customHeight="true" outlineLevel="0" collapsed="false">
      <c r="A33" s="3" t="s">
        <v>470</v>
      </c>
      <c r="B33" s="3" t="s">
        <v>144</v>
      </c>
      <c r="C33" s="3" t="s">
        <v>145</v>
      </c>
      <c r="D33" s="3" t="s">
        <v>471</v>
      </c>
      <c r="E33" s="3" t="s">
        <v>386</v>
      </c>
      <c r="F33" s="3" t="s">
        <v>386</v>
      </c>
      <c r="G33" s="3" t="s">
        <v>362</v>
      </c>
      <c r="H33" s="3" t="s">
        <v>387</v>
      </c>
      <c r="I33" s="3" t="s">
        <v>363</v>
      </c>
      <c r="J33" s="3" t="s">
        <v>355</v>
      </c>
      <c r="K33" s="3" t="s">
        <v>356</v>
      </c>
      <c r="L33" s="3" t="s">
        <v>388</v>
      </c>
      <c r="M33" s="3" t="s">
        <v>108</v>
      </c>
      <c r="N33" s="3" t="s">
        <v>97</v>
      </c>
    </row>
    <row r="34" customFormat="false" ht="15" hidden="false" customHeight="true" outlineLevel="0" collapsed="false">
      <c r="A34" s="3" t="s">
        <v>472</v>
      </c>
      <c r="B34" s="3" t="s">
        <v>147</v>
      </c>
      <c r="C34" s="3" t="s">
        <v>148</v>
      </c>
      <c r="D34" s="3" t="s">
        <v>473</v>
      </c>
      <c r="E34" s="3" t="s">
        <v>474</v>
      </c>
      <c r="F34" s="3" t="s">
        <v>351</v>
      </c>
      <c r="G34" s="3" t="s">
        <v>352</v>
      </c>
      <c r="H34" s="3" t="s">
        <v>353</v>
      </c>
      <c r="I34" s="3" t="s">
        <v>363</v>
      </c>
      <c r="J34" s="3" t="s">
        <v>368</v>
      </c>
      <c r="K34" s="3" t="s">
        <v>356</v>
      </c>
      <c r="L34" s="3" t="s">
        <v>475</v>
      </c>
      <c r="M34" s="3" t="s">
        <v>113</v>
      </c>
      <c r="N34" s="3" t="s">
        <v>108</v>
      </c>
    </row>
    <row r="35" customFormat="false" ht="15" hidden="false" customHeight="true" outlineLevel="0" collapsed="false">
      <c r="A35" s="3" t="s">
        <v>476</v>
      </c>
      <c r="B35" s="3" t="s">
        <v>147</v>
      </c>
      <c r="C35" s="3" t="s">
        <v>148</v>
      </c>
      <c r="D35" s="3" t="s">
        <v>402</v>
      </c>
      <c r="E35" s="3" t="s">
        <v>403</v>
      </c>
      <c r="F35" s="3" t="s">
        <v>361</v>
      </c>
      <c r="G35" s="3" t="s">
        <v>362</v>
      </c>
      <c r="H35" s="3" t="s">
        <v>463</v>
      </c>
      <c r="I35" s="3" t="s">
        <v>363</v>
      </c>
      <c r="J35" s="3" t="s">
        <v>355</v>
      </c>
      <c r="K35" s="3" t="s">
        <v>356</v>
      </c>
      <c r="L35" s="3" t="s">
        <v>464</v>
      </c>
      <c r="M35" s="3" t="s">
        <v>113</v>
      </c>
      <c r="N35" s="3" t="s">
        <v>108</v>
      </c>
    </row>
    <row r="36" customFormat="false" ht="15" hidden="false" customHeight="true" outlineLevel="0" collapsed="false">
      <c r="A36" s="3" t="s">
        <v>477</v>
      </c>
      <c r="B36" s="3" t="s">
        <v>150</v>
      </c>
      <c r="C36" s="3" t="s">
        <v>151</v>
      </c>
      <c r="D36" s="3" t="s">
        <v>478</v>
      </c>
      <c r="E36" s="3" t="s">
        <v>479</v>
      </c>
      <c r="F36" s="3" t="s">
        <v>351</v>
      </c>
      <c r="G36" s="3" t="s">
        <v>352</v>
      </c>
      <c r="H36" s="3" t="s">
        <v>353</v>
      </c>
      <c r="I36" s="3" t="s">
        <v>363</v>
      </c>
      <c r="J36" s="3" t="s">
        <v>355</v>
      </c>
      <c r="K36" s="3" t="s">
        <v>356</v>
      </c>
      <c r="L36" s="3" t="s">
        <v>480</v>
      </c>
      <c r="M36" s="3" t="s">
        <v>90</v>
      </c>
      <c r="N36" s="3" t="s">
        <v>103</v>
      </c>
    </row>
    <row r="37" customFormat="false" ht="15" hidden="false" customHeight="true" outlineLevel="0" collapsed="false">
      <c r="A37" s="3" t="s">
        <v>481</v>
      </c>
      <c r="B37" s="3" t="s">
        <v>150</v>
      </c>
      <c r="C37" s="3" t="s">
        <v>151</v>
      </c>
      <c r="D37" s="3" t="s">
        <v>482</v>
      </c>
      <c r="E37" s="3" t="s">
        <v>483</v>
      </c>
      <c r="F37" s="3" t="s">
        <v>361</v>
      </c>
      <c r="G37" s="3" t="s">
        <v>362</v>
      </c>
      <c r="H37" s="3" t="s">
        <v>353</v>
      </c>
      <c r="I37" s="3" t="s">
        <v>363</v>
      </c>
      <c r="J37" s="3" t="s">
        <v>355</v>
      </c>
      <c r="K37" s="3" t="s">
        <v>356</v>
      </c>
      <c r="L37" s="3" t="s">
        <v>364</v>
      </c>
      <c r="M37" s="3" t="s">
        <v>90</v>
      </c>
      <c r="N37" s="3" t="s">
        <v>103</v>
      </c>
    </row>
    <row r="38" customFormat="false" ht="15" hidden="false" customHeight="true" outlineLevel="0" collapsed="false">
      <c r="A38" s="3" t="s">
        <v>484</v>
      </c>
      <c r="B38" s="3" t="s">
        <v>156</v>
      </c>
      <c r="C38" s="3" t="s">
        <v>157</v>
      </c>
      <c r="D38" s="3" t="s">
        <v>485</v>
      </c>
      <c r="E38" s="3" t="s">
        <v>486</v>
      </c>
      <c r="F38" s="3" t="s">
        <v>351</v>
      </c>
      <c r="G38" s="3" t="s">
        <v>352</v>
      </c>
      <c r="H38" s="3" t="s">
        <v>487</v>
      </c>
      <c r="I38" s="3" t="s">
        <v>488</v>
      </c>
      <c r="J38" s="3" t="s">
        <v>355</v>
      </c>
      <c r="K38" s="3" t="s">
        <v>489</v>
      </c>
      <c r="L38" s="3" t="s">
        <v>490</v>
      </c>
      <c r="M38" s="3" t="s">
        <v>97</v>
      </c>
      <c r="N38" s="3" t="s">
        <v>90</v>
      </c>
    </row>
    <row r="39" customFormat="false" ht="15" hidden="false" customHeight="true" outlineLevel="0" collapsed="false">
      <c r="A39" s="3" t="s">
        <v>491</v>
      </c>
      <c r="B39" s="3" t="s">
        <v>156</v>
      </c>
      <c r="C39" s="3" t="s">
        <v>157</v>
      </c>
      <c r="D39" s="3" t="s">
        <v>359</v>
      </c>
      <c r="E39" s="3" t="s">
        <v>360</v>
      </c>
      <c r="F39" s="3" t="s">
        <v>361</v>
      </c>
      <c r="G39" s="3" t="s">
        <v>362</v>
      </c>
      <c r="H39" s="3" t="s">
        <v>353</v>
      </c>
      <c r="I39" s="3" t="s">
        <v>363</v>
      </c>
      <c r="J39" s="3" t="s">
        <v>355</v>
      </c>
      <c r="K39" s="3" t="s">
        <v>356</v>
      </c>
      <c r="L39" s="3" t="s">
        <v>364</v>
      </c>
      <c r="M39" s="3" t="s">
        <v>97</v>
      </c>
      <c r="N39" s="3" t="s">
        <v>90</v>
      </c>
    </row>
    <row r="40" customFormat="false" ht="15" hidden="false" customHeight="true" outlineLevel="0" collapsed="false">
      <c r="A40" s="3" t="s">
        <v>492</v>
      </c>
      <c r="B40" s="3" t="s">
        <v>160</v>
      </c>
      <c r="C40" s="3" t="s">
        <v>161</v>
      </c>
      <c r="D40" s="3" t="s">
        <v>493</v>
      </c>
      <c r="E40" s="3" t="s">
        <v>494</v>
      </c>
      <c r="F40" s="3" t="s">
        <v>351</v>
      </c>
      <c r="G40" s="3" t="s">
        <v>352</v>
      </c>
      <c r="H40" s="3" t="s">
        <v>459</v>
      </c>
      <c r="I40" s="3" t="s">
        <v>363</v>
      </c>
      <c r="J40" s="3" t="s">
        <v>378</v>
      </c>
      <c r="K40" s="3" t="s">
        <v>495</v>
      </c>
      <c r="L40" s="3" t="s">
        <v>312</v>
      </c>
      <c r="M40" s="3" t="s">
        <v>103</v>
      </c>
      <c r="N40" s="3" t="s">
        <v>108</v>
      </c>
    </row>
    <row r="41" customFormat="false" ht="15" hidden="false" customHeight="true" outlineLevel="0" collapsed="false">
      <c r="A41" s="3" t="s">
        <v>496</v>
      </c>
      <c r="B41" s="3" t="s">
        <v>160</v>
      </c>
      <c r="C41" s="3" t="s">
        <v>161</v>
      </c>
      <c r="D41" s="3" t="s">
        <v>497</v>
      </c>
      <c r="E41" s="3" t="s">
        <v>498</v>
      </c>
      <c r="F41" s="3" t="s">
        <v>361</v>
      </c>
      <c r="G41" s="3" t="s">
        <v>362</v>
      </c>
      <c r="H41" s="3" t="s">
        <v>353</v>
      </c>
      <c r="I41" s="3" t="s">
        <v>363</v>
      </c>
      <c r="J41" s="3" t="s">
        <v>378</v>
      </c>
      <c r="K41" s="3" t="s">
        <v>356</v>
      </c>
      <c r="L41" s="3" t="s">
        <v>364</v>
      </c>
      <c r="M41" s="3" t="s">
        <v>103</v>
      </c>
      <c r="N41" s="3" t="s">
        <v>108</v>
      </c>
    </row>
  </sheetData>
  <autoFilter ref="A1:N41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33"/>
    <col collapsed="false" customWidth="true" hidden="false" outlineLevel="0" max="2" min="2" style="1" width="13.2"/>
    <col collapsed="false" customWidth="true" hidden="false" outlineLevel="0" max="3" min="3" style="1" width="15.44"/>
    <col collapsed="false" customWidth="true" hidden="false" outlineLevel="0" max="4" min="4" style="1" width="17.68"/>
    <col collapsed="false" customWidth="true" hidden="false" outlineLevel="0" max="5" min="5" style="1" width="23.28"/>
    <col collapsed="false" customWidth="true" hidden="false" outlineLevel="0" max="7" min="6" style="1" width="84.88"/>
    <col collapsed="false" customWidth="true" hidden="false" outlineLevel="0" max="8" min="8" style="1" width="23.28"/>
    <col collapsed="false" customWidth="true" hidden="false" outlineLevel="0" max="9" min="9" style="1" width="21.04"/>
    <col collapsed="false" customWidth="true" hidden="false" outlineLevel="0" max="10" min="10" style="1" width="23.28"/>
    <col collapsed="false" customWidth="true" hidden="false" outlineLevel="0" max="11" min="11" style="1" width="22.16"/>
    <col collapsed="false" customWidth="true" hidden="false" outlineLevel="0" max="12" min="12" style="1" width="27.76"/>
    <col collapsed="false" customWidth="true" hidden="false" outlineLevel="0" max="13" min="13" style="1" width="74.8"/>
    <col collapsed="false" customWidth="true" hidden="false" outlineLevel="0" max="14" min="14" style="1" width="18.8"/>
    <col collapsed="false" customWidth="true" hidden="false" outlineLevel="0" max="15" min="15" style="1" width="45.68"/>
  </cols>
  <sheetData>
    <row r="1" customFormat="false" ht="15" hidden="false" customHeight="true" outlineLevel="0" collapsed="false">
      <c r="A1" s="2" t="s">
        <v>499</v>
      </c>
      <c r="B1" s="2" t="s">
        <v>74</v>
      </c>
      <c r="C1" s="2" t="s">
        <v>78</v>
      </c>
      <c r="D1" s="2" t="s">
        <v>500</v>
      </c>
      <c r="E1" s="2" t="s">
        <v>501</v>
      </c>
      <c r="F1" s="2" t="s">
        <v>502</v>
      </c>
      <c r="G1" s="2" t="s">
        <v>503</v>
      </c>
      <c r="H1" s="2" t="s">
        <v>504</v>
      </c>
      <c r="I1" s="2" t="s">
        <v>505</v>
      </c>
      <c r="J1" s="2" t="s">
        <v>506</v>
      </c>
      <c r="K1" s="2" t="s">
        <v>507</v>
      </c>
      <c r="L1" s="2" t="s">
        <v>508</v>
      </c>
      <c r="M1" s="2" t="s">
        <v>509</v>
      </c>
      <c r="N1" s="2" t="s">
        <v>510</v>
      </c>
      <c r="O1" s="2" t="s">
        <v>511</v>
      </c>
    </row>
    <row r="2" customFormat="false" ht="15" hidden="false" customHeight="true" outlineLevel="0" collapsed="false">
      <c r="A2" s="3" t="s">
        <v>512</v>
      </c>
      <c r="B2" s="3" t="s">
        <v>86</v>
      </c>
      <c r="C2" s="3" t="s">
        <v>90</v>
      </c>
      <c r="D2" s="3" t="s">
        <v>513</v>
      </c>
      <c r="E2" s="4" t="n">
        <v>46206</v>
      </c>
      <c r="F2" s="3" t="s">
        <v>514</v>
      </c>
      <c r="G2" s="3" t="s">
        <v>515</v>
      </c>
      <c r="H2" s="4" t="n">
        <v>46210</v>
      </c>
      <c r="I2" s="3" t="s">
        <v>516</v>
      </c>
      <c r="J2" s="3" t="s">
        <v>517</v>
      </c>
      <c r="K2" s="3" t="s">
        <v>518</v>
      </c>
      <c r="L2" s="4" t="n">
        <v>46227</v>
      </c>
      <c r="M2" s="3" t="s">
        <v>519</v>
      </c>
      <c r="N2" s="3" t="s">
        <v>181</v>
      </c>
      <c r="O2" s="3" t="s">
        <v>520</v>
      </c>
    </row>
    <row r="3" customFormat="false" ht="15" hidden="false" customHeight="true" outlineLevel="0" collapsed="false">
      <c r="A3" s="3" t="s">
        <v>521</v>
      </c>
      <c r="B3" s="3" t="s">
        <v>86</v>
      </c>
      <c r="C3" s="3" t="s">
        <v>90</v>
      </c>
      <c r="D3" s="3" t="s">
        <v>363</v>
      </c>
      <c r="E3" s="4" t="n">
        <v>46215</v>
      </c>
      <c r="F3" s="3" t="s">
        <v>514</v>
      </c>
      <c r="G3" s="3" t="s">
        <v>522</v>
      </c>
      <c r="H3" s="4" t="n">
        <v>46217</v>
      </c>
      <c r="I3" s="3" t="s">
        <v>523</v>
      </c>
      <c r="J3" s="3" t="s">
        <v>524</v>
      </c>
      <c r="K3" s="3" t="s">
        <v>525</v>
      </c>
      <c r="L3" s="4" t="n">
        <v>46227</v>
      </c>
      <c r="M3" s="3" t="s">
        <v>43</v>
      </c>
      <c r="N3" s="3" t="s">
        <v>181</v>
      </c>
      <c r="O3" s="3" t="s">
        <v>526</v>
      </c>
    </row>
    <row r="4" customFormat="false" ht="15" hidden="false" customHeight="true" outlineLevel="0" collapsed="false">
      <c r="A4" s="3" t="s">
        <v>527</v>
      </c>
      <c r="B4" s="3" t="s">
        <v>93</v>
      </c>
      <c r="C4" s="3" t="s">
        <v>97</v>
      </c>
      <c r="D4" s="3" t="s">
        <v>513</v>
      </c>
      <c r="E4" s="4" t="n">
        <v>46204</v>
      </c>
      <c r="F4" s="3" t="s">
        <v>528</v>
      </c>
      <c r="G4" s="3" t="s">
        <v>515</v>
      </c>
      <c r="H4" s="4" t="n">
        <v>46208</v>
      </c>
      <c r="I4" s="3" t="s">
        <v>516</v>
      </c>
      <c r="J4" s="3" t="s">
        <v>517</v>
      </c>
      <c r="K4" s="3" t="s">
        <v>518</v>
      </c>
      <c r="L4" s="4" t="n">
        <v>46234</v>
      </c>
      <c r="M4" s="3" t="s">
        <v>519</v>
      </c>
      <c r="N4" s="3" t="s">
        <v>198</v>
      </c>
      <c r="O4" s="3" t="s">
        <v>520</v>
      </c>
    </row>
    <row r="5" customFormat="false" ht="15" hidden="false" customHeight="true" outlineLevel="0" collapsed="false">
      <c r="A5" s="3" t="s">
        <v>529</v>
      </c>
      <c r="B5" s="3" t="s">
        <v>93</v>
      </c>
      <c r="C5" s="3" t="s">
        <v>97</v>
      </c>
      <c r="D5" s="3" t="s">
        <v>363</v>
      </c>
      <c r="E5" s="4" t="n">
        <v>46213</v>
      </c>
      <c r="F5" s="3" t="s">
        <v>528</v>
      </c>
      <c r="G5" s="3" t="s">
        <v>530</v>
      </c>
      <c r="H5" s="4" t="n">
        <v>46220</v>
      </c>
      <c r="I5" s="3" t="s">
        <v>194</v>
      </c>
      <c r="J5" s="3" t="s">
        <v>524</v>
      </c>
      <c r="K5" s="3" t="s">
        <v>518</v>
      </c>
      <c r="L5" s="4" t="n">
        <v>46234</v>
      </c>
      <c r="M5" s="3" t="s">
        <v>47</v>
      </c>
      <c r="N5" s="3" t="s">
        <v>198</v>
      </c>
      <c r="O5" s="3" t="s">
        <v>526</v>
      </c>
    </row>
    <row r="6" customFormat="false" ht="15" hidden="false" customHeight="true" outlineLevel="0" collapsed="false">
      <c r="A6" s="3" t="s">
        <v>531</v>
      </c>
      <c r="B6" s="3" t="s">
        <v>100</v>
      </c>
      <c r="C6" s="3" t="s">
        <v>103</v>
      </c>
      <c r="D6" s="3" t="s">
        <v>513</v>
      </c>
      <c r="E6" s="4" t="n">
        <v>46205</v>
      </c>
      <c r="F6" s="3" t="s">
        <v>532</v>
      </c>
      <c r="G6" s="3" t="s">
        <v>515</v>
      </c>
      <c r="H6" s="4" t="n">
        <v>46209</v>
      </c>
      <c r="I6" s="3" t="s">
        <v>516</v>
      </c>
      <c r="J6" s="3" t="s">
        <v>517</v>
      </c>
      <c r="K6" s="3" t="s">
        <v>518</v>
      </c>
      <c r="L6" s="4" t="n">
        <v>46235</v>
      </c>
      <c r="M6" s="3" t="s">
        <v>519</v>
      </c>
      <c r="N6" s="3" t="s">
        <v>203</v>
      </c>
      <c r="O6" s="3" t="s">
        <v>520</v>
      </c>
    </row>
    <row r="7" customFormat="false" ht="15" hidden="false" customHeight="true" outlineLevel="0" collapsed="false">
      <c r="A7" s="3" t="s">
        <v>533</v>
      </c>
      <c r="B7" s="3" t="s">
        <v>100</v>
      </c>
      <c r="C7" s="3" t="s">
        <v>103</v>
      </c>
      <c r="D7" s="3" t="s">
        <v>363</v>
      </c>
      <c r="E7" s="4" t="n">
        <v>46214</v>
      </c>
      <c r="F7" s="3" t="s">
        <v>532</v>
      </c>
      <c r="G7" s="3" t="s">
        <v>534</v>
      </c>
      <c r="H7" s="4" t="n">
        <v>46215</v>
      </c>
      <c r="I7" s="3" t="s">
        <v>516</v>
      </c>
      <c r="J7" s="3" t="s">
        <v>524</v>
      </c>
      <c r="K7" s="3" t="s">
        <v>518</v>
      </c>
      <c r="L7" s="4" t="n">
        <v>46239</v>
      </c>
      <c r="M7" s="3" t="s">
        <v>51</v>
      </c>
      <c r="N7" s="3" t="s">
        <v>203</v>
      </c>
      <c r="O7" s="3" t="s">
        <v>526</v>
      </c>
    </row>
    <row r="8" customFormat="false" ht="15" hidden="false" customHeight="true" outlineLevel="0" collapsed="false">
      <c r="A8" s="3" t="s">
        <v>535</v>
      </c>
      <c r="B8" s="3" t="s">
        <v>105</v>
      </c>
      <c r="C8" s="3" t="s">
        <v>108</v>
      </c>
      <c r="D8" s="3" t="s">
        <v>513</v>
      </c>
      <c r="E8" s="4" t="n">
        <v>46203</v>
      </c>
      <c r="F8" s="3" t="s">
        <v>536</v>
      </c>
      <c r="G8" s="3" t="s">
        <v>515</v>
      </c>
      <c r="H8" s="4" t="n">
        <v>46207</v>
      </c>
      <c r="I8" s="3" t="s">
        <v>516</v>
      </c>
      <c r="J8" s="3" t="s">
        <v>517</v>
      </c>
      <c r="K8" s="3" t="s">
        <v>537</v>
      </c>
      <c r="L8" s="4" t="n">
        <v>46231</v>
      </c>
      <c r="M8" s="3" t="s">
        <v>519</v>
      </c>
      <c r="N8" s="3" t="s">
        <v>218</v>
      </c>
      <c r="O8" s="3" t="s">
        <v>520</v>
      </c>
    </row>
    <row r="9" customFormat="false" ht="15" hidden="false" customHeight="true" outlineLevel="0" collapsed="false">
      <c r="A9" s="3" t="s">
        <v>538</v>
      </c>
      <c r="B9" s="3" t="s">
        <v>105</v>
      </c>
      <c r="C9" s="3" t="s">
        <v>108</v>
      </c>
      <c r="D9" s="3" t="s">
        <v>363</v>
      </c>
      <c r="E9" s="4" t="n">
        <v>46212</v>
      </c>
      <c r="F9" s="3" t="s">
        <v>536</v>
      </c>
      <c r="G9" s="3" t="s">
        <v>539</v>
      </c>
      <c r="H9" s="4" t="n">
        <v>46215</v>
      </c>
      <c r="I9" s="3" t="s">
        <v>523</v>
      </c>
      <c r="J9" s="3" t="s">
        <v>524</v>
      </c>
      <c r="K9" s="3" t="s">
        <v>518</v>
      </c>
      <c r="L9" s="4" t="n">
        <v>46231</v>
      </c>
      <c r="M9" s="3" t="s">
        <v>54</v>
      </c>
      <c r="N9" s="3" t="s">
        <v>218</v>
      </c>
      <c r="O9" s="3" t="s">
        <v>526</v>
      </c>
    </row>
    <row r="10" customFormat="false" ht="15" hidden="false" customHeight="true" outlineLevel="0" collapsed="false">
      <c r="A10" s="3" t="s">
        <v>540</v>
      </c>
      <c r="B10" s="3" t="s">
        <v>110</v>
      </c>
      <c r="C10" s="3" t="s">
        <v>113</v>
      </c>
      <c r="D10" s="3" t="s">
        <v>513</v>
      </c>
      <c r="E10" s="4" t="n">
        <v>46202</v>
      </c>
      <c r="F10" s="3" t="s">
        <v>541</v>
      </c>
      <c r="G10" s="3" t="s">
        <v>515</v>
      </c>
      <c r="H10" s="4" t="n">
        <v>46206</v>
      </c>
      <c r="I10" s="3" t="s">
        <v>516</v>
      </c>
      <c r="J10" s="3" t="s">
        <v>517</v>
      </c>
      <c r="K10" s="3" t="s">
        <v>518</v>
      </c>
      <c r="L10" s="4" t="n">
        <v>46235</v>
      </c>
      <c r="M10" s="3" t="s">
        <v>519</v>
      </c>
      <c r="N10" s="3" t="s">
        <v>224</v>
      </c>
      <c r="O10" s="3" t="s">
        <v>520</v>
      </c>
    </row>
    <row r="11" customFormat="false" ht="15" hidden="false" customHeight="true" outlineLevel="0" collapsed="false">
      <c r="A11" s="3" t="s">
        <v>542</v>
      </c>
      <c r="B11" s="3" t="s">
        <v>110</v>
      </c>
      <c r="C11" s="3" t="s">
        <v>113</v>
      </c>
      <c r="D11" s="3" t="s">
        <v>363</v>
      </c>
      <c r="E11" s="4" t="n">
        <v>46211</v>
      </c>
      <c r="F11" s="3" t="s">
        <v>541</v>
      </c>
      <c r="G11" s="3" t="s">
        <v>543</v>
      </c>
      <c r="H11" s="4" t="n">
        <v>46214</v>
      </c>
      <c r="I11" s="3" t="s">
        <v>544</v>
      </c>
      <c r="J11" s="3" t="s">
        <v>545</v>
      </c>
      <c r="K11" s="3" t="s">
        <v>525</v>
      </c>
      <c r="L11" s="4" t="n">
        <v>46239</v>
      </c>
      <c r="M11" s="3" t="s">
        <v>56</v>
      </c>
      <c r="N11" s="3" t="s">
        <v>224</v>
      </c>
      <c r="O11" s="3" t="s">
        <v>526</v>
      </c>
    </row>
    <row r="12" customFormat="false" ht="15" hidden="false" customHeight="true" outlineLevel="0" collapsed="false">
      <c r="A12" s="3" t="s">
        <v>546</v>
      </c>
      <c r="B12" s="3" t="s">
        <v>115</v>
      </c>
      <c r="C12" s="3" t="s">
        <v>90</v>
      </c>
      <c r="D12" s="3" t="s">
        <v>513</v>
      </c>
      <c r="E12" s="4" t="n">
        <v>46207</v>
      </c>
      <c r="F12" s="3" t="s">
        <v>547</v>
      </c>
      <c r="G12" s="3" t="s">
        <v>515</v>
      </c>
      <c r="H12" s="4" t="n">
        <v>46211</v>
      </c>
      <c r="I12" s="3" t="s">
        <v>516</v>
      </c>
      <c r="J12" s="3" t="s">
        <v>517</v>
      </c>
      <c r="K12" s="3" t="s">
        <v>537</v>
      </c>
      <c r="L12" s="4" t="n">
        <v>46229</v>
      </c>
      <c r="M12" s="3" t="s">
        <v>519</v>
      </c>
      <c r="N12" s="3" t="s">
        <v>236</v>
      </c>
      <c r="O12" s="3" t="s">
        <v>520</v>
      </c>
    </row>
    <row r="13" customFormat="false" ht="15" hidden="false" customHeight="true" outlineLevel="0" collapsed="false">
      <c r="A13" s="3" t="s">
        <v>548</v>
      </c>
      <c r="B13" s="3" t="s">
        <v>115</v>
      </c>
      <c r="C13" s="3" t="s">
        <v>90</v>
      </c>
      <c r="D13" s="3" t="s">
        <v>363</v>
      </c>
      <c r="E13" s="4" t="n">
        <v>46216</v>
      </c>
      <c r="F13" s="3" t="s">
        <v>547</v>
      </c>
      <c r="G13" s="3" t="s">
        <v>549</v>
      </c>
      <c r="H13" s="4" t="n">
        <v>46220</v>
      </c>
      <c r="I13" s="3" t="s">
        <v>194</v>
      </c>
      <c r="J13" s="3" t="s">
        <v>524</v>
      </c>
      <c r="K13" s="3" t="s">
        <v>518</v>
      </c>
      <c r="L13" s="4" t="n">
        <v>46229</v>
      </c>
      <c r="M13" s="3" t="s">
        <v>58</v>
      </c>
      <c r="N13" s="3" t="s">
        <v>236</v>
      </c>
      <c r="O13" s="3" t="s">
        <v>526</v>
      </c>
    </row>
    <row r="14" customFormat="false" ht="15" hidden="false" customHeight="true" outlineLevel="0" collapsed="false">
      <c r="A14" s="3" t="s">
        <v>550</v>
      </c>
      <c r="B14" s="3" t="s">
        <v>120</v>
      </c>
      <c r="C14" s="3" t="s">
        <v>97</v>
      </c>
      <c r="D14" s="3" t="s">
        <v>513</v>
      </c>
      <c r="E14" s="4" t="n">
        <v>46204</v>
      </c>
      <c r="F14" s="3" t="s">
        <v>551</v>
      </c>
      <c r="G14" s="3" t="s">
        <v>515</v>
      </c>
      <c r="H14" s="4" t="n">
        <v>46208</v>
      </c>
      <c r="I14" s="3" t="s">
        <v>516</v>
      </c>
      <c r="J14" s="3" t="s">
        <v>517</v>
      </c>
      <c r="K14" s="3" t="s">
        <v>518</v>
      </c>
      <c r="L14" s="4" t="n">
        <v>46235</v>
      </c>
      <c r="M14" s="3" t="s">
        <v>519</v>
      </c>
      <c r="N14" s="3" t="s">
        <v>241</v>
      </c>
      <c r="O14" s="3" t="s">
        <v>520</v>
      </c>
    </row>
    <row r="15" customFormat="false" ht="15" hidden="false" customHeight="true" outlineLevel="0" collapsed="false">
      <c r="A15" s="3" t="s">
        <v>552</v>
      </c>
      <c r="B15" s="3" t="s">
        <v>120</v>
      </c>
      <c r="C15" s="3" t="s">
        <v>97</v>
      </c>
      <c r="D15" s="3" t="s">
        <v>363</v>
      </c>
      <c r="E15" s="4" t="n">
        <v>46213</v>
      </c>
      <c r="F15" s="3" t="s">
        <v>551</v>
      </c>
      <c r="G15" s="3" t="s">
        <v>553</v>
      </c>
      <c r="H15" s="4" t="n">
        <v>46217</v>
      </c>
      <c r="I15" s="3" t="s">
        <v>523</v>
      </c>
      <c r="J15" s="3" t="s">
        <v>524</v>
      </c>
      <c r="K15" s="3" t="s">
        <v>518</v>
      </c>
      <c r="L15" s="4" t="n">
        <v>46237</v>
      </c>
      <c r="M15" s="3" t="s">
        <v>60</v>
      </c>
      <c r="N15" s="3" t="s">
        <v>241</v>
      </c>
      <c r="O15" s="3" t="s">
        <v>526</v>
      </c>
    </row>
    <row r="16" customFormat="false" ht="15" hidden="false" customHeight="true" outlineLevel="0" collapsed="false">
      <c r="A16" s="3" t="s">
        <v>554</v>
      </c>
      <c r="B16" s="3" t="s">
        <v>123</v>
      </c>
      <c r="C16" s="3" t="s">
        <v>103</v>
      </c>
      <c r="D16" s="3" t="s">
        <v>513</v>
      </c>
      <c r="E16" s="4" t="n">
        <v>46206</v>
      </c>
      <c r="F16" s="3" t="s">
        <v>555</v>
      </c>
      <c r="G16" s="3" t="s">
        <v>515</v>
      </c>
      <c r="H16" s="4" t="n">
        <v>46210</v>
      </c>
      <c r="I16" s="3" t="s">
        <v>516</v>
      </c>
      <c r="J16" s="3" t="s">
        <v>517</v>
      </c>
      <c r="K16" s="3" t="s">
        <v>537</v>
      </c>
      <c r="L16" s="4" t="n">
        <v>46235</v>
      </c>
      <c r="M16" s="3" t="s">
        <v>519</v>
      </c>
      <c r="N16" s="3" t="s">
        <v>246</v>
      </c>
      <c r="O16" s="3" t="s">
        <v>520</v>
      </c>
    </row>
    <row r="17" customFormat="false" ht="15" hidden="false" customHeight="true" outlineLevel="0" collapsed="false">
      <c r="A17" s="3" t="s">
        <v>556</v>
      </c>
      <c r="B17" s="3" t="s">
        <v>123</v>
      </c>
      <c r="C17" s="3" t="s">
        <v>103</v>
      </c>
      <c r="D17" s="3" t="s">
        <v>363</v>
      </c>
      <c r="E17" s="4" t="n">
        <v>46215</v>
      </c>
      <c r="F17" s="3" t="s">
        <v>555</v>
      </c>
      <c r="G17" s="3" t="s">
        <v>557</v>
      </c>
      <c r="H17" s="4" t="n">
        <v>46223</v>
      </c>
      <c r="I17" s="3" t="s">
        <v>194</v>
      </c>
      <c r="J17" s="3" t="s">
        <v>524</v>
      </c>
      <c r="K17" s="3" t="s">
        <v>518</v>
      </c>
      <c r="L17" s="4" t="n">
        <v>46239</v>
      </c>
      <c r="M17" s="3" t="s">
        <v>62</v>
      </c>
      <c r="N17" s="3" t="s">
        <v>246</v>
      </c>
      <c r="O17" s="3" t="s">
        <v>526</v>
      </c>
    </row>
    <row r="18" customFormat="false" ht="15" hidden="false" customHeight="true" outlineLevel="0" collapsed="false">
      <c r="A18" s="3" t="s">
        <v>558</v>
      </c>
      <c r="B18" s="3" t="s">
        <v>127</v>
      </c>
      <c r="C18" s="3" t="s">
        <v>108</v>
      </c>
      <c r="D18" s="3" t="s">
        <v>513</v>
      </c>
      <c r="E18" s="4" t="n">
        <v>46203</v>
      </c>
      <c r="F18" s="3" t="s">
        <v>559</v>
      </c>
      <c r="G18" s="3" t="s">
        <v>515</v>
      </c>
      <c r="H18" s="4" t="n">
        <v>46207</v>
      </c>
      <c r="I18" s="3" t="s">
        <v>516</v>
      </c>
      <c r="J18" s="3" t="s">
        <v>517</v>
      </c>
      <c r="K18" s="3" t="s">
        <v>518</v>
      </c>
      <c r="L18" s="4" t="n">
        <v>46232</v>
      </c>
      <c r="M18" s="3" t="s">
        <v>519</v>
      </c>
      <c r="N18" s="3" t="s">
        <v>251</v>
      </c>
      <c r="O18" s="3" t="s">
        <v>520</v>
      </c>
    </row>
    <row r="19" customFormat="false" ht="15" hidden="false" customHeight="true" outlineLevel="0" collapsed="false">
      <c r="A19" s="3" t="s">
        <v>560</v>
      </c>
      <c r="B19" s="3" t="s">
        <v>127</v>
      </c>
      <c r="C19" s="3" t="s">
        <v>108</v>
      </c>
      <c r="D19" s="3" t="s">
        <v>363</v>
      </c>
      <c r="E19" s="4" t="n">
        <v>46212</v>
      </c>
      <c r="F19" s="3" t="s">
        <v>559</v>
      </c>
      <c r="G19" s="3" t="s">
        <v>561</v>
      </c>
      <c r="H19" s="4" t="n">
        <v>46216</v>
      </c>
      <c r="I19" s="3" t="s">
        <v>523</v>
      </c>
      <c r="J19" s="3" t="s">
        <v>524</v>
      </c>
      <c r="K19" s="3" t="s">
        <v>518</v>
      </c>
      <c r="L19" s="4" t="n">
        <v>46232</v>
      </c>
      <c r="M19" s="3" t="s">
        <v>63</v>
      </c>
      <c r="N19" s="3" t="s">
        <v>251</v>
      </c>
      <c r="O19" s="3" t="s">
        <v>526</v>
      </c>
    </row>
    <row r="20" customFormat="false" ht="15" hidden="false" customHeight="true" outlineLevel="0" collapsed="false">
      <c r="A20" s="3" t="s">
        <v>562</v>
      </c>
      <c r="B20" s="3" t="s">
        <v>131</v>
      </c>
      <c r="C20" s="3" t="s">
        <v>113</v>
      </c>
      <c r="D20" s="3" t="s">
        <v>513</v>
      </c>
      <c r="E20" s="4" t="n">
        <v>46208</v>
      </c>
      <c r="F20" s="3" t="s">
        <v>563</v>
      </c>
      <c r="G20" s="3" t="s">
        <v>515</v>
      </c>
      <c r="H20" s="4" t="n">
        <v>46212</v>
      </c>
      <c r="I20" s="3" t="s">
        <v>516</v>
      </c>
      <c r="J20" s="3" t="s">
        <v>517</v>
      </c>
      <c r="K20" s="3" t="s">
        <v>537</v>
      </c>
      <c r="L20" s="4" t="n">
        <v>46235</v>
      </c>
      <c r="M20" s="3" t="s">
        <v>519</v>
      </c>
      <c r="N20" s="3" t="s">
        <v>256</v>
      </c>
      <c r="O20" s="3" t="s">
        <v>520</v>
      </c>
    </row>
    <row r="21" customFormat="false" ht="15" hidden="false" customHeight="true" outlineLevel="0" collapsed="false">
      <c r="A21" s="3" t="s">
        <v>564</v>
      </c>
      <c r="B21" s="3" t="s">
        <v>131</v>
      </c>
      <c r="C21" s="3" t="s">
        <v>113</v>
      </c>
      <c r="D21" s="3" t="s">
        <v>363</v>
      </c>
      <c r="E21" s="4" t="n">
        <v>46217</v>
      </c>
      <c r="F21" s="3" t="s">
        <v>563</v>
      </c>
      <c r="G21" s="3" t="s">
        <v>565</v>
      </c>
      <c r="H21" s="4" t="n">
        <v>46224</v>
      </c>
      <c r="I21" s="3" t="s">
        <v>194</v>
      </c>
      <c r="J21" s="3" t="s">
        <v>524</v>
      </c>
      <c r="K21" s="3" t="s">
        <v>518</v>
      </c>
      <c r="L21" s="4" t="n">
        <v>46239</v>
      </c>
      <c r="M21" s="3" t="s">
        <v>65</v>
      </c>
      <c r="N21" s="3" t="s">
        <v>256</v>
      </c>
      <c r="O21" s="3" t="s">
        <v>526</v>
      </c>
    </row>
    <row r="22" customFormat="false" ht="15" hidden="false" customHeight="true" outlineLevel="0" collapsed="false">
      <c r="A22" s="3" t="s">
        <v>566</v>
      </c>
      <c r="B22" s="3" t="s">
        <v>135</v>
      </c>
      <c r="C22" s="3" t="s">
        <v>90</v>
      </c>
      <c r="D22" s="3" t="s">
        <v>513</v>
      </c>
      <c r="E22" s="4" t="n">
        <v>46204</v>
      </c>
      <c r="F22" s="3" t="s">
        <v>567</v>
      </c>
      <c r="G22" s="3" t="s">
        <v>515</v>
      </c>
      <c r="H22" s="4" t="n">
        <v>46208</v>
      </c>
      <c r="I22" s="3" t="s">
        <v>516</v>
      </c>
      <c r="J22" s="3" t="s">
        <v>517</v>
      </c>
      <c r="K22" s="3" t="s">
        <v>518</v>
      </c>
      <c r="L22" s="4" t="n">
        <v>46235</v>
      </c>
      <c r="M22" s="3" t="s">
        <v>519</v>
      </c>
      <c r="N22" s="3" t="s">
        <v>262</v>
      </c>
      <c r="O22" s="3" t="s">
        <v>520</v>
      </c>
    </row>
    <row r="23" customFormat="false" ht="15" hidden="false" customHeight="true" outlineLevel="0" collapsed="false">
      <c r="A23" s="3" t="s">
        <v>568</v>
      </c>
      <c r="B23" s="3" t="s">
        <v>135</v>
      </c>
      <c r="C23" s="3" t="s">
        <v>90</v>
      </c>
      <c r="D23" s="3" t="s">
        <v>363</v>
      </c>
      <c r="E23" s="4" t="n">
        <v>46213</v>
      </c>
      <c r="F23" s="3" t="s">
        <v>567</v>
      </c>
      <c r="G23" s="3" t="s">
        <v>569</v>
      </c>
      <c r="H23" s="4" t="n">
        <v>46221</v>
      </c>
      <c r="I23" s="3" t="s">
        <v>194</v>
      </c>
      <c r="J23" s="3" t="s">
        <v>524</v>
      </c>
      <c r="K23" s="3" t="s">
        <v>518</v>
      </c>
      <c r="L23" s="4" t="n">
        <v>46239</v>
      </c>
      <c r="M23" s="3" t="s">
        <v>66</v>
      </c>
      <c r="N23" s="3" t="s">
        <v>262</v>
      </c>
      <c r="O23" s="3" t="s">
        <v>526</v>
      </c>
    </row>
    <row r="24" customFormat="false" ht="15" hidden="false" customHeight="true" outlineLevel="0" collapsed="false">
      <c r="A24" s="3" t="s">
        <v>570</v>
      </c>
      <c r="B24" s="3" t="s">
        <v>138</v>
      </c>
      <c r="C24" s="3" t="s">
        <v>97</v>
      </c>
      <c r="D24" s="3" t="s">
        <v>513</v>
      </c>
      <c r="E24" s="4" t="n">
        <v>46202</v>
      </c>
      <c r="F24" s="3" t="s">
        <v>571</v>
      </c>
      <c r="G24" s="3" t="s">
        <v>515</v>
      </c>
      <c r="H24" s="4" t="n">
        <v>46206</v>
      </c>
      <c r="I24" s="3" t="s">
        <v>516</v>
      </c>
      <c r="J24" s="3" t="s">
        <v>517</v>
      </c>
      <c r="K24" s="3" t="s">
        <v>518</v>
      </c>
      <c r="L24" s="4" t="n">
        <v>46235</v>
      </c>
      <c r="M24" s="3" t="s">
        <v>519</v>
      </c>
      <c r="N24" s="3" t="s">
        <v>267</v>
      </c>
      <c r="O24" s="3" t="s">
        <v>520</v>
      </c>
    </row>
    <row r="25" customFormat="false" ht="15" hidden="false" customHeight="true" outlineLevel="0" collapsed="false">
      <c r="A25" s="3" t="s">
        <v>572</v>
      </c>
      <c r="B25" s="3" t="s">
        <v>138</v>
      </c>
      <c r="C25" s="3" t="s">
        <v>97</v>
      </c>
      <c r="D25" s="3" t="s">
        <v>363</v>
      </c>
      <c r="E25" s="4" t="n">
        <v>46211</v>
      </c>
      <c r="F25" s="3" t="s">
        <v>571</v>
      </c>
      <c r="G25" s="3" t="s">
        <v>573</v>
      </c>
      <c r="H25" s="4" t="n">
        <v>46215</v>
      </c>
      <c r="I25" s="3" t="s">
        <v>544</v>
      </c>
      <c r="J25" s="3" t="s">
        <v>545</v>
      </c>
      <c r="K25" s="3" t="s">
        <v>525</v>
      </c>
      <c r="L25" s="4" t="n">
        <v>46235</v>
      </c>
      <c r="M25" s="3" t="s">
        <v>67</v>
      </c>
      <c r="N25" s="3" t="s">
        <v>267</v>
      </c>
      <c r="O25" s="3" t="s">
        <v>526</v>
      </c>
    </row>
    <row r="26" customFormat="false" ht="15" hidden="false" customHeight="true" outlineLevel="0" collapsed="false">
      <c r="A26" s="3" t="s">
        <v>574</v>
      </c>
      <c r="B26" s="3" t="s">
        <v>141</v>
      </c>
      <c r="C26" s="3" t="s">
        <v>103</v>
      </c>
      <c r="D26" s="3" t="s">
        <v>513</v>
      </c>
      <c r="E26" s="4" t="n">
        <v>46205</v>
      </c>
      <c r="F26" s="3" t="s">
        <v>575</v>
      </c>
      <c r="G26" s="3" t="s">
        <v>515</v>
      </c>
      <c r="H26" s="4" t="n">
        <v>46209</v>
      </c>
      <c r="I26" s="3" t="s">
        <v>516</v>
      </c>
      <c r="J26" s="3" t="s">
        <v>517</v>
      </c>
      <c r="K26" s="3" t="s">
        <v>518</v>
      </c>
      <c r="L26" s="4" t="n">
        <v>46235</v>
      </c>
      <c r="M26" s="3" t="s">
        <v>519</v>
      </c>
      <c r="N26" s="3" t="s">
        <v>275</v>
      </c>
      <c r="O26" s="3" t="s">
        <v>520</v>
      </c>
    </row>
    <row r="27" customFormat="false" ht="15" hidden="false" customHeight="true" outlineLevel="0" collapsed="false">
      <c r="A27" s="3" t="s">
        <v>576</v>
      </c>
      <c r="B27" s="3" t="s">
        <v>141</v>
      </c>
      <c r="C27" s="3" t="s">
        <v>103</v>
      </c>
      <c r="D27" s="3" t="s">
        <v>363</v>
      </c>
      <c r="E27" s="4" t="n">
        <v>46214</v>
      </c>
      <c r="F27" s="3" t="s">
        <v>575</v>
      </c>
      <c r="G27" s="3" t="s">
        <v>577</v>
      </c>
      <c r="H27" s="4" t="n">
        <v>46221</v>
      </c>
      <c r="I27" s="3" t="s">
        <v>194</v>
      </c>
      <c r="J27" s="3" t="s">
        <v>524</v>
      </c>
      <c r="K27" s="3" t="s">
        <v>525</v>
      </c>
      <c r="L27" s="4" t="n">
        <v>46239</v>
      </c>
      <c r="M27" s="3" t="s">
        <v>68</v>
      </c>
      <c r="N27" s="3" t="s">
        <v>275</v>
      </c>
      <c r="O27" s="3" t="s">
        <v>526</v>
      </c>
    </row>
    <row r="28" customFormat="false" ht="15" hidden="false" customHeight="true" outlineLevel="0" collapsed="false">
      <c r="A28" s="3" t="s">
        <v>578</v>
      </c>
      <c r="B28" s="3" t="s">
        <v>144</v>
      </c>
      <c r="C28" s="3" t="s">
        <v>108</v>
      </c>
      <c r="D28" s="3" t="s">
        <v>513</v>
      </c>
      <c r="E28" s="4" t="n">
        <v>46204</v>
      </c>
      <c r="F28" s="3" t="s">
        <v>579</v>
      </c>
      <c r="G28" s="3" t="s">
        <v>515</v>
      </c>
      <c r="H28" s="4" t="n">
        <v>46208</v>
      </c>
      <c r="I28" s="3" t="s">
        <v>516</v>
      </c>
      <c r="J28" s="3" t="s">
        <v>517</v>
      </c>
      <c r="K28" s="3" t="s">
        <v>518</v>
      </c>
      <c r="L28" s="4" t="n">
        <v>46233</v>
      </c>
      <c r="M28" s="3" t="s">
        <v>519</v>
      </c>
      <c r="N28" s="3" t="s">
        <v>280</v>
      </c>
      <c r="O28" s="3" t="s">
        <v>520</v>
      </c>
    </row>
    <row r="29" customFormat="false" ht="15" hidden="false" customHeight="true" outlineLevel="0" collapsed="false">
      <c r="A29" s="3" t="s">
        <v>580</v>
      </c>
      <c r="B29" s="3" t="s">
        <v>144</v>
      </c>
      <c r="C29" s="3" t="s">
        <v>108</v>
      </c>
      <c r="D29" s="3" t="s">
        <v>363</v>
      </c>
      <c r="E29" s="4" t="n">
        <v>46213</v>
      </c>
      <c r="F29" s="3" t="s">
        <v>579</v>
      </c>
      <c r="G29" s="3" t="s">
        <v>581</v>
      </c>
      <c r="H29" s="4" t="n">
        <v>46219</v>
      </c>
      <c r="I29" s="3" t="s">
        <v>194</v>
      </c>
      <c r="J29" s="3" t="s">
        <v>524</v>
      </c>
      <c r="K29" s="3" t="s">
        <v>525</v>
      </c>
      <c r="L29" s="4" t="n">
        <v>46233</v>
      </c>
      <c r="M29" s="3" t="s">
        <v>69</v>
      </c>
      <c r="N29" s="3" t="s">
        <v>280</v>
      </c>
      <c r="O29" s="3" t="s">
        <v>526</v>
      </c>
    </row>
    <row r="30" customFormat="false" ht="15" hidden="false" customHeight="true" outlineLevel="0" collapsed="false">
      <c r="A30" s="3" t="s">
        <v>582</v>
      </c>
      <c r="B30" s="3" t="s">
        <v>147</v>
      </c>
      <c r="C30" s="3" t="s">
        <v>113</v>
      </c>
      <c r="D30" s="3" t="s">
        <v>513</v>
      </c>
      <c r="E30" s="4" t="n">
        <v>46201</v>
      </c>
      <c r="F30" s="3" t="s">
        <v>583</v>
      </c>
      <c r="G30" s="3" t="s">
        <v>515</v>
      </c>
      <c r="H30" s="4" t="n">
        <v>46205</v>
      </c>
      <c r="I30" s="3" t="s">
        <v>516</v>
      </c>
      <c r="J30" s="3" t="s">
        <v>517</v>
      </c>
      <c r="K30" s="3" t="s">
        <v>518</v>
      </c>
      <c r="L30" s="4" t="n">
        <v>46235</v>
      </c>
      <c r="M30" s="3" t="s">
        <v>519</v>
      </c>
      <c r="N30" s="3" t="s">
        <v>285</v>
      </c>
      <c r="O30" s="3" t="s">
        <v>520</v>
      </c>
    </row>
    <row r="31" customFormat="false" ht="15" hidden="false" customHeight="true" outlineLevel="0" collapsed="false">
      <c r="A31" s="3" t="s">
        <v>584</v>
      </c>
      <c r="B31" s="3" t="s">
        <v>147</v>
      </c>
      <c r="C31" s="3" t="s">
        <v>113</v>
      </c>
      <c r="D31" s="3" t="s">
        <v>363</v>
      </c>
      <c r="E31" s="4" t="n">
        <v>46210</v>
      </c>
      <c r="F31" s="3" t="s">
        <v>583</v>
      </c>
      <c r="G31" s="3" t="s">
        <v>585</v>
      </c>
      <c r="H31" s="4" t="n">
        <v>46215</v>
      </c>
      <c r="I31" s="3" t="s">
        <v>523</v>
      </c>
      <c r="J31" s="3" t="s">
        <v>524</v>
      </c>
      <c r="K31" s="3" t="s">
        <v>525</v>
      </c>
      <c r="L31" s="4" t="n">
        <v>46239</v>
      </c>
      <c r="M31" s="3" t="s">
        <v>70</v>
      </c>
      <c r="N31" s="3" t="s">
        <v>285</v>
      </c>
      <c r="O31" s="3" t="s">
        <v>526</v>
      </c>
    </row>
    <row r="32" customFormat="false" ht="15" hidden="false" customHeight="true" outlineLevel="0" collapsed="false">
      <c r="A32" s="3" t="s">
        <v>586</v>
      </c>
      <c r="B32" s="3" t="s">
        <v>150</v>
      </c>
      <c r="C32" s="3" t="s">
        <v>90</v>
      </c>
      <c r="D32" s="3" t="s">
        <v>513</v>
      </c>
      <c r="E32" s="4" t="n">
        <v>46205</v>
      </c>
      <c r="F32" s="3" t="s">
        <v>587</v>
      </c>
      <c r="G32" s="3" t="s">
        <v>515</v>
      </c>
      <c r="H32" s="4" t="n">
        <v>46209</v>
      </c>
      <c r="I32" s="3" t="s">
        <v>516</v>
      </c>
      <c r="J32" s="3" t="s">
        <v>517</v>
      </c>
      <c r="K32" s="3" t="s">
        <v>537</v>
      </c>
      <c r="L32" s="4" t="n">
        <v>46225</v>
      </c>
      <c r="M32" s="3" t="s">
        <v>519</v>
      </c>
      <c r="N32" s="3" t="s">
        <v>291</v>
      </c>
      <c r="O32" s="3" t="s">
        <v>520</v>
      </c>
    </row>
    <row r="33" customFormat="false" ht="15" hidden="false" customHeight="true" outlineLevel="0" collapsed="false">
      <c r="A33" s="3" t="s">
        <v>588</v>
      </c>
      <c r="B33" s="3" t="s">
        <v>150</v>
      </c>
      <c r="C33" s="3" t="s">
        <v>90</v>
      </c>
      <c r="D33" s="3" t="s">
        <v>363</v>
      </c>
      <c r="E33" s="4" t="n">
        <v>46214</v>
      </c>
      <c r="F33" s="3" t="s">
        <v>587</v>
      </c>
      <c r="G33" s="3" t="s">
        <v>589</v>
      </c>
      <c r="H33" s="4" t="n">
        <v>46214</v>
      </c>
      <c r="I33" s="3" t="s">
        <v>516</v>
      </c>
      <c r="J33" s="3" t="s">
        <v>524</v>
      </c>
      <c r="K33" s="3" t="s">
        <v>518</v>
      </c>
      <c r="L33" s="4" t="n">
        <v>46225</v>
      </c>
      <c r="M33" s="3" t="s">
        <v>71</v>
      </c>
      <c r="N33" s="3" t="s">
        <v>291</v>
      </c>
      <c r="O33" s="3" t="s">
        <v>526</v>
      </c>
    </row>
    <row r="34" customFormat="false" ht="15" hidden="false" customHeight="true" outlineLevel="0" collapsed="false">
      <c r="A34" s="3" t="s">
        <v>590</v>
      </c>
      <c r="B34" s="3" t="s">
        <v>156</v>
      </c>
      <c r="C34" s="3" t="s">
        <v>97</v>
      </c>
      <c r="D34" s="3" t="s">
        <v>513</v>
      </c>
      <c r="E34" s="4" t="n">
        <v>46203</v>
      </c>
      <c r="F34" s="3" t="s">
        <v>591</v>
      </c>
      <c r="G34" s="3" t="s">
        <v>515</v>
      </c>
      <c r="H34" s="4" t="n">
        <v>46207</v>
      </c>
      <c r="I34" s="3" t="s">
        <v>516</v>
      </c>
      <c r="J34" s="3" t="s">
        <v>517</v>
      </c>
      <c r="K34" s="3" t="s">
        <v>518</v>
      </c>
      <c r="L34" s="4" t="n">
        <v>46235</v>
      </c>
      <c r="M34" s="3" t="s">
        <v>519</v>
      </c>
      <c r="N34" s="3" t="s">
        <v>296</v>
      </c>
      <c r="O34" s="3" t="s">
        <v>520</v>
      </c>
    </row>
    <row r="35" customFormat="false" ht="15" hidden="false" customHeight="true" outlineLevel="0" collapsed="false">
      <c r="A35" s="3" t="s">
        <v>592</v>
      </c>
      <c r="B35" s="3" t="s">
        <v>156</v>
      </c>
      <c r="C35" s="3" t="s">
        <v>97</v>
      </c>
      <c r="D35" s="3" t="s">
        <v>363</v>
      </c>
      <c r="E35" s="4" t="n">
        <v>46212</v>
      </c>
      <c r="F35" s="3" t="s">
        <v>591</v>
      </c>
      <c r="G35" s="3" t="s">
        <v>593</v>
      </c>
      <c r="H35" s="4" t="n">
        <v>46222</v>
      </c>
      <c r="I35" s="3" t="s">
        <v>194</v>
      </c>
      <c r="J35" s="3" t="s">
        <v>524</v>
      </c>
      <c r="K35" s="3" t="s">
        <v>525</v>
      </c>
      <c r="L35" s="4" t="n">
        <v>46239</v>
      </c>
      <c r="M35" s="3" t="s">
        <v>72</v>
      </c>
      <c r="N35" s="3" t="s">
        <v>296</v>
      </c>
      <c r="O35" s="3" t="s">
        <v>526</v>
      </c>
    </row>
    <row r="36" customFormat="false" ht="15" hidden="false" customHeight="true" outlineLevel="0" collapsed="false">
      <c r="A36" s="3" t="s">
        <v>594</v>
      </c>
      <c r="B36" s="3" t="s">
        <v>160</v>
      </c>
      <c r="C36" s="3" t="s">
        <v>103</v>
      </c>
      <c r="D36" s="3" t="s">
        <v>513</v>
      </c>
      <c r="E36" s="4" t="n">
        <v>46208</v>
      </c>
      <c r="F36" s="3" t="s">
        <v>595</v>
      </c>
      <c r="G36" s="3" t="s">
        <v>515</v>
      </c>
      <c r="H36" s="4" t="n">
        <v>46212</v>
      </c>
      <c r="I36" s="3" t="s">
        <v>516</v>
      </c>
      <c r="J36" s="3" t="s">
        <v>517</v>
      </c>
      <c r="K36" s="3" t="s">
        <v>537</v>
      </c>
      <c r="L36" s="4" t="n">
        <v>46235</v>
      </c>
      <c r="M36" s="3" t="s">
        <v>519</v>
      </c>
      <c r="N36" s="3" t="s">
        <v>307</v>
      </c>
      <c r="O36" s="3" t="s">
        <v>520</v>
      </c>
    </row>
    <row r="37" customFormat="false" ht="15" hidden="false" customHeight="true" outlineLevel="0" collapsed="false">
      <c r="A37" s="3" t="s">
        <v>596</v>
      </c>
      <c r="B37" s="3" t="s">
        <v>160</v>
      </c>
      <c r="C37" s="3" t="s">
        <v>103</v>
      </c>
      <c r="D37" s="3" t="s">
        <v>363</v>
      </c>
      <c r="E37" s="4" t="n">
        <v>46217</v>
      </c>
      <c r="F37" s="3" t="s">
        <v>595</v>
      </c>
      <c r="G37" s="3" t="s">
        <v>597</v>
      </c>
      <c r="H37" s="4" t="n">
        <v>46217</v>
      </c>
      <c r="I37" s="3" t="s">
        <v>516</v>
      </c>
      <c r="J37" s="3" t="s">
        <v>524</v>
      </c>
      <c r="K37" s="3" t="s">
        <v>518</v>
      </c>
      <c r="L37" s="4" t="n">
        <v>46239</v>
      </c>
      <c r="M37" s="3" t="s">
        <v>73</v>
      </c>
      <c r="N37" s="3" t="s">
        <v>307</v>
      </c>
      <c r="O37" s="3" t="s">
        <v>526</v>
      </c>
    </row>
    <row r="38" customFormat="false" ht="15" hidden="false" customHeight="true" outlineLevel="0" collapsed="false">
      <c r="A38" s="3" t="s">
        <v>598</v>
      </c>
      <c r="B38" s="3" t="s">
        <v>86</v>
      </c>
      <c r="C38" s="3" t="s">
        <v>90</v>
      </c>
      <c r="D38" s="3" t="s">
        <v>599</v>
      </c>
      <c r="E38" s="4" t="n">
        <v>46217</v>
      </c>
      <c r="F38" s="3" t="s">
        <v>514</v>
      </c>
      <c r="G38" s="3" t="s">
        <v>600</v>
      </c>
      <c r="H38" s="4" t="n">
        <v>46219</v>
      </c>
      <c r="I38" s="3" t="s">
        <v>194</v>
      </c>
      <c r="J38" s="3" t="s">
        <v>601</v>
      </c>
      <c r="K38" s="3" t="s">
        <v>525</v>
      </c>
      <c r="L38" s="4" t="n">
        <v>46227</v>
      </c>
      <c r="M38" s="3" t="s">
        <v>43</v>
      </c>
      <c r="N38" s="3" t="s">
        <v>181</v>
      </c>
      <c r="O38" s="3" t="s">
        <v>602</v>
      </c>
    </row>
    <row r="39" customFormat="false" ht="15" hidden="false" customHeight="true" outlineLevel="0" collapsed="false">
      <c r="A39" s="3" t="s">
        <v>603</v>
      </c>
      <c r="B39" s="3" t="s">
        <v>110</v>
      </c>
      <c r="C39" s="3" t="s">
        <v>113</v>
      </c>
      <c r="D39" s="3" t="s">
        <v>604</v>
      </c>
      <c r="E39" s="4" t="n">
        <v>46216</v>
      </c>
      <c r="F39" s="3" t="s">
        <v>541</v>
      </c>
      <c r="G39" s="3" t="s">
        <v>605</v>
      </c>
      <c r="H39" s="4" t="n">
        <v>46221</v>
      </c>
      <c r="I39" s="3" t="s">
        <v>194</v>
      </c>
      <c r="J39" s="3" t="s">
        <v>601</v>
      </c>
      <c r="K39" s="3" t="s">
        <v>525</v>
      </c>
      <c r="L39" s="4" t="n">
        <v>46239</v>
      </c>
      <c r="M39" s="3" t="s">
        <v>56</v>
      </c>
      <c r="N39" s="3" t="s">
        <v>224</v>
      </c>
      <c r="O39" s="3" t="s">
        <v>602</v>
      </c>
    </row>
    <row r="40" customFormat="false" ht="15" hidden="false" customHeight="true" outlineLevel="0" collapsed="false">
      <c r="A40" s="3" t="s">
        <v>606</v>
      </c>
      <c r="B40" s="3" t="s">
        <v>138</v>
      </c>
      <c r="C40" s="3" t="s">
        <v>97</v>
      </c>
      <c r="D40" s="3" t="s">
        <v>607</v>
      </c>
      <c r="E40" s="4" t="n">
        <v>46217</v>
      </c>
      <c r="F40" s="3" t="s">
        <v>571</v>
      </c>
      <c r="G40" s="3" t="s">
        <v>608</v>
      </c>
      <c r="H40" s="4" t="n">
        <v>46221</v>
      </c>
      <c r="I40" s="3" t="s">
        <v>194</v>
      </c>
      <c r="J40" s="3" t="s">
        <v>601</v>
      </c>
      <c r="K40" s="3" t="s">
        <v>525</v>
      </c>
      <c r="L40" s="4" t="n">
        <v>46235</v>
      </c>
      <c r="M40" s="3" t="s">
        <v>67</v>
      </c>
      <c r="N40" s="3" t="s">
        <v>267</v>
      </c>
      <c r="O40" s="3" t="s">
        <v>602</v>
      </c>
    </row>
    <row r="41" customFormat="false" ht="15" hidden="false" customHeight="true" outlineLevel="0" collapsed="false">
      <c r="A41" s="3" t="s">
        <v>609</v>
      </c>
      <c r="B41" s="3" t="s">
        <v>144</v>
      </c>
      <c r="C41" s="3" t="s">
        <v>108</v>
      </c>
      <c r="D41" s="3" t="s">
        <v>599</v>
      </c>
      <c r="E41" s="4" t="n">
        <v>46217</v>
      </c>
      <c r="F41" s="3" t="s">
        <v>579</v>
      </c>
      <c r="G41" s="3" t="s">
        <v>610</v>
      </c>
      <c r="H41" s="4" t="n">
        <v>46220</v>
      </c>
      <c r="I41" s="3" t="s">
        <v>194</v>
      </c>
      <c r="J41" s="3" t="s">
        <v>601</v>
      </c>
      <c r="K41" s="3" t="s">
        <v>525</v>
      </c>
      <c r="L41" s="4" t="n">
        <v>46233</v>
      </c>
      <c r="M41" s="3" t="s">
        <v>69</v>
      </c>
      <c r="N41" s="3" t="s">
        <v>280</v>
      </c>
      <c r="O41" s="3" t="s">
        <v>602</v>
      </c>
    </row>
    <row r="42" customFormat="false" ht="15" hidden="false" customHeight="true" outlineLevel="0" collapsed="false">
      <c r="A42" s="3" t="s">
        <v>611</v>
      </c>
      <c r="B42" s="3" t="s">
        <v>156</v>
      </c>
      <c r="C42" s="3" t="s">
        <v>97</v>
      </c>
      <c r="D42" s="3" t="s">
        <v>612</v>
      </c>
      <c r="E42" s="4" t="n">
        <v>46217</v>
      </c>
      <c r="F42" s="3" t="s">
        <v>591</v>
      </c>
      <c r="G42" s="3" t="s">
        <v>613</v>
      </c>
      <c r="H42" s="4" t="n">
        <v>46227</v>
      </c>
      <c r="I42" s="3" t="s">
        <v>194</v>
      </c>
      <c r="J42" s="3" t="s">
        <v>601</v>
      </c>
      <c r="K42" s="3" t="s">
        <v>525</v>
      </c>
      <c r="L42" s="4" t="n">
        <v>46239</v>
      </c>
      <c r="M42" s="3" t="s">
        <v>72</v>
      </c>
      <c r="N42" s="3" t="s">
        <v>296</v>
      </c>
      <c r="O42" s="3" t="s">
        <v>602</v>
      </c>
    </row>
  </sheetData>
  <autoFilter ref="A1:O42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70.32"/>
    <col collapsed="false" customWidth="true" hidden="false" outlineLevel="0" max="3" min="3" style="1" width="31.11"/>
    <col collapsed="false" customWidth="true" hidden="false" outlineLevel="0" max="4" min="4" style="1" width="12.08"/>
    <col collapsed="false" customWidth="true" hidden="false" outlineLevel="0" max="5" min="5" style="1" width="19.92"/>
    <col collapsed="false" customWidth="true" hidden="false" outlineLevel="0" max="6" min="6" style="1" width="23.28"/>
    <col collapsed="false" customWidth="true" hidden="false" outlineLevel="0" max="8" min="7" style="1" width="119.6"/>
  </cols>
  <sheetData>
    <row r="1" customFormat="false" ht="15" hidden="false" customHeight="true" outlineLevel="0" collapsed="false">
      <c r="A1" s="2" t="s">
        <v>614</v>
      </c>
      <c r="B1" s="2" t="s">
        <v>167</v>
      </c>
      <c r="C1" s="2" t="s">
        <v>615</v>
      </c>
      <c r="D1" s="2" t="s">
        <v>616</v>
      </c>
      <c r="E1" s="2" t="s">
        <v>617</v>
      </c>
      <c r="F1" s="2" t="s">
        <v>618</v>
      </c>
      <c r="G1" s="2" t="s">
        <v>619</v>
      </c>
      <c r="H1" s="2" t="s">
        <v>620</v>
      </c>
    </row>
    <row r="2" customFormat="false" ht="15" hidden="false" customHeight="true" outlineLevel="0" collapsed="false">
      <c r="A2" s="3" t="s">
        <v>621</v>
      </c>
      <c r="B2" s="3" t="s">
        <v>183</v>
      </c>
      <c r="C2" s="3" t="s">
        <v>622</v>
      </c>
      <c r="D2" s="3" t="n">
        <v>25000</v>
      </c>
      <c r="E2" s="3" t="s">
        <v>623</v>
      </c>
      <c r="F2" s="4" t="n">
        <v>46295</v>
      </c>
      <c r="G2" s="3" t="s">
        <v>624</v>
      </c>
      <c r="H2" s="3" t="s">
        <v>625</v>
      </c>
    </row>
    <row r="3" customFormat="false" ht="15" hidden="false" customHeight="true" outlineLevel="0" collapsed="false">
      <c r="A3" s="3" t="s">
        <v>626</v>
      </c>
      <c r="B3" s="3" t="s">
        <v>205</v>
      </c>
      <c r="C3" s="3" t="s">
        <v>622</v>
      </c>
      <c r="D3" s="3" t="n">
        <v>10000</v>
      </c>
      <c r="E3" s="3" t="s">
        <v>623</v>
      </c>
      <c r="F3" s="4" t="n">
        <v>46295</v>
      </c>
      <c r="G3" s="3" t="s">
        <v>627</v>
      </c>
      <c r="H3" s="3" t="s">
        <v>628</v>
      </c>
    </row>
    <row r="4" customFormat="false" ht="15" hidden="false" customHeight="true" outlineLevel="0" collapsed="false">
      <c r="A4" s="3" t="s">
        <v>629</v>
      </c>
      <c r="B4" s="3" t="s">
        <v>212</v>
      </c>
      <c r="C4" s="3" t="s">
        <v>630</v>
      </c>
      <c r="D4" s="3" t="n">
        <v>0</v>
      </c>
      <c r="E4" s="3" t="s">
        <v>623</v>
      </c>
      <c r="F4" s="4" t="n">
        <v>46295</v>
      </c>
      <c r="G4" s="3" t="s">
        <v>631</v>
      </c>
      <c r="H4" s="3" t="s">
        <v>632</v>
      </c>
    </row>
    <row r="5" customFormat="false" ht="15" hidden="false" customHeight="true" outlineLevel="0" collapsed="false">
      <c r="A5" s="3" t="s">
        <v>633</v>
      </c>
      <c r="B5" s="3" t="s">
        <v>634</v>
      </c>
      <c r="C5" s="3" t="s">
        <v>622</v>
      </c>
      <c r="D5" s="3" t="n">
        <v>18000</v>
      </c>
      <c r="E5" s="3" t="s">
        <v>623</v>
      </c>
      <c r="F5" s="4" t="n">
        <v>46295</v>
      </c>
      <c r="G5" s="3" t="s">
        <v>635</v>
      </c>
      <c r="H5" s="3" t="s">
        <v>636</v>
      </c>
    </row>
    <row r="6" customFormat="false" ht="15" hidden="false" customHeight="true" outlineLevel="0" collapsed="false">
      <c r="A6" s="3" t="s">
        <v>637</v>
      </c>
      <c r="B6" s="3" t="s">
        <v>192</v>
      </c>
      <c r="C6" s="3" t="s">
        <v>622</v>
      </c>
      <c r="D6" s="3" t="n">
        <v>0</v>
      </c>
      <c r="E6" s="3" t="s">
        <v>623</v>
      </c>
      <c r="F6" s="4" t="n">
        <v>46295</v>
      </c>
      <c r="G6" s="3" t="s">
        <v>638</v>
      </c>
      <c r="H6" s="3" t="s">
        <v>639</v>
      </c>
    </row>
    <row r="7" customFormat="false" ht="15" hidden="false" customHeight="true" outlineLevel="0" collapsed="false">
      <c r="A7" s="3" t="s">
        <v>640</v>
      </c>
      <c r="B7" s="3" t="s">
        <v>641</v>
      </c>
      <c r="C7" s="3" t="s">
        <v>642</v>
      </c>
      <c r="D7" s="3" t="n">
        <v>0</v>
      </c>
      <c r="E7" s="3" t="s">
        <v>643</v>
      </c>
      <c r="F7" s="4" t="n">
        <v>46295</v>
      </c>
      <c r="G7" s="3" t="s">
        <v>644</v>
      </c>
      <c r="H7" s="3" t="s">
        <v>645</v>
      </c>
    </row>
  </sheetData>
  <autoFilter ref="A1:H7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24.4"/>
    <col collapsed="false" customWidth="true" hidden="false" outlineLevel="0" max="3" min="3" style="1" width="17.68"/>
    <col collapsed="false" customWidth="true" hidden="false" outlineLevel="0" max="5" min="4" style="1" width="74.8"/>
    <col collapsed="false" customWidth="true" hidden="false" outlineLevel="0" max="6" min="6" style="1" width="26.64"/>
    <col collapsed="false" customWidth="true" hidden="false" outlineLevel="0" max="7" min="7" style="1" width="24.4"/>
  </cols>
  <sheetData>
    <row r="1" customFormat="false" ht="15" hidden="false" customHeight="true" outlineLevel="0" collapsed="false">
      <c r="A1" s="2" t="s">
        <v>74</v>
      </c>
      <c r="B1" s="2" t="s">
        <v>646</v>
      </c>
      <c r="C1" s="2" t="s">
        <v>647</v>
      </c>
      <c r="D1" s="2" t="s">
        <v>648</v>
      </c>
      <c r="E1" s="2" t="s">
        <v>649</v>
      </c>
      <c r="F1" s="2" t="s">
        <v>650</v>
      </c>
      <c r="G1" s="2" t="s">
        <v>651</v>
      </c>
    </row>
    <row r="2" customFormat="false" ht="15" hidden="false" customHeight="true" outlineLevel="0" collapsed="false">
      <c r="A2" s="3" t="s">
        <v>86</v>
      </c>
      <c r="B2" s="3" t="s">
        <v>42</v>
      </c>
      <c r="C2" s="3" t="s">
        <v>621</v>
      </c>
      <c r="D2" s="3" t="s">
        <v>43</v>
      </c>
      <c r="E2" s="3"/>
      <c r="F2" s="4" t="n">
        <v>46220</v>
      </c>
      <c r="G2" s="4" t="n">
        <v>46227</v>
      </c>
    </row>
    <row r="3" customFormat="false" ht="15" hidden="false" customHeight="true" outlineLevel="0" collapsed="false">
      <c r="A3" s="3" t="s">
        <v>93</v>
      </c>
      <c r="B3" s="3" t="s">
        <v>42</v>
      </c>
      <c r="C3" s="3" t="s">
        <v>637</v>
      </c>
      <c r="D3" s="3" t="s">
        <v>47</v>
      </c>
      <c r="E3" s="3"/>
      <c r="F3" s="4" t="n">
        <v>46220</v>
      </c>
      <c r="G3" s="4" t="n">
        <v>46227</v>
      </c>
    </row>
    <row r="4" customFormat="false" ht="15" hidden="false" customHeight="true" outlineLevel="0" collapsed="false">
      <c r="A4" s="3" t="s">
        <v>100</v>
      </c>
      <c r="B4" s="3" t="s">
        <v>42</v>
      </c>
      <c r="C4" s="3" t="s">
        <v>626</v>
      </c>
      <c r="D4" s="3" t="s">
        <v>51</v>
      </c>
      <c r="E4" s="3"/>
      <c r="F4" s="4" t="n">
        <v>46220</v>
      </c>
      <c r="G4" s="4" t="n">
        <v>46227</v>
      </c>
    </row>
    <row r="5" customFormat="false" ht="15" hidden="false" customHeight="true" outlineLevel="0" collapsed="false">
      <c r="A5" s="3" t="s">
        <v>105</v>
      </c>
      <c r="B5" s="3" t="s">
        <v>42</v>
      </c>
      <c r="C5" s="3" t="s">
        <v>633</v>
      </c>
      <c r="D5" s="3" t="s">
        <v>54</v>
      </c>
      <c r="E5" s="3"/>
      <c r="F5" s="4" t="n">
        <v>46220</v>
      </c>
      <c r="G5" s="4" t="n">
        <v>46227</v>
      </c>
    </row>
    <row r="6" customFormat="false" ht="15" hidden="false" customHeight="true" outlineLevel="0" collapsed="false">
      <c r="A6" s="3" t="s">
        <v>110</v>
      </c>
      <c r="B6" s="3" t="s">
        <v>42</v>
      </c>
      <c r="C6" s="3" t="s">
        <v>633</v>
      </c>
      <c r="D6" s="3" t="s">
        <v>56</v>
      </c>
      <c r="E6" s="3"/>
      <c r="F6" s="4" t="n">
        <v>46220</v>
      </c>
      <c r="G6" s="4" t="n">
        <v>46227</v>
      </c>
    </row>
    <row r="7" customFormat="false" ht="15" hidden="false" customHeight="true" outlineLevel="0" collapsed="false">
      <c r="A7" s="3" t="s">
        <v>115</v>
      </c>
      <c r="B7" s="3" t="s">
        <v>42</v>
      </c>
      <c r="C7" s="3" t="s">
        <v>626</v>
      </c>
      <c r="D7" s="3" t="s">
        <v>58</v>
      </c>
      <c r="E7" s="3"/>
      <c r="F7" s="4" t="n">
        <v>46220</v>
      </c>
      <c r="G7" s="4" t="n">
        <v>46227</v>
      </c>
    </row>
    <row r="8" customFormat="false" ht="15" hidden="false" customHeight="true" outlineLevel="0" collapsed="false">
      <c r="A8" s="3" t="s">
        <v>120</v>
      </c>
      <c r="B8" s="3" t="s">
        <v>42</v>
      </c>
      <c r="C8" s="3" t="s">
        <v>621</v>
      </c>
      <c r="D8" s="3" t="s">
        <v>60</v>
      </c>
      <c r="E8" s="3"/>
      <c r="F8" s="4" t="n">
        <v>46220</v>
      </c>
      <c r="G8" s="4" t="n">
        <v>46227</v>
      </c>
    </row>
    <row r="9" customFormat="false" ht="15" hidden="false" customHeight="true" outlineLevel="0" collapsed="false">
      <c r="A9" s="3" t="s">
        <v>123</v>
      </c>
      <c r="B9" s="3" t="s">
        <v>42</v>
      </c>
      <c r="C9" s="3" t="s">
        <v>637</v>
      </c>
      <c r="D9" s="3" t="s">
        <v>62</v>
      </c>
      <c r="E9" s="3"/>
      <c r="F9" s="4" t="n">
        <v>46220</v>
      </c>
      <c r="G9" s="4" t="n">
        <v>46227</v>
      </c>
    </row>
    <row r="10" customFormat="false" ht="15" hidden="false" customHeight="true" outlineLevel="0" collapsed="false">
      <c r="A10" s="3" t="s">
        <v>127</v>
      </c>
      <c r="B10" s="3" t="s">
        <v>42</v>
      </c>
      <c r="C10" s="3" t="s">
        <v>633</v>
      </c>
      <c r="D10" s="3" t="s">
        <v>63</v>
      </c>
      <c r="E10" s="3"/>
      <c r="F10" s="4" t="n">
        <v>46220</v>
      </c>
      <c r="G10" s="4" t="n">
        <v>46227</v>
      </c>
    </row>
    <row r="11" customFormat="false" ht="15" hidden="false" customHeight="true" outlineLevel="0" collapsed="false">
      <c r="A11" s="3" t="s">
        <v>131</v>
      </c>
      <c r="B11" s="3" t="s">
        <v>42</v>
      </c>
      <c r="C11" s="3" t="s">
        <v>629</v>
      </c>
      <c r="D11" s="3" t="s">
        <v>65</v>
      </c>
      <c r="E11" s="3"/>
      <c r="F11" s="4" t="n">
        <v>46220</v>
      </c>
      <c r="G11" s="4" t="n">
        <v>46227</v>
      </c>
    </row>
    <row r="12" customFormat="false" ht="15" hidden="false" customHeight="true" outlineLevel="0" collapsed="false">
      <c r="A12" s="3" t="s">
        <v>135</v>
      </c>
      <c r="B12" s="3" t="s">
        <v>42</v>
      </c>
      <c r="C12" s="3" t="s">
        <v>637</v>
      </c>
      <c r="D12" s="3" t="s">
        <v>66</v>
      </c>
      <c r="E12" s="3"/>
      <c r="F12" s="4" t="n">
        <v>46220</v>
      </c>
      <c r="G12" s="4" t="n">
        <v>46227</v>
      </c>
    </row>
    <row r="13" customFormat="false" ht="15" hidden="false" customHeight="true" outlineLevel="0" collapsed="false">
      <c r="A13" s="3" t="s">
        <v>138</v>
      </c>
      <c r="B13" s="3" t="s">
        <v>42</v>
      </c>
      <c r="C13" s="3" t="s">
        <v>621</v>
      </c>
      <c r="D13" s="3" t="s">
        <v>67</v>
      </c>
      <c r="E13" s="3"/>
      <c r="F13" s="4" t="n">
        <v>46220</v>
      </c>
      <c r="G13" s="4" t="n">
        <v>46227</v>
      </c>
    </row>
    <row r="14" customFormat="false" ht="15" hidden="false" customHeight="true" outlineLevel="0" collapsed="false">
      <c r="A14" s="3" t="s">
        <v>141</v>
      </c>
      <c r="B14" s="3" t="s">
        <v>46</v>
      </c>
      <c r="C14" s="3" t="s">
        <v>621</v>
      </c>
      <c r="D14" s="3" t="s">
        <v>68</v>
      </c>
      <c r="E14" s="3" t="s">
        <v>44</v>
      </c>
      <c r="F14" s="4" t="n">
        <v>46220</v>
      </c>
      <c r="G14" s="4" t="n">
        <v>46227</v>
      </c>
    </row>
    <row r="15" customFormat="false" ht="15" hidden="false" customHeight="true" outlineLevel="0" collapsed="false">
      <c r="A15" s="3" t="s">
        <v>144</v>
      </c>
      <c r="B15" s="3" t="s">
        <v>46</v>
      </c>
      <c r="C15" s="3" t="s">
        <v>640</v>
      </c>
      <c r="D15" s="3" t="s">
        <v>69</v>
      </c>
      <c r="E15" s="3" t="s">
        <v>48</v>
      </c>
      <c r="F15" s="4" t="n">
        <v>46220</v>
      </c>
      <c r="G15" s="4" t="n">
        <v>46227</v>
      </c>
    </row>
    <row r="16" customFormat="false" ht="15" hidden="false" customHeight="true" outlineLevel="0" collapsed="false">
      <c r="A16" s="3" t="s">
        <v>147</v>
      </c>
      <c r="B16" s="3" t="s">
        <v>46</v>
      </c>
      <c r="C16" s="3" t="s">
        <v>633</v>
      </c>
      <c r="D16" s="3" t="s">
        <v>70</v>
      </c>
      <c r="E16" s="3" t="s">
        <v>52</v>
      </c>
      <c r="F16" s="4" t="n">
        <v>46220</v>
      </c>
      <c r="G16" s="4" t="n">
        <v>46227</v>
      </c>
    </row>
    <row r="17" customFormat="false" ht="15" hidden="false" customHeight="true" outlineLevel="0" collapsed="false">
      <c r="A17" s="3" t="s">
        <v>150</v>
      </c>
      <c r="B17" s="3" t="s">
        <v>50</v>
      </c>
      <c r="C17" s="3"/>
      <c r="D17" s="3" t="s">
        <v>71</v>
      </c>
      <c r="E17" s="3" t="s">
        <v>55</v>
      </c>
      <c r="F17" s="4" t="n">
        <v>46220</v>
      </c>
      <c r="G17" s="4" t="n">
        <v>46227</v>
      </c>
    </row>
    <row r="18" customFormat="false" ht="15" hidden="false" customHeight="true" outlineLevel="0" collapsed="false">
      <c r="A18" s="3" t="s">
        <v>156</v>
      </c>
      <c r="B18" s="3" t="s">
        <v>46</v>
      </c>
      <c r="C18" s="3" t="s">
        <v>640</v>
      </c>
      <c r="D18" s="3" t="s">
        <v>72</v>
      </c>
      <c r="E18" s="3" t="s">
        <v>57</v>
      </c>
      <c r="F18" s="4" t="n">
        <v>46220</v>
      </c>
      <c r="G18" s="4" t="n">
        <v>46227</v>
      </c>
    </row>
    <row r="19" customFormat="false" ht="15" hidden="false" customHeight="true" outlineLevel="0" collapsed="false">
      <c r="A19" s="3" t="s">
        <v>160</v>
      </c>
      <c r="B19" s="3" t="s">
        <v>50</v>
      </c>
      <c r="C19" s="3"/>
      <c r="D19" s="3" t="s">
        <v>73</v>
      </c>
      <c r="E19" s="3" t="s">
        <v>59</v>
      </c>
      <c r="F19" s="4" t="n">
        <v>46220</v>
      </c>
      <c r="G19" s="4" t="n">
        <v>46227</v>
      </c>
    </row>
  </sheetData>
  <autoFilter ref="A1:G19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.2"/>
    <col collapsed="false" customWidth="true" hidden="false" outlineLevel="0" max="3" min="3" style="1" width="15.44"/>
    <col collapsed="false" customWidth="true" hidden="false" outlineLevel="0" max="4" min="4" style="1" width="16.56"/>
    <col collapsed="false" customWidth="true" hidden="false" outlineLevel="0" max="5" min="5" style="1" width="26.64"/>
    <col collapsed="false" customWidth="true" hidden="false" outlineLevel="0" max="6" min="6" style="1" width="17.68"/>
  </cols>
  <sheetData>
    <row r="1" customFormat="false" ht="15" hidden="false" customHeight="true" outlineLevel="0" collapsed="false">
      <c r="A1" s="2" t="s">
        <v>74</v>
      </c>
      <c r="B1" s="2" t="s">
        <v>652</v>
      </c>
      <c r="C1" s="2" t="s">
        <v>653</v>
      </c>
      <c r="D1" s="2" t="s">
        <v>654</v>
      </c>
      <c r="E1" s="2" t="s">
        <v>655</v>
      </c>
      <c r="F1" s="2" t="s">
        <v>656</v>
      </c>
    </row>
    <row r="2" customFormat="false" ht="15" hidden="false" customHeight="true" outlineLevel="0" collapsed="false">
      <c r="A2" s="3" t="s">
        <v>86</v>
      </c>
      <c r="B2" s="3" t="n">
        <v>2</v>
      </c>
      <c r="C2" s="3" t="n">
        <v>4</v>
      </c>
      <c r="D2" s="3" t="n">
        <v>19</v>
      </c>
      <c r="E2" s="3" t="s">
        <v>183</v>
      </c>
      <c r="F2" s="3" t="s">
        <v>181</v>
      </c>
    </row>
    <row r="3" customFormat="false" ht="15" hidden="false" customHeight="true" outlineLevel="0" collapsed="false">
      <c r="A3" s="3" t="s">
        <v>93</v>
      </c>
      <c r="B3" s="3" t="n">
        <v>1</v>
      </c>
      <c r="C3" s="3" t="n">
        <v>4</v>
      </c>
      <c r="D3" s="3" t="n">
        <v>17</v>
      </c>
      <c r="E3" s="3" t="s">
        <v>192</v>
      </c>
      <c r="F3" s="3" t="s">
        <v>198</v>
      </c>
    </row>
    <row r="4" customFormat="false" ht="15" hidden="false" customHeight="true" outlineLevel="0" collapsed="false">
      <c r="A4" s="3" t="s">
        <v>100</v>
      </c>
      <c r="B4" s="3" t="n">
        <v>2</v>
      </c>
      <c r="C4" s="3" t="n">
        <v>4</v>
      </c>
      <c r="D4" s="3" t="n">
        <v>17</v>
      </c>
      <c r="E4" s="3" t="s">
        <v>205</v>
      </c>
      <c r="F4" s="3" t="s">
        <v>203</v>
      </c>
    </row>
    <row r="5" customFormat="false" ht="15" hidden="false" customHeight="true" outlineLevel="0" collapsed="false">
      <c r="A5" s="3" t="s">
        <v>105</v>
      </c>
      <c r="B5" s="3" t="n">
        <v>1</v>
      </c>
      <c r="C5" s="3" t="n">
        <v>3</v>
      </c>
      <c r="D5" s="3" t="n">
        <v>14</v>
      </c>
      <c r="E5" s="3" t="s">
        <v>220</v>
      </c>
      <c r="F5" s="3" t="s">
        <v>218</v>
      </c>
    </row>
    <row r="6" customFormat="false" ht="15" hidden="false" customHeight="true" outlineLevel="0" collapsed="false">
      <c r="A6" s="3" t="s">
        <v>110</v>
      </c>
      <c r="B6" s="3" t="n">
        <v>2</v>
      </c>
      <c r="C6" s="3" t="n">
        <v>5</v>
      </c>
      <c r="D6" s="3" t="n">
        <v>23</v>
      </c>
      <c r="E6" s="3" t="s">
        <v>226</v>
      </c>
      <c r="F6" s="3" t="s">
        <v>224</v>
      </c>
    </row>
    <row r="7" customFormat="false" ht="15" hidden="false" customHeight="true" outlineLevel="0" collapsed="false">
      <c r="A7" s="3" t="s">
        <v>115</v>
      </c>
      <c r="B7" s="3" t="n">
        <v>1</v>
      </c>
      <c r="C7" s="3" t="n">
        <v>3</v>
      </c>
      <c r="D7" s="3" t="n">
        <v>10</v>
      </c>
      <c r="E7" s="3" t="s">
        <v>205</v>
      </c>
      <c r="F7" s="3" t="s">
        <v>236</v>
      </c>
    </row>
    <row r="8" customFormat="false" ht="15" hidden="false" customHeight="true" outlineLevel="0" collapsed="false">
      <c r="A8" s="3" t="s">
        <v>120</v>
      </c>
      <c r="B8" s="3" t="n">
        <v>1</v>
      </c>
      <c r="C8" s="3" t="n">
        <v>4</v>
      </c>
      <c r="D8" s="3" t="n">
        <v>23</v>
      </c>
      <c r="E8" s="3" t="s">
        <v>183</v>
      </c>
      <c r="F8" s="3" t="s">
        <v>241</v>
      </c>
    </row>
    <row r="9" customFormat="false" ht="15" hidden="false" customHeight="true" outlineLevel="0" collapsed="false">
      <c r="A9" s="3" t="s">
        <v>123</v>
      </c>
      <c r="B9" s="3" t="n">
        <v>1</v>
      </c>
      <c r="C9" s="3" t="n">
        <v>3</v>
      </c>
      <c r="D9" s="3" t="n">
        <v>9</v>
      </c>
      <c r="E9" s="3" t="s">
        <v>192</v>
      </c>
      <c r="F9" s="3" t="s">
        <v>246</v>
      </c>
    </row>
    <row r="10" customFormat="false" ht="15" hidden="false" customHeight="true" outlineLevel="0" collapsed="false">
      <c r="A10" s="3" t="s">
        <v>127</v>
      </c>
      <c r="B10" s="3" t="n">
        <v>1</v>
      </c>
      <c r="C10" s="3" t="n">
        <v>4</v>
      </c>
      <c r="D10" s="3" t="n">
        <v>20</v>
      </c>
      <c r="E10" s="3" t="s">
        <v>220</v>
      </c>
      <c r="F10" s="3" t="s">
        <v>251</v>
      </c>
    </row>
    <row r="11" customFormat="false" ht="15" hidden="false" customHeight="true" outlineLevel="0" collapsed="false">
      <c r="A11" s="3" t="s">
        <v>131</v>
      </c>
      <c r="B11" s="3" t="n">
        <v>1</v>
      </c>
      <c r="C11" s="3" t="n">
        <v>2</v>
      </c>
      <c r="D11" s="3" t="n">
        <v>5</v>
      </c>
      <c r="E11" s="3" t="s">
        <v>212</v>
      </c>
      <c r="F11" s="3" t="s">
        <v>256</v>
      </c>
    </row>
    <row r="12" customFormat="false" ht="15" hidden="false" customHeight="true" outlineLevel="0" collapsed="false">
      <c r="A12" s="3" t="s">
        <v>135</v>
      </c>
      <c r="B12" s="3" t="n">
        <v>1</v>
      </c>
      <c r="C12" s="3" t="n">
        <v>4</v>
      </c>
      <c r="D12" s="3" t="n">
        <v>18</v>
      </c>
      <c r="E12" s="3" t="s">
        <v>192</v>
      </c>
      <c r="F12" s="3" t="s">
        <v>262</v>
      </c>
    </row>
    <row r="13" customFormat="false" ht="15" hidden="false" customHeight="true" outlineLevel="0" collapsed="false">
      <c r="A13" s="3" t="s">
        <v>138</v>
      </c>
      <c r="B13" s="3" t="n">
        <v>2</v>
      </c>
      <c r="C13" s="3" t="n">
        <v>5</v>
      </c>
      <c r="D13" s="3" t="n">
        <v>20</v>
      </c>
      <c r="E13" s="3" t="s">
        <v>183</v>
      </c>
      <c r="F13" s="3" t="s">
        <v>267</v>
      </c>
    </row>
    <row r="14" customFormat="false" ht="15" hidden="false" customHeight="true" outlineLevel="0" collapsed="false">
      <c r="A14" s="3" t="s">
        <v>141</v>
      </c>
      <c r="B14" s="3" t="n">
        <v>1</v>
      </c>
      <c r="C14" s="3" t="n">
        <v>3</v>
      </c>
      <c r="D14" s="3" t="n">
        <v>12</v>
      </c>
      <c r="E14" s="3" t="s">
        <v>183</v>
      </c>
      <c r="F14" s="3" t="s">
        <v>275</v>
      </c>
    </row>
    <row r="15" customFormat="false" ht="15" hidden="false" customHeight="true" outlineLevel="0" collapsed="false">
      <c r="A15" s="3" t="s">
        <v>144</v>
      </c>
      <c r="B15" s="3" t="n">
        <v>1</v>
      </c>
      <c r="C15" s="3" t="n">
        <v>5</v>
      </c>
      <c r="D15" s="3" t="n">
        <v>33</v>
      </c>
      <c r="E15" s="3" t="s">
        <v>205</v>
      </c>
      <c r="F15" s="3" t="s">
        <v>280</v>
      </c>
    </row>
    <row r="16" customFormat="false" ht="15" hidden="false" customHeight="true" outlineLevel="0" collapsed="false">
      <c r="A16" s="3" t="s">
        <v>147</v>
      </c>
      <c r="B16" s="3" t="n">
        <v>1</v>
      </c>
      <c r="C16" s="3" t="n">
        <v>4</v>
      </c>
      <c r="D16" s="3" t="n">
        <v>21</v>
      </c>
      <c r="E16" s="3" t="s">
        <v>287</v>
      </c>
      <c r="F16" s="3" t="s">
        <v>285</v>
      </c>
    </row>
    <row r="17" customFormat="false" ht="15" hidden="false" customHeight="true" outlineLevel="0" collapsed="false">
      <c r="A17" s="3" t="s">
        <v>150</v>
      </c>
      <c r="B17" s="3" t="n">
        <v>0</v>
      </c>
      <c r="C17" s="3" t="n">
        <v>0</v>
      </c>
      <c r="D17" s="3" t="n">
        <v>0</v>
      </c>
      <c r="E17" s="3"/>
      <c r="F17" s="3" t="s">
        <v>291</v>
      </c>
    </row>
    <row r="18" customFormat="false" ht="15" hidden="false" customHeight="true" outlineLevel="0" collapsed="false">
      <c r="A18" s="3" t="s">
        <v>156</v>
      </c>
      <c r="B18" s="3" t="n">
        <v>2</v>
      </c>
      <c r="C18" s="3" t="n">
        <v>5</v>
      </c>
      <c r="D18" s="3" t="n">
        <v>29.5</v>
      </c>
      <c r="E18" s="3" t="s">
        <v>298</v>
      </c>
      <c r="F18" s="3" t="s">
        <v>296</v>
      </c>
    </row>
    <row r="19" customFormat="false" ht="15" hidden="false" customHeight="true" outlineLevel="0" collapsed="false">
      <c r="A19" s="3" t="s">
        <v>160</v>
      </c>
      <c r="B19" s="3" t="n">
        <v>1</v>
      </c>
      <c r="C19" s="3" t="n">
        <v>2</v>
      </c>
      <c r="D19" s="3" t="n">
        <v>6</v>
      </c>
      <c r="E19" s="3" t="s">
        <v>309</v>
      </c>
      <c r="F19" s="3" t="s">
        <v>307</v>
      </c>
    </row>
  </sheetData>
  <autoFilter ref="A1:F19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3" min="2" style="1" width="23.28"/>
    <col collapsed="false" customWidth="true" hidden="false" outlineLevel="0" max="4" min="4" style="1" width="25.52"/>
  </cols>
  <sheetData>
    <row r="1" customFormat="false" ht="15" hidden="false" customHeight="true" outlineLevel="0" collapsed="false">
      <c r="A1" s="2" t="s">
        <v>74</v>
      </c>
      <c r="B1" s="2" t="s">
        <v>657</v>
      </c>
      <c r="C1" s="2" t="s">
        <v>658</v>
      </c>
      <c r="D1" s="2" t="s">
        <v>659</v>
      </c>
    </row>
    <row r="2" customFormat="false" ht="15" hidden="false" customHeight="true" outlineLevel="0" collapsed="false">
      <c r="A2" s="3" t="s">
        <v>86</v>
      </c>
      <c r="B2" s="3" t="n">
        <v>1</v>
      </c>
      <c r="C2" s="4" t="n">
        <v>46217</v>
      </c>
      <c r="D2" s="3" t="n">
        <v>1</v>
      </c>
    </row>
    <row r="3" customFormat="false" ht="15" hidden="false" customHeight="true" outlineLevel="0" collapsed="false">
      <c r="A3" s="3" t="s">
        <v>93</v>
      </c>
      <c r="B3" s="3" t="n">
        <v>0</v>
      </c>
      <c r="C3" s="4" t="n">
        <v>46213</v>
      </c>
      <c r="D3" s="3" t="n">
        <v>5</v>
      </c>
    </row>
    <row r="4" customFormat="false" ht="15" hidden="false" customHeight="true" outlineLevel="0" collapsed="false">
      <c r="A4" s="3" t="s">
        <v>100</v>
      </c>
      <c r="B4" s="3" t="n">
        <v>0</v>
      </c>
      <c r="C4" s="4" t="n">
        <v>46214</v>
      </c>
      <c r="D4" s="3" t="n">
        <v>4</v>
      </c>
    </row>
    <row r="5" customFormat="false" ht="15" hidden="false" customHeight="true" outlineLevel="0" collapsed="false">
      <c r="A5" s="3" t="s">
        <v>105</v>
      </c>
      <c r="B5" s="3" t="n">
        <v>1</v>
      </c>
      <c r="C5" s="4" t="n">
        <v>46212</v>
      </c>
      <c r="D5" s="3" t="n">
        <v>6</v>
      </c>
    </row>
    <row r="6" customFormat="false" ht="15" hidden="false" customHeight="true" outlineLevel="0" collapsed="false">
      <c r="A6" s="3" t="s">
        <v>110</v>
      </c>
      <c r="B6" s="3" t="n">
        <v>1</v>
      </c>
      <c r="C6" s="4" t="n">
        <v>46216</v>
      </c>
      <c r="D6" s="3" t="n">
        <v>2</v>
      </c>
    </row>
    <row r="7" customFormat="false" ht="15" hidden="false" customHeight="true" outlineLevel="0" collapsed="false">
      <c r="A7" s="3" t="s">
        <v>115</v>
      </c>
      <c r="B7" s="3" t="n">
        <v>0</v>
      </c>
      <c r="C7" s="4" t="n">
        <v>46216</v>
      </c>
      <c r="D7" s="3" t="n">
        <v>2</v>
      </c>
    </row>
    <row r="8" customFormat="false" ht="15" hidden="false" customHeight="true" outlineLevel="0" collapsed="false">
      <c r="A8" s="3" t="s">
        <v>120</v>
      </c>
      <c r="B8" s="3" t="n">
        <v>1</v>
      </c>
      <c r="C8" s="4" t="n">
        <v>46213</v>
      </c>
      <c r="D8" s="3" t="n">
        <v>5</v>
      </c>
    </row>
    <row r="9" customFormat="false" ht="15" hidden="false" customHeight="true" outlineLevel="0" collapsed="false">
      <c r="A9" s="3" t="s">
        <v>123</v>
      </c>
      <c r="B9" s="3" t="n">
        <v>0</v>
      </c>
      <c r="C9" s="4" t="n">
        <v>46215</v>
      </c>
      <c r="D9" s="3" t="n">
        <v>3</v>
      </c>
    </row>
    <row r="10" customFormat="false" ht="15" hidden="false" customHeight="true" outlineLevel="0" collapsed="false">
      <c r="A10" s="3" t="s">
        <v>127</v>
      </c>
      <c r="B10" s="3" t="n">
        <v>1</v>
      </c>
      <c r="C10" s="4" t="n">
        <v>46212</v>
      </c>
      <c r="D10" s="3" t="n">
        <v>6</v>
      </c>
    </row>
    <row r="11" customFormat="false" ht="15" hidden="false" customHeight="true" outlineLevel="0" collapsed="false">
      <c r="A11" s="3" t="s">
        <v>131</v>
      </c>
      <c r="B11" s="3" t="n">
        <v>0</v>
      </c>
      <c r="C11" s="4" t="n">
        <v>46217</v>
      </c>
      <c r="D11" s="3" t="n">
        <v>1</v>
      </c>
    </row>
    <row r="12" customFormat="false" ht="15" hidden="false" customHeight="true" outlineLevel="0" collapsed="false">
      <c r="A12" s="3" t="s">
        <v>135</v>
      </c>
      <c r="B12" s="3" t="n">
        <v>0</v>
      </c>
      <c r="C12" s="4" t="n">
        <v>46213</v>
      </c>
      <c r="D12" s="3" t="n">
        <v>5</v>
      </c>
    </row>
    <row r="13" customFormat="false" ht="15" hidden="false" customHeight="true" outlineLevel="0" collapsed="false">
      <c r="A13" s="3" t="s">
        <v>138</v>
      </c>
      <c r="B13" s="3" t="n">
        <v>1</v>
      </c>
      <c r="C13" s="4" t="n">
        <v>46217</v>
      </c>
      <c r="D13" s="3" t="n">
        <v>1</v>
      </c>
    </row>
    <row r="14" customFormat="false" ht="15" hidden="false" customHeight="true" outlineLevel="0" collapsed="false">
      <c r="A14" s="3" t="s">
        <v>141</v>
      </c>
      <c r="B14" s="3" t="n">
        <v>0</v>
      </c>
      <c r="C14" s="4" t="n">
        <v>46214</v>
      </c>
      <c r="D14" s="3" t="n">
        <v>4</v>
      </c>
    </row>
    <row r="15" customFormat="false" ht="15" hidden="false" customHeight="true" outlineLevel="0" collapsed="false">
      <c r="A15" s="3" t="s">
        <v>144</v>
      </c>
      <c r="B15" s="3" t="n">
        <v>0</v>
      </c>
      <c r="C15" s="4" t="n">
        <v>46217</v>
      </c>
      <c r="D15" s="3" t="n">
        <v>1</v>
      </c>
    </row>
    <row r="16" customFormat="false" ht="15" hidden="false" customHeight="true" outlineLevel="0" collapsed="false">
      <c r="A16" s="3" t="s">
        <v>147</v>
      </c>
      <c r="B16" s="3" t="n">
        <v>1</v>
      </c>
      <c r="C16" s="4" t="n">
        <v>46210</v>
      </c>
      <c r="D16" s="3" t="n">
        <v>8</v>
      </c>
    </row>
    <row r="17" customFormat="false" ht="15" hidden="false" customHeight="true" outlineLevel="0" collapsed="false">
      <c r="A17" s="3" t="s">
        <v>150</v>
      </c>
      <c r="B17" s="3" t="n">
        <v>0</v>
      </c>
      <c r="C17" s="4" t="n">
        <v>46214</v>
      </c>
      <c r="D17" s="3" t="n">
        <v>4</v>
      </c>
    </row>
    <row r="18" customFormat="false" ht="15" hidden="false" customHeight="true" outlineLevel="0" collapsed="false">
      <c r="A18" s="3" t="s">
        <v>156</v>
      </c>
      <c r="B18" s="3" t="n">
        <v>0</v>
      </c>
      <c r="C18" s="4" t="n">
        <v>46217</v>
      </c>
      <c r="D18" s="3" t="n">
        <v>1</v>
      </c>
    </row>
    <row r="19" customFormat="false" ht="15" hidden="false" customHeight="true" outlineLevel="0" collapsed="false">
      <c r="A19" s="3" t="s">
        <v>160</v>
      </c>
      <c r="B19" s="3" t="n">
        <v>0</v>
      </c>
      <c r="C19" s="4" t="n">
        <v>46217</v>
      </c>
      <c r="D19" s="3" t="n">
        <v>1</v>
      </c>
    </row>
  </sheetData>
  <autoFilter ref="A1:D19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11" min="2" style="1" width="42"/>
    <col collapsed="false" customWidth="true" hidden="false" outlineLevel="0" max="12" min="12" style="1" width="21.04"/>
    <col collapsed="false" customWidth="true" hidden="false" outlineLevel="0" max="17" min="13" style="1" width="42"/>
    <col collapsed="false" customWidth="true" hidden="false" outlineLevel="0" max="18" min="18" style="1" width="25.52"/>
    <col collapsed="false" customWidth="true" hidden="false" outlineLevel="0" max="26" min="19" style="1" width="42"/>
  </cols>
  <sheetData>
    <row r="1" customFormat="false" ht="15" hidden="false" customHeight="true" outlineLevel="0" collapsed="false">
      <c r="A1" s="2" t="s">
        <v>74</v>
      </c>
      <c r="B1" s="2" t="s">
        <v>75</v>
      </c>
      <c r="C1" s="2" t="s">
        <v>76</v>
      </c>
      <c r="D1" s="2" t="s">
        <v>660</v>
      </c>
      <c r="E1" s="2" t="s">
        <v>78</v>
      </c>
      <c r="F1" s="2" t="s">
        <v>79</v>
      </c>
      <c r="G1" s="2" t="s">
        <v>80</v>
      </c>
      <c r="H1" s="2" t="s">
        <v>646</v>
      </c>
      <c r="I1" s="2" t="s">
        <v>317</v>
      </c>
      <c r="J1" s="2" t="s">
        <v>315</v>
      </c>
      <c r="K1" s="2" t="s">
        <v>316</v>
      </c>
      <c r="L1" s="2" t="s">
        <v>661</v>
      </c>
      <c r="M1" s="2" t="s">
        <v>652</v>
      </c>
      <c r="N1" s="2" t="s">
        <v>653</v>
      </c>
      <c r="O1" s="2" t="s">
        <v>654</v>
      </c>
      <c r="P1" s="2" t="s">
        <v>657</v>
      </c>
      <c r="Q1" s="2" t="s">
        <v>658</v>
      </c>
      <c r="R1" s="2" t="s">
        <v>659</v>
      </c>
      <c r="S1" s="2" t="s">
        <v>662</v>
      </c>
      <c r="T1" s="2" t="s">
        <v>655</v>
      </c>
      <c r="U1" s="2" t="s">
        <v>647</v>
      </c>
      <c r="V1" s="2" t="s">
        <v>83</v>
      </c>
      <c r="W1" s="2" t="s">
        <v>663</v>
      </c>
      <c r="X1" s="2" t="s">
        <v>664</v>
      </c>
      <c r="Y1" s="2" t="s">
        <v>649</v>
      </c>
      <c r="Z1" s="2" t="s">
        <v>665</v>
      </c>
    </row>
    <row r="2" customFormat="false" ht="15" hidden="false" customHeight="true" outlineLevel="0" collapsed="false">
      <c r="A2" s="9" t="s">
        <v>86</v>
      </c>
      <c r="B2" s="3" t="str">
        <f aca="false">VLOOKUP(A2,Raw_CRM!$A$2:$L$19,2,FALSE())</f>
        <v>Meridian Health Partners</v>
      </c>
      <c r="C2" s="3" t="str">
        <f aca="false">VLOOKUP(A2,Raw_CRM!$A$2:$L$19,3,FALSE())</f>
        <v>Healthcare</v>
      </c>
      <c r="D2" s="3" t="str">
        <f aca="false">VLOOKUP(A2,Raw_CRM!$A$2:$L$19,4,FALSE())</f>
        <v>Key Growth</v>
      </c>
      <c r="E2" s="3" t="str">
        <f aca="false">VLOOKUP(A2,Raw_CRM!$A$2:$L$19,5,FALSE())</f>
        <v>Maya Chen</v>
      </c>
      <c r="F2" s="4" t="n">
        <f aca="false">VLOOKUP(A2,Raw_CRM!$A$2:$L$19,6,FALSE())</f>
        <v>46227</v>
      </c>
      <c r="G2" s="3" t="n">
        <f aca="false">VLOOKUP(A2,Raw_CRM!$A$2:$L$19,7,FALSE())</f>
        <v>48</v>
      </c>
      <c r="H2" s="3" t="str">
        <f aca="false">VLOOKUP(A2,Raw_Approval!$A$2:$G$19,2,FALSE())</f>
        <v>Approved execution</v>
      </c>
      <c r="I2" s="7" t="n">
        <f aca="false">VLOOKUP(A2,Raw_Orders!$A$2:$H$19,6,FALSE())</f>
        <v>340000</v>
      </c>
      <c r="J2" s="7" t="n">
        <f aca="false">VLOOKUP(A2,Raw_Orders!$A$2:$H$19,4,FALSE())</f>
        <v>310000</v>
      </c>
      <c r="K2" s="7" t="n">
        <f aca="false">VLOOKUP(A2,Raw_Orders!$A$2:$H$19,5,FALSE())</f>
        <v>272000</v>
      </c>
      <c r="L2" s="7" t="n">
        <f aca="false">K2-J2</f>
        <v>-38000</v>
      </c>
      <c r="M2" s="3" t="n">
        <f aca="false">VLOOKUP(A2,Case_Summary!$A$2:$F$19,2,FALSE())</f>
        <v>2</v>
      </c>
      <c r="N2" s="3" t="n">
        <f aca="false">VLOOKUP(A2,Case_Summary!$A$2:$F$19,3,FALSE())</f>
        <v>4</v>
      </c>
      <c r="O2" s="3" t="n">
        <f aca="false">VLOOKUP(A2,Case_Summary!$A$2:$F$19,4,FALSE())</f>
        <v>19</v>
      </c>
      <c r="P2" s="3" t="n">
        <f aca="false">VLOOKUP(A2,Activity_Summary!$A$2:$D$19,2,FALSE())</f>
        <v>1</v>
      </c>
      <c r="Q2" s="4" t="n">
        <f aca="false">VLOOKUP(A2,Activity_Summary!$A$2:$D$19,3,FALSE())</f>
        <v>46217</v>
      </c>
      <c r="R2" s="10" t="n">
        <f aca="false">Assumptions!$B$8-Q2</f>
        <v>1</v>
      </c>
      <c r="S2" s="3" t="str">
        <f aca="false">IF(COUNTIFS(Raw_Contacts!$B$2:$B$41,A2,Raw_Contacts!$F$2:$F$41,"Final Renewal Approver",Raw_Contacts!$H$2:$H$41,"Approved")&gt;0,"Ready",IF(COUNTIFS(Raw_Contacts!$B$2:$B$41,A2,Raw_Contacts!$H$2:$H$41,"Operations Only")&gt;0,"Ops route only",IF(COUNTIFS(Raw_Contacts!$B$2:$B$41,A2,Raw_Contacts!$H$2:$H$41,"Do not contact executive")&gt;0,"Manager route only","Pending permission")))</f>
        <v>Ready</v>
      </c>
      <c r="T2" s="3" t="str">
        <f aca="false">IF(VLOOKUP(A2,Case_Summary!$A$2:$F$19,5,FALSE())=0,"",VLOOKUP(A2,Case_Summary!$A$2:$F$19,5,FALSE()))</f>
        <v>Delivery Underpacing</v>
      </c>
      <c r="U2" s="3" t="str">
        <f aca="false">IF(VLOOKUP(A2,Raw_Approval!$A$2:$G$19,3,FALSE())=0,"",VLOOKUP(A2,Raw_Approval!$A$2:$G$19,3,FALSE()))</f>
        <v>MG-15</v>
      </c>
      <c r="V2" s="7" t="n">
        <f aca="false">VLOOKUP(A2,Raw_CRM!$A$2:$L$19,10,FALSE())</f>
        <v>21000</v>
      </c>
      <c r="W2" s="7" t="n">
        <f aca="false">IF(U2="","",IFERROR(VLOOKUP(U2,Raw_Offers!$A$2:$G$7,4,FALSE()),0))</f>
        <v>25000</v>
      </c>
      <c r="X2" s="3" t="str">
        <f aca="false">IF(H2&lt;&gt;"Approved execution","Controlled",IF(U2="","No offer",IF(U2="MGR-REQ","Manager required",IF(OR(W2=0,V2&lt;=W2),"Within authority","Over limit"))))</f>
        <v>Within authority</v>
      </c>
      <c r="Y2" s="3" t="str">
        <f aca="false">IF(VLOOKUP(A2,Raw_Approval!$A$2:$G$19,5,FALSE())=0,"",VLOOKUP(A2,Raw_Approval!$A$2:$G$19,5,FALSE()))</f>
        <v/>
      </c>
      <c r="Z2" s="9" t="s">
        <v>666</v>
      </c>
    </row>
    <row r="3" customFormat="false" ht="15" hidden="false" customHeight="true" outlineLevel="0" collapsed="false">
      <c r="A3" s="9" t="s">
        <v>93</v>
      </c>
      <c r="B3" s="3" t="str">
        <f aca="false">VLOOKUP(A3,Raw_CRM!$A$2:$L$19,2,FALSE())</f>
        <v>Larkspur Credit Union</v>
      </c>
      <c r="C3" s="3" t="str">
        <f aca="false">VLOOKUP(A3,Raw_CRM!$A$2:$L$19,3,FALSE())</f>
        <v>Financial Services</v>
      </c>
      <c r="D3" s="3" t="str">
        <f aca="false">VLOOKUP(A3,Raw_CRM!$A$2:$L$19,4,FALSE())</f>
        <v>Core</v>
      </c>
      <c r="E3" s="3" t="str">
        <f aca="false">VLOOKUP(A3,Raw_CRM!$A$2:$L$19,5,FALSE())</f>
        <v>Jordan Patel</v>
      </c>
      <c r="F3" s="4" t="n">
        <f aca="false">VLOOKUP(A3,Raw_CRM!$A$2:$L$19,6,FALSE())</f>
        <v>46234</v>
      </c>
      <c r="G3" s="3" t="n">
        <f aca="false">VLOOKUP(A3,Raw_CRM!$A$2:$L$19,7,FALSE())</f>
        <v>52</v>
      </c>
      <c r="H3" s="3" t="str">
        <f aca="false">VLOOKUP(A3,Raw_Approval!$A$2:$G$19,2,FALSE())</f>
        <v>Approved execution</v>
      </c>
      <c r="I3" s="7" t="n">
        <f aca="false">VLOOKUP(A3,Raw_Orders!$A$2:$H$19,6,FALSE())</f>
        <v>220000</v>
      </c>
      <c r="J3" s="7" t="n">
        <f aca="false">VLOOKUP(A3,Raw_Orders!$A$2:$H$19,4,FALSE())</f>
        <v>205000</v>
      </c>
      <c r="K3" s="7" t="n">
        <f aca="false">VLOOKUP(A3,Raw_Orders!$A$2:$H$19,5,FALSE())</f>
        <v>184000</v>
      </c>
      <c r="L3" s="7" t="n">
        <f aca="false">K3-J3</f>
        <v>-21000</v>
      </c>
      <c r="M3" s="3" t="n">
        <f aca="false">VLOOKUP(A3,Case_Summary!$A$2:$F$19,2,FALSE())</f>
        <v>1</v>
      </c>
      <c r="N3" s="3" t="n">
        <f aca="false">VLOOKUP(A3,Case_Summary!$A$2:$F$19,3,FALSE())</f>
        <v>4</v>
      </c>
      <c r="O3" s="3" t="n">
        <f aca="false">VLOOKUP(A3,Case_Summary!$A$2:$F$19,4,FALSE())</f>
        <v>17</v>
      </c>
      <c r="P3" s="3" t="n">
        <f aca="false">VLOOKUP(A3,Activity_Summary!$A$2:$D$19,2,FALSE())</f>
        <v>0</v>
      </c>
      <c r="Q3" s="4" t="n">
        <f aca="false">VLOOKUP(A3,Activity_Summary!$A$2:$D$19,3,FALSE())</f>
        <v>46213</v>
      </c>
      <c r="R3" s="10" t="n">
        <f aca="false">Assumptions!$B$8-Q3</f>
        <v>5</v>
      </c>
      <c r="S3" s="3" t="str">
        <f aca="false">IF(COUNTIFS(Raw_Contacts!$B$2:$B$41,A3,Raw_Contacts!$F$2:$F$41,"Final Renewal Approver",Raw_Contacts!$H$2:$H$41,"Approved")&gt;0,"Ready",IF(COUNTIFS(Raw_Contacts!$B$2:$B$41,A3,Raw_Contacts!$H$2:$H$41,"Operations Only")&gt;0,"Ops route only",IF(COUNTIFS(Raw_Contacts!$B$2:$B$41,A3,Raw_Contacts!$H$2:$H$41,"Do not contact executive")&gt;0,"Manager route only","Pending permission")))</f>
        <v>Ready</v>
      </c>
      <c r="T3" s="3" t="str">
        <f aca="false">IF(VLOOKUP(A3,Case_Summary!$A$2:$F$19,5,FALSE())=0,"",VLOOKUP(A3,Case_Summary!$A$2:$F$19,5,FALSE()))</f>
        <v>Reporting Discrepancy</v>
      </c>
      <c r="U3" s="3" t="str">
        <f aca="false">IF(VLOOKUP(A3,Raw_Approval!$A$2:$G$19,3,FALSE())=0,"",VLOOKUP(A3,Raw_Approval!$A$2:$G$19,3,FALSE()))</f>
        <v>RPT-COMP</v>
      </c>
      <c r="V3" s="7" t="n">
        <f aca="false">VLOOKUP(A3,Raw_CRM!$A$2:$L$19,10,FALSE())</f>
        <v>0</v>
      </c>
      <c r="W3" s="7" t="n">
        <f aca="false">IF(U3="","",IFERROR(VLOOKUP(U3,Raw_Offers!$A$2:$G$7,4,FALSE()),0))</f>
        <v>0</v>
      </c>
      <c r="X3" s="3" t="str">
        <f aca="false">IF(H3&lt;&gt;"Approved execution","Controlled",IF(U3="","No offer",IF(U3="MGR-REQ","Manager required",IF(OR(W3=0,V3&lt;=W3),"Within authority","Over limit"))))</f>
        <v>Within authority</v>
      </c>
      <c r="Y3" s="3" t="str">
        <f aca="false">IF(VLOOKUP(A3,Raw_Approval!$A$2:$G$19,5,FALSE())=0,"",VLOOKUP(A3,Raw_Approval!$A$2:$G$19,5,FALSE()))</f>
        <v/>
      </c>
      <c r="Z3" s="9" t="s">
        <v>666</v>
      </c>
    </row>
    <row r="4" customFormat="false" ht="15" hidden="false" customHeight="true" outlineLevel="0" collapsed="false">
      <c r="A4" s="9" t="s">
        <v>100</v>
      </c>
      <c r="B4" s="3" t="str">
        <f aca="false">VLOOKUP(A4,Raw_CRM!$A$2:$L$19,2,FALSE())</f>
        <v>Cobalt Cloud Systems</v>
      </c>
      <c r="C4" s="3" t="str">
        <f aca="false">VLOOKUP(A4,Raw_CRM!$A$2:$L$19,3,FALSE())</f>
        <v>Technology</v>
      </c>
      <c r="D4" s="3" t="str">
        <f aca="false">VLOOKUP(A4,Raw_CRM!$A$2:$L$19,4,FALSE())</f>
        <v>Key Growth</v>
      </c>
      <c r="E4" s="3" t="str">
        <f aca="false">VLOOKUP(A4,Raw_CRM!$A$2:$L$19,5,FALSE())</f>
        <v>Priya Nair</v>
      </c>
      <c r="F4" s="4" t="n">
        <f aca="false">VLOOKUP(A4,Raw_CRM!$A$2:$L$19,6,FALSE())</f>
        <v>46239</v>
      </c>
      <c r="G4" s="3" t="n">
        <f aca="false">VLOOKUP(A4,Raw_CRM!$A$2:$L$19,7,FALSE())</f>
        <v>56</v>
      </c>
      <c r="H4" s="3" t="str">
        <f aca="false">VLOOKUP(A4,Raw_Approval!$A$2:$G$19,2,FALSE())</f>
        <v>Approved execution</v>
      </c>
      <c r="I4" s="7" t="n">
        <f aca="false">VLOOKUP(A4,Raw_Orders!$A$2:$H$19,6,FALSE())</f>
        <v>295000</v>
      </c>
      <c r="J4" s="7" t="n">
        <f aca="false">VLOOKUP(A4,Raw_Orders!$A$2:$H$19,4,FALSE())</f>
        <v>275000</v>
      </c>
      <c r="K4" s="7" t="n">
        <f aca="false">VLOOKUP(A4,Raw_Orders!$A$2:$H$19,5,FALSE())</f>
        <v>240000</v>
      </c>
      <c r="L4" s="7" t="n">
        <f aca="false">K4-J4</f>
        <v>-35000</v>
      </c>
      <c r="M4" s="3" t="n">
        <f aca="false">VLOOKUP(A4,Case_Summary!$A$2:$F$19,2,FALSE())</f>
        <v>2</v>
      </c>
      <c r="N4" s="3" t="n">
        <f aca="false">VLOOKUP(A4,Case_Summary!$A$2:$F$19,3,FALSE())</f>
        <v>4</v>
      </c>
      <c r="O4" s="3" t="n">
        <f aca="false">VLOOKUP(A4,Case_Summary!$A$2:$F$19,4,FALSE())</f>
        <v>17</v>
      </c>
      <c r="P4" s="3" t="n">
        <f aca="false">VLOOKUP(A4,Activity_Summary!$A$2:$D$19,2,FALSE())</f>
        <v>0</v>
      </c>
      <c r="Q4" s="4" t="n">
        <f aca="false">VLOOKUP(A4,Activity_Summary!$A$2:$D$19,3,FALSE())</f>
        <v>46214</v>
      </c>
      <c r="R4" s="10" t="n">
        <f aca="false">Assumptions!$B$8-Q4</f>
        <v>4</v>
      </c>
      <c r="S4" s="3" t="str">
        <f aca="false">IF(COUNTIFS(Raw_Contacts!$B$2:$B$41,A4,Raw_Contacts!$F$2:$F$41,"Final Renewal Approver",Raw_Contacts!$H$2:$H$41,"Approved")&gt;0,"Ready",IF(COUNTIFS(Raw_Contacts!$B$2:$B$41,A4,Raw_Contacts!$H$2:$H$41,"Operations Only")&gt;0,"Ops route only",IF(COUNTIFS(Raw_Contacts!$B$2:$B$41,A4,Raw_Contacts!$H$2:$H$41,"Do not contact executive")&gt;0,"Manager route only","Pending permission")))</f>
        <v>Ready</v>
      </c>
      <c r="T4" s="3" t="str">
        <f aca="false">IF(VLOOKUP(A4,Case_Summary!$A$2:$F$19,5,FALSE())=0,"",VLOOKUP(A4,Case_Summary!$A$2:$F$19,5,FALSE()))</f>
        <v>Billing Error</v>
      </c>
      <c r="U4" s="3" t="str">
        <f aca="false">IF(VLOOKUP(A4,Raw_Approval!$A$2:$G$19,3,FALSE())=0,"",VLOOKUP(A4,Raw_Approval!$A$2:$G$19,3,FALSE()))</f>
        <v>CR-10K</v>
      </c>
      <c r="V4" s="7" t="n">
        <f aca="false">VLOOKUP(A4,Raw_CRM!$A$2:$L$19,10,FALSE())</f>
        <v>9500</v>
      </c>
      <c r="W4" s="7" t="n">
        <f aca="false">IF(U4="","",IFERROR(VLOOKUP(U4,Raw_Offers!$A$2:$G$7,4,FALSE()),0))</f>
        <v>10000</v>
      </c>
      <c r="X4" s="3" t="str">
        <f aca="false">IF(H4&lt;&gt;"Approved execution","Controlled",IF(U4="","No offer",IF(U4="MGR-REQ","Manager required",IF(OR(W4=0,V4&lt;=W4),"Within authority","Over limit"))))</f>
        <v>Within authority</v>
      </c>
      <c r="Y4" s="3" t="str">
        <f aca="false">IF(VLOOKUP(A4,Raw_Approval!$A$2:$G$19,5,FALSE())=0,"",VLOOKUP(A4,Raw_Approval!$A$2:$G$19,5,FALSE()))</f>
        <v/>
      </c>
      <c r="Z4" s="9" t="s">
        <v>666</v>
      </c>
    </row>
    <row r="5" customFormat="false" ht="15" hidden="false" customHeight="true" outlineLevel="0" collapsed="false">
      <c r="A5" s="9" t="s">
        <v>105</v>
      </c>
      <c r="B5" s="3" t="str">
        <f aca="false">VLOOKUP(A5,Raw_CRM!$A$2:$L$19,2,FALSE())</f>
        <v>Harborview Furnishings</v>
      </c>
      <c r="C5" s="3" t="str">
        <f aca="false">VLOOKUP(A5,Raw_CRM!$A$2:$L$19,3,FALSE())</f>
        <v>Retail</v>
      </c>
      <c r="D5" s="3" t="str">
        <f aca="false">VLOOKUP(A5,Raw_CRM!$A$2:$L$19,4,FALSE())</f>
        <v>Core</v>
      </c>
      <c r="E5" s="3" t="str">
        <f aca="false">VLOOKUP(A5,Raw_CRM!$A$2:$L$19,5,FALSE())</f>
        <v>Luis Romero</v>
      </c>
      <c r="F5" s="4" t="n">
        <f aca="false">VLOOKUP(A5,Raw_CRM!$A$2:$L$19,6,FALSE())</f>
        <v>46231</v>
      </c>
      <c r="G5" s="3" t="n">
        <f aca="false">VLOOKUP(A5,Raw_CRM!$A$2:$L$19,7,FALSE())</f>
        <v>61</v>
      </c>
      <c r="H5" s="3" t="str">
        <f aca="false">VLOOKUP(A5,Raw_Approval!$A$2:$G$19,2,FALSE())</f>
        <v>Approved execution</v>
      </c>
      <c r="I5" s="7" t="n">
        <f aca="false">VLOOKUP(A5,Raw_Orders!$A$2:$H$19,6,FALSE())</f>
        <v>150000</v>
      </c>
      <c r="J5" s="7" t="n">
        <f aca="false">VLOOKUP(A5,Raw_Orders!$A$2:$H$19,4,FALSE())</f>
        <v>142000</v>
      </c>
      <c r="K5" s="7" t="n">
        <f aca="false">VLOOKUP(A5,Raw_Orders!$A$2:$H$19,5,FALSE())</f>
        <v>129000</v>
      </c>
      <c r="L5" s="7" t="n">
        <f aca="false">K5-J5</f>
        <v>-13000</v>
      </c>
      <c r="M5" s="3" t="n">
        <f aca="false">VLOOKUP(A5,Case_Summary!$A$2:$F$19,2,FALSE())</f>
        <v>1</v>
      </c>
      <c r="N5" s="3" t="n">
        <f aca="false">VLOOKUP(A5,Case_Summary!$A$2:$F$19,3,FALSE())</f>
        <v>3</v>
      </c>
      <c r="O5" s="3" t="n">
        <f aca="false">VLOOKUP(A5,Case_Summary!$A$2:$F$19,4,FALSE())</f>
        <v>14</v>
      </c>
      <c r="P5" s="3" t="n">
        <f aca="false">VLOOKUP(A5,Activity_Summary!$A$2:$D$19,2,FALSE())</f>
        <v>1</v>
      </c>
      <c r="Q5" s="4" t="n">
        <f aca="false">VLOOKUP(A5,Activity_Summary!$A$2:$D$19,3,FALSE())</f>
        <v>46212</v>
      </c>
      <c r="R5" s="10" t="n">
        <f aca="false">Assumptions!$B$8-Q5</f>
        <v>6</v>
      </c>
      <c r="S5" s="3" t="str">
        <f aca="false">IF(COUNTIFS(Raw_Contacts!$B$2:$B$41,A5,Raw_Contacts!$F$2:$F$41,"Final Renewal Approver",Raw_Contacts!$H$2:$H$41,"Approved")&gt;0,"Ready",IF(COUNTIFS(Raw_Contacts!$B$2:$B$41,A5,Raw_Contacts!$H$2:$H$41,"Operations Only")&gt;0,"Ops route only",IF(COUNTIFS(Raw_Contacts!$B$2:$B$41,A5,Raw_Contacts!$H$2:$H$41,"Do not contact executive")&gt;0,"Manager route only","Pending permission")))</f>
        <v>Ready</v>
      </c>
      <c r="T5" s="3" t="str">
        <f aca="false">IF(VLOOKUP(A5,Case_Summary!$A$2:$F$19,5,FALSE())=0,"",VLOOKUP(A5,Case_Summary!$A$2:$F$19,5,FALSE()))</f>
        <v>Creative Trafficking</v>
      </c>
      <c r="U5" s="3" t="str">
        <f aca="false">IF(VLOOKUP(A5,Raw_Approval!$A$2:$G$19,3,FALSE())=0,"",VLOOKUP(A5,Raw_Approval!$A$2:$G$19,3,FALSE()))</f>
        <v>SW-PKG</v>
      </c>
      <c r="V5" s="7" t="n">
        <f aca="false">VLOOKUP(A5,Raw_CRM!$A$2:$L$19,10,FALSE())</f>
        <v>12000</v>
      </c>
      <c r="W5" s="7" t="n">
        <f aca="false">IF(U5="","",IFERROR(VLOOKUP(U5,Raw_Offers!$A$2:$G$7,4,FALSE()),0))</f>
        <v>18000</v>
      </c>
      <c r="X5" s="3" t="str">
        <f aca="false">IF(H5&lt;&gt;"Approved execution","Controlled",IF(U5="","No offer",IF(U5="MGR-REQ","Manager required",IF(OR(W5=0,V5&lt;=W5),"Within authority","Over limit"))))</f>
        <v>Within authority</v>
      </c>
      <c r="Y5" s="3" t="str">
        <f aca="false">IF(VLOOKUP(A5,Raw_Approval!$A$2:$G$19,5,FALSE())=0,"",VLOOKUP(A5,Raw_Approval!$A$2:$G$19,5,FALSE()))</f>
        <v/>
      </c>
      <c r="Z5" s="9" t="s">
        <v>666</v>
      </c>
    </row>
    <row r="6" customFormat="false" ht="15" hidden="false" customHeight="true" outlineLevel="0" collapsed="false">
      <c r="A6" s="9" t="s">
        <v>110</v>
      </c>
      <c r="B6" s="3" t="str">
        <f aca="false">VLOOKUP(A6,Raw_CRM!$A$2:$L$19,2,FALSE())</f>
        <v>Axion Robotics</v>
      </c>
      <c r="C6" s="3" t="str">
        <f aca="false">VLOOKUP(A6,Raw_CRM!$A$2:$L$19,3,FALSE())</f>
        <v>Industrial</v>
      </c>
      <c r="D6" s="3" t="str">
        <f aca="false">VLOOKUP(A6,Raw_CRM!$A$2:$L$19,4,FALSE())</f>
        <v>Key Growth</v>
      </c>
      <c r="E6" s="3" t="str">
        <f aca="false">VLOOKUP(A6,Raw_CRM!$A$2:$L$19,5,FALSE())</f>
        <v>Devon Brooks</v>
      </c>
      <c r="F6" s="4" t="n">
        <f aca="false">VLOOKUP(A6,Raw_CRM!$A$2:$L$19,6,FALSE())</f>
        <v>46246</v>
      </c>
      <c r="G6" s="3" t="n">
        <f aca="false">VLOOKUP(A6,Raw_CRM!$A$2:$L$19,7,FALSE())</f>
        <v>44</v>
      </c>
      <c r="H6" s="3" t="str">
        <f aca="false">VLOOKUP(A6,Raw_Approval!$A$2:$G$19,2,FALSE())</f>
        <v>Approved execution</v>
      </c>
      <c r="I6" s="7" t="n">
        <f aca="false">VLOOKUP(A6,Raw_Orders!$A$2:$H$19,6,FALSE())</f>
        <v>410000</v>
      </c>
      <c r="J6" s="7" t="n">
        <f aca="false">VLOOKUP(A6,Raw_Orders!$A$2:$H$19,4,FALSE())</f>
        <v>390000</v>
      </c>
      <c r="K6" s="7" t="n">
        <f aca="false">VLOOKUP(A6,Raw_Orders!$A$2:$H$19,5,FALSE())</f>
        <v>318000</v>
      </c>
      <c r="L6" s="7" t="n">
        <f aca="false">K6-J6</f>
        <v>-72000</v>
      </c>
      <c r="M6" s="3" t="n">
        <f aca="false">VLOOKUP(A6,Case_Summary!$A$2:$F$19,2,FALSE())</f>
        <v>2</v>
      </c>
      <c r="N6" s="3" t="n">
        <f aca="false">VLOOKUP(A6,Case_Summary!$A$2:$F$19,3,FALSE())</f>
        <v>5</v>
      </c>
      <c r="O6" s="3" t="n">
        <f aca="false">VLOOKUP(A6,Case_Summary!$A$2:$F$19,4,FALSE())</f>
        <v>23</v>
      </c>
      <c r="P6" s="3" t="n">
        <f aca="false">VLOOKUP(A6,Activity_Summary!$A$2:$D$19,2,FALSE())</f>
        <v>1</v>
      </c>
      <c r="Q6" s="4" t="n">
        <f aca="false">VLOOKUP(A6,Activity_Summary!$A$2:$D$19,3,FALSE())</f>
        <v>46216</v>
      </c>
      <c r="R6" s="10" t="n">
        <f aca="false">Assumptions!$B$8-Q6</f>
        <v>2</v>
      </c>
      <c r="S6" s="3" t="str">
        <f aca="false">IF(COUNTIFS(Raw_Contacts!$B$2:$B$41,A6,Raw_Contacts!$F$2:$F$41,"Final Renewal Approver",Raw_Contacts!$H$2:$H$41,"Approved")&gt;0,"Ready",IF(COUNTIFS(Raw_Contacts!$B$2:$B$41,A6,Raw_Contacts!$H$2:$H$41,"Operations Only")&gt;0,"Ops route only",IF(COUNTIFS(Raw_Contacts!$B$2:$B$41,A6,Raw_Contacts!$H$2:$H$41,"Do not contact executive")&gt;0,"Manager route only","Pending permission")))</f>
        <v>Ready</v>
      </c>
      <c r="T6" s="3" t="str">
        <f aca="false">IF(VLOOKUP(A6,Case_Summary!$A$2:$F$19,5,FALSE())=0,"",VLOOKUP(A6,Case_Summary!$A$2:$F$19,5,FALSE()))</f>
        <v>Audience Mismatch</v>
      </c>
      <c r="U6" s="3" t="str">
        <f aca="false">IF(VLOOKUP(A6,Raw_Approval!$A$2:$G$19,3,FALSE())=0,"",VLOOKUP(A6,Raw_Approval!$A$2:$G$19,3,FALSE()))</f>
        <v>SW-PKG</v>
      </c>
      <c r="V6" s="7" t="n">
        <f aca="false">VLOOKUP(A6,Raw_CRM!$A$2:$L$19,10,FALSE())</f>
        <v>18000</v>
      </c>
      <c r="W6" s="7" t="n">
        <f aca="false">IF(U6="","",IFERROR(VLOOKUP(U6,Raw_Offers!$A$2:$G$7,4,FALSE()),0))</f>
        <v>18000</v>
      </c>
      <c r="X6" s="3" t="str">
        <f aca="false">IF(H6&lt;&gt;"Approved execution","Controlled",IF(U6="","No offer",IF(U6="MGR-REQ","Manager required",IF(OR(W6=0,V6&lt;=W6),"Within authority","Over limit"))))</f>
        <v>Within authority</v>
      </c>
      <c r="Y6" s="3" t="str">
        <f aca="false">IF(VLOOKUP(A6,Raw_Approval!$A$2:$G$19,5,FALSE())=0,"",VLOOKUP(A6,Raw_Approval!$A$2:$G$19,5,FALSE()))</f>
        <v/>
      </c>
      <c r="Z6" s="9" t="s">
        <v>666</v>
      </c>
    </row>
    <row r="7" customFormat="false" ht="15" hidden="false" customHeight="true" outlineLevel="0" collapsed="false">
      <c r="A7" s="9" t="s">
        <v>115</v>
      </c>
      <c r="B7" s="3" t="str">
        <f aca="false">VLOOKUP(A7,Raw_CRM!$A$2:$L$19,2,FALSE())</f>
        <v>Greenway Kitchens</v>
      </c>
      <c r="C7" s="3" t="str">
        <f aca="false">VLOOKUP(A7,Raw_CRM!$A$2:$L$19,3,FALSE())</f>
        <v>Retail</v>
      </c>
      <c r="D7" s="3" t="str">
        <f aca="false">VLOOKUP(A7,Raw_CRM!$A$2:$L$19,4,FALSE())</f>
        <v>Emerging</v>
      </c>
      <c r="E7" s="3" t="str">
        <f aca="false">VLOOKUP(A7,Raw_CRM!$A$2:$L$19,5,FALSE())</f>
        <v>Maya Chen</v>
      </c>
      <c r="F7" s="4" t="n">
        <f aca="false">VLOOKUP(A7,Raw_CRM!$A$2:$L$19,6,FALSE())</f>
        <v>46229</v>
      </c>
      <c r="G7" s="3" t="n">
        <f aca="false">VLOOKUP(A7,Raw_CRM!$A$2:$L$19,7,FALSE())</f>
        <v>68</v>
      </c>
      <c r="H7" s="3" t="str">
        <f aca="false">VLOOKUP(A7,Raw_Approval!$A$2:$G$19,2,FALSE())</f>
        <v>Approved execution</v>
      </c>
      <c r="I7" s="7" t="n">
        <f aca="false">VLOOKUP(A7,Raw_Orders!$A$2:$H$19,6,FALSE())</f>
        <v>82000</v>
      </c>
      <c r="J7" s="7" t="n">
        <f aca="false">VLOOKUP(A7,Raw_Orders!$A$2:$H$19,4,FALSE())</f>
        <v>76000</v>
      </c>
      <c r="K7" s="7" t="n">
        <f aca="false">VLOOKUP(A7,Raw_Orders!$A$2:$H$19,5,FALSE())</f>
        <v>71000</v>
      </c>
      <c r="L7" s="7" t="n">
        <f aca="false">K7-J7</f>
        <v>-5000</v>
      </c>
      <c r="M7" s="3" t="n">
        <f aca="false">VLOOKUP(A7,Case_Summary!$A$2:$F$19,2,FALSE())</f>
        <v>1</v>
      </c>
      <c r="N7" s="3" t="n">
        <f aca="false">VLOOKUP(A7,Case_Summary!$A$2:$F$19,3,FALSE())</f>
        <v>3</v>
      </c>
      <c r="O7" s="3" t="n">
        <f aca="false">VLOOKUP(A7,Case_Summary!$A$2:$F$19,4,FALSE())</f>
        <v>10</v>
      </c>
      <c r="P7" s="3" t="n">
        <f aca="false">VLOOKUP(A7,Activity_Summary!$A$2:$D$19,2,FALSE())</f>
        <v>0</v>
      </c>
      <c r="Q7" s="4" t="n">
        <f aca="false">VLOOKUP(A7,Activity_Summary!$A$2:$D$19,3,FALSE())</f>
        <v>46216</v>
      </c>
      <c r="R7" s="10" t="n">
        <f aca="false">Assumptions!$B$8-Q7</f>
        <v>2</v>
      </c>
      <c r="S7" s="3" t="str">
        <f aca="false">IF(COUNTIFS(Raw_Contacts!$B$2:$B$41,A7,Raw_Contacts!$F$2:$F$41,"Final Renewal Approver",Raw_Contacts!$H$2:$H$41,"Approved")&gt;0,"Ready",IF(COUNTIFS(Raw_Contacts!$B$2:$B$41,A7,Raw_Contacts!$H$2:$H$41,"Operations Only")&gt;0,"Ops route only",IF(COUNTIFS(Raw_Contacts!$B$2:$B$41,A7,Raw_Contacts!$H$2:$H$41,"Do not contact executive")&gt;0,"Manager route only","Pending permission")))</f>
        <v>Ready</v>
      </c>
      <c r="T7" s="3" t="str">
        <f aca="false">IF(VLOOKUP(A7,Case_Summary!$A$2:$F$19,5,FALSE())=0,"",VLOOKUP(A7,Case_Summary!$A$2:$F$19,5,FALSE()))</f>
        <v>Billing Error</v>
      </c>
      <c r="U7" s="3" t="str">
        <f aca="false">IF(VLOOKUP(A7,Raw_Approval!$A$2:$G$19,3,FALSE())=0,"",VLOOKUP(A7,Raw_Approval!$A$2:$G$19,3,FALSE()))</f>
        <v>CR-10K</v>
      </c>
      <c r="V7" s="7" t="n">
        <f aca="false">VLOOKUP(A7,Raw_CRM!$A$2:$L$19,10,FALSE())</f>
        <v>4800</v>
      </c>
      <c r="W7" s="7" t="n">
        <f aca="false">IF(U7="","",IFERROR(VLOOKUP(U7,Raw_Offers!$A$2:$G$7,4,FALSE()),0))</f>
        <v>10000</v>
      </c>
      <c r="X7" s="3" t="str">
        <f aca="false">IF(H7&lt;&gt;"Approved execution","Controlled",IF(U7="","No offer",IF(U7="MGR-REQ","Manager required",IF(OR(W7=0,V7&lt;=W7),"Within authority","Over limit"))))</f>
        <v>Within authority</v>
      </c>
      <c r="Y7" s="3" t="str">
        <f aca="false">IF(VLOOKUP(A7,Raw_Approval!$A$2:$G$19,5,FALSE())=0,"",VLOOKUP(A7,Raw_Approval!$A$2:$G$19,5,FALSE()))</f>
        <v/>
      </c>
      <c r="Z7" s="9" t="s">
        <v>666</v>
      </c>
    </row>
    <row r="8" customFormat="false" ht="15" hidden="false" customHeight="true" outlineLevel="0" collapsed="false">
      <c r="A8" s="9" t="s">
        <v>120</v>
      </c>
      <c r="B8" s="3" t="str">
        <f aca="false">VLOOKUP(A8,Raw_CRM!$A$2:$L$19,2,FALSE())</f>
        <v>Northline Insurance</v>
      </c>
      <c r="C8" s="3" t="str">
        <f aca="false">VLOOKUP(A8,Raw_CRM!$A$2:$L$19,3,FALSE())</f>
        <v>Financial Services</v>
      </c>
      <c r="D8" s="3" t="str">
        <f aca="false">VLOOKUP(A8,Raw_CRM!$A$2:$L$19,4,FALSE())</f>
        <v>Core</v>
      </c>
      <c r="E8" s="3" t="str">
        <f aca="false">VLOOKUP(A8,Raw_CRM!$A$2:$L$19,5,FALSE())</f>
        <v>Jordan Patel</v>
      </c>
      <c r="F8" s="4" t="n">
        <f aca="false">VLOOKUP(A8,Raw_CRM!$A$2:$L$19,6,FALSE())</f>
        <v>46237</v>
      </c>
      <c r="G8" s="3" t="n">
        <f aca="false">VLOOKUP(A8,Raw_CRM!$A$2:$L$19,7,FALSE())</f>
        <v>50</v>
      </c>
      <c r="H8" s="3" t="str">
        <f aca="false">VLOOKUP(A8,Raw_Approval!$A$2:$G$19,2,FALSE())</f>
        <v>Approved execution</v>
      </c>
      <c r="I8" s="7" t="n">
        <f aca="false">VLOOKUP(A8,Raw_Orders!$A$2:$H$19,6,FALSE())</f>
        <v>260000</v>
      </c>
      <c r="J8" s="7" t="n">
        <f aca="false">VLOOKUP(A8,Raw_Orders!$A$2:$H$19,4,FALSE())</f>
        <v>246000</v>
      </c>
      <c r="K8" s="7" t="n">
        <f aca="false">VLOOKUP(A8,Raw_Orders!$A$2:$H$19,5,FALSE())</f>
        <v>206000</v>
      </c>
      <c r="L8" s="7" t="n">
        <f aca="false">K8-J8</f>
        <v>-40000</v>
      </c>
      <c r="M8" s="3" t="n">
        <f aca="false">VLOOKUP(A8,Case_Summary!$A$2:$F$19,2,FALSE())</f>
        <v>1</v>
      </c>
      <c r="N8" s="3" t="n">
        <f aca="false">VLOOKUP(A8,Case_Summary!$A$2:$F$19,3,FALSE())</f>
        <v>4</v>
      </c>
      <c r="O8" s="3" t="n">
        <f aca="false">VLOOKUP(A8,Case_Summary!$A$2:$F$19,4,FALSE())</f>
        <v>23</v>
      </c>
      <c r="P8" s="3" t="n">
        <f aca="false">VLOOKUP(A8,Activity_Summary!$A$2:$D$19,2,FALSE())</f>
        <v>1</v>
      </c>
      <c r="Q8" s="4" t="n">
        <f aca="false">VLOOKUP(A8,Activity_Summary!$A$2:$D$19,3,FALSE())</f>
        <v>46213</v>
      </c>
      <c r="R8" s="10" t="n">
        <f aca="false">Assumptions!$B$8-Q8</f>
        <v>5</v>
      </c>
      <c r="S8" s="3" t="str">
        <f aca="false">IF(COUNTIFS(Raw_Contacts!$B$2:$B$41,A8,Raw_Contacts!$F$2:$F$41,"Final Renewal Approver",Raw_Contacts!$H$2:$H$41,"Approved")&gt;0,"Ready",IF(COUNTIFS(Raw_Contacts!$B$2:$B$41,A8,Raw_Contacts!$H$2:$H$41,"Operations Only")&gt;0,"Ops route only",IF(COUNTIFS(Raw_Contacts!$B$2:$B$41,A8,Raw_Contacts!$H$2:$H$41,"Do not contact executive")&gt;0,"Manager route only","Pending permission")))</f>
        <v>Ready</v>
      </c>
      <c r="T8" s="3" t="str">
        <f aca="false">IF(VLOOKUP(A8,Case_Summary!$A$2:$F$19,5,FALSE())=0,"",VLOOKUP(A8,Case_Summary!$A$2:$F$19,5,FALSE()))</f>
        <v>Delivery Underpacing</v>
      </c>
      <c r="U8" s="3" t="str">
        <f aca="false">IF(VLOOKUP(A8,Raw_Approval!$A$2:$G$19,3,FALSE())=0,"",VLOOKUP(A8,Raw_Approval!$A$2:$G$19,3,FALSE()))</f>
        <v>MG-15</v>
      </c>
      <c r="V8" s="7" t="n">
        <f aca="false">VLOOKUP(A8,Raw_CRM!$A$2:$L$19,10,FALSE())</f>
        <v>22000</v>
      </c>
      <c r="W8" s="7" t="n">
        <f aca="false">IF(U8="","",IFERROR(VLOOKUP(U8,Raw_Offers!$A$2:$G$7,4,FALSE()),0))</f>
        <v>25000</v>
      </c>
      <c r="X8" s="3" t="str">
        <f aca="false">IF(H8&lt;&gt;"Approved execution","Controlled",IF(U8="","No offer",IF(U8="MGR-REQ","Manager required",IF(OR(W8=0,V8&lt;=W8),"Within authority","Over limit"))))</f>
        <v>Within authority</v>
      </c>
      <c r="Y8" s="3" t="str">
        <f aca="false">IF(VLOOKUP(A8,Raw_Approval!$A$2:$G$19,5,FALSE())=0,"",VLOOKUP(A8,Raw_Approval!$A$2:$G$19,5,FALSE()))</f>
        <v/>
      </c>
      <c r="Z8" s="9" t="s">
        <v>666</v>
      </c>
    </row>
    <row r="9" customFormat="false" ht="15" hidden="false" customHeight="true" outlineLevel="0" collapsed="false">
      <c r="A9" s="9" t="s">
        <v>123</v>
      </c>
      <c r="B9" s="3" t="str">
        <f aca="false">VLOOKUP(A9,Raw_CRM!$A$2:$L$19,2,FALSE())</f>
        <v>Veridian Charter Schools</v>
      </c>
      <c r="C9" s="3" t="str">
        <f aca="false">VLOOKUP(A9,Raw_CRM!$A$2:$L$19,3,FALSE())</f>
        <v>Education</v>
      </c>
      <c r="D9" s="3" t="str">
        <f aca="false">VLOOKUP(A9,Raw_CRM!$A$2:$L$19,4,FALSE())</f>
        <v>Emerging</v>
      </c>
      <c r="E9" s="3" t="str">
        <f aca="false">VLOOKUP(A9,Raw_CRM!$A$2:$L$19,5,FALSE())</f>
        <v>Priya Nair</v>
      </c>
      <c r="F9" s="4" t="n">
        <f aca="false">VLOOKUP(A9,Raw_CRM!$A$2:$L$19,6,FALSE())</f>
        <v>46249</v>
      </c>
      <c r="G9" s="3" t="n">
        <f aca="false">VLOOKUP(A9,Raw_CRM!$A$2:$L$19,7,FALSE())</f>
        <v>63</v>
      </c>
      <c r="H9" s="3" t="str">
        <f aca="false">VLOOKUP(A9,Raw_Approval!$A$2:$G$19,2,FALSE())</f>
        <v>Approved execution</v>
      </c>
      <c r="I9" s="7" t="n">
        <f aca="false">VLOOKUP(A9,Raw_Orders!$A$2:$H$19,6,FALSE())</f>
        <v>110000</v>
      </c>
      <c r="J9" s="7" t="n">
        <f aca="false">VLOOKUP(A9,Raw_Orders!$A$2:$H$19,4,FALSE())</f>
        <v>98000</v>
      </c>
      <c r="K9" s="7" t="n">
        <f aca="false">VLOOKUP(A9,Raw_Orders!$A$2:$H$19,5,FALSE())</f>
        <v>88000</v>
      </c>
      <c r="L9" s="7" t="n">
        <f aca="false">K9-J9</f>
        <v>-10000</v>
      </c>
      <c r="M9" s="3" t="n">
        <f aca="false">VLOOKUP(A9,Case_Summary!$A$2:$F$19,2,FALSE())</f>
        <v>1</v>
      </c>
      <c r="N9" s="3" t="n">
        <f aca="false">VLOOKUP(A9,Case_Summary!$A$2:$F$19,3,FALSE())</f>
        <v>3</v>
      </c>
      <c r="O9" s="3" t="n">
        <f aca="false">VLOOKUP(A9,Case_Summary!$A$2:$F$19,4,FALSE())</f>
        <v>9</v>
      </c>
      <c r="P9" s="3" t="n">
        <f aca="false">VLOOKUP(A9,Activity_Summary!$A$2:$D$19,2,FALSE())</f>
        <v>0</v>
      </c>
      <c r="Q9" s="4" t="n">
        <f aca="false">VLOOKUP(A9,Activity_Summary!$A$2:$D$19,3,FALSE())</f>
        <v>46215</v>
      </c>
      <c r="R9" s="10" t="n">
        <f aca="false">Assumptions!$B$8-Q9</f>
        <v>3</v>
      </c>
      <c r="S9" s="3" t="str">
        <f aca="false">IF(COUNTIFS(Raw_Contacts!$B$2:$B$41,A9,Raw_Contacts!$F$2:$F$41,"Final Renewal Approver",Raw_Contacts!$H$2:$H$41,"Approved")&gt;0,"Ready",IF(COUNTIFS(Raw_Contacts!$B$2:$B$41,A9,Raw_Contacts!$H$2:$H$41,"Operations Only")&gt;0,"Ops route only",IF(COUNTIFS(Raw_Contacts!$B$2:$B$41,A9,Raw_Contacts!$H$2:$H$41,"Do not contact executive")&gt;0,"Manager route only","Pending permission")))</f>
        <v>Ready</v>
      </c>
      <c r="T9" s="3" t="str">
        <f aca="false">IF(VLOOKUP(A9,Case_Summary!$A$2:$F$19,5,FALSE())=0,"",VLOOKUP(A9,Case_Summary!$A$2:$F$19,5,FALSE()))</f>
        <v>Reporting Discrepancy</v>
      </c>
      <c r="U9" s="3" t="str">
        <f aca="false">IF(VLOOKUP(A9,Raw_Approval!$A$2:$G$19,3,FALSE())=0,"",VLOOKUP(A9,Raw_Approval!$A$2:$G$19,3,FALSE()))</f>
        <v>RPT-COMP</v>
      </c>
      <c r="V9" s="7" t="n">
        <f aca="false">VLOOKUP(A9,Raw_CRM!$A$2:$L$19,10,FALSE())</f>
        <v>0</v>
      </c>
      <c r="W9" s="7" t="n">
        <f aca="false">IF(U9="","",IFERROR(VLOOKUP(U9,Raw_Offers!$A$2:$G$7,4,FALSE()),0))</f>
        <v>0</v>
      </c>
      <c r="X9" s="3" t="str">
        <f aca="false">IF(H9&lt;&gt;"Approved execution","Controlled",IF(U9="","No offer",IF(U9="MGR-REQ","Manager required",IF(OR(W9=0,V9&lt;=W9),"Within authority","Over limit"))))</f>
        <v>Within authority</v>
      </c>
      <c r="Y9" s="3" t="str">
        <f aca="false">IF(VLOOKUP(A9,Raw_Approval!$A$2:$G$19,5,FALSE())=0,"",VLOOKUP(A9,Raw_Approval!$A$2:$G$19,5,FALSE()))</f>
        <v/>
      </c>
      <c r="Z9" s="9" t="s">
        <v>666</v>
      </c>
    </row>
    <row r="10" customFormat="false" ht="15" hidden="false" customHeight="true" outlineLevel="0" collapsed="false">
      <c r="A10" s="9" t="s">
        <v>127</v>
      </c>
      <c r="B10" s="3" t="str">
        <f aca="false">VLOOKUP(A10,Raw_CRM!$A$2:$L$19,2,FALSE())</f>
        <v>Copper Trail Hospitality</v>
      </c>
      <c r="C10" s="3" t="str">
        <f aca="false">VLOOKUP(A10,Raw_CRM!$A$2:$L$19,3,FALSE())</f>
        <v>Travel</v>
      </c>
      <c r="D10" s="3" t="str">
        <f aca="false">VLOOKUP(A10,Raw_CRM!$A$2:$L$19,4,FALSE())</f>
        <v>Core</v>
      </c>
      <c r="E10" s="3" t="str">
        <f aca="false">VLOOKUP(A10,Raw_CRM!$A$2:$L$19,5,FALSE())</f>
        <v>Luis Romero</v>
      </c>
      <c r="F10" s="4" t="n">
        <f aca="false">VLOOKUP(A10,Raw_CRM!$A$2:$L$19,6,FALSE())</f>
        <v>46232</v>
      </c>
      <c r="G10" s="3" t="n">
        <f aca="false">VLOOKUP(A10,Raw_CRM!$A$2:$L$19,7,FALSE())</f>
        <v>58</v>
      </c>
      <c r="H10" s="3" t="str">
        <f aca="false">VLOOKUP(A10,Raw_Approval!$A$2:$G$19,2,FALSE())</f>
        <v>Approved execution</v>
      </c>
      <c r="I10" s="7" t="n">
        <f aca="false">VLOOKUP(A10,Raw_Orders!$A$2:$H$19,6,FALSE())</f>
        <v>190000</v>
      </c>
      <c r="J10" s="7" t="n">
        <f aca="false">VLOOKUP(A10,Raw_Orders!$A$2:$H$19,4,FALSE())</f>
        <v>174000</v>
      </c>
      <c r="K10" s="7" t="n">
        <f aca="false">VLOOKUP(A10,Raw_Orders!$A$2:$H$19,5,FALSE())</f>
        <v>149000</v>
      </c>
      <c r="L10" s="7" t="n">
        <f aca="false">K10-J10</f>
        <v>-25000</v>
      </c>
      <c r="M10" s="3" t="n">
        <f aca="false">VLOOKUP(A10,Case_Summary!$A$2:$F$19,2,FALSE())</f>
        <v>1</v>
      </c>
      <c r="N10" s="3" t="n">
        <f aca="false">VLOOKUP(A10,Case_Summary!$A$2:$F$19,3,FALSE())</f>
        <v>4</v>
      </c>
      <c r="O10" s="3" t="n">
        <f aca="false">VLOOKUP(A10,Case_Summary!$A$2:$F$19,4,FALSE())</f>
        <v>20</v>
      </c>
      <c r="P10" s="3" t="n">
        <f aca="false">VLOOKUP(A10,Activity_Summary!$A$2:$D$19,2,FALSE())</f>
        <v>1</v>
      </c>
      <c r="Q10" s="4" t="n">
        <f aca="false">VLOOKUP(A10,Activity_Summary!$A$2:$D$19,3,FALSE())</f>
        <v>46212</v>
      </c>
      <c r="R10" s="10" t="n">
        <f aca="false">Assumptions!$B$8-Q10</f>
        <v>6</v>
      </c>
      <c r="S10" s="3" t="str">
        <f aca="false">IF(COUNTIFS(Raw_Contacts!$B$2:$B$41,A10,Raw_Contacts!$F$2:$F$41,"Final Renewal Approver",Raw_Contacts!$H$2:$H$41,"Approved")&gt;0,"Ready",IF(COUNTIFS(Raw_Contacts!$B$2:$B$41,A10,Raw_Contacts!$H$2:$H$41,"Operations Only")&gt;0,"Ops route only",IF(COUNTIFS(Raw_Contacts!$B$2:$B$41,A10,Raw_Contacts!$H$2:$H$41,"Do not contact executive")&gt;0,"Manager route only","Pending permission")))</f>
        <v>Ready</v>
      </c>
      <c r="T10" s="3" t="str">
        <f aca="false">IF(VLOOKUP(A10,Case_Summary!$A$2:$F$19,5,FALSE())=0,"",VLOOKUP(A10,Case_Summary!$A$2:$F$19,5,FALSE()))</f>
        <v>Creative Trafficking</v>
      </c>
      <c r="U10" s="3" t="str">
        <f aca="false">IF(VLOOKUP(A10,Raw_Approval!$A$2:$G$19,3,FALSE())=0,"",VLOOKUP(A10,Raw_Approval!$A$2:$G$19,3,FALSE()))</f>
        <v>SW-PKG</v>
      </c>
      <c r="V10" s="7" t="n">
        <f aca="false">VLOOKUP(A10,Raw_CRM!$A$2:$L$19,10,FALSE())</f>
        <v>15000</v>
      </c>
      <c r="W10" s="7" t="n">
        <f aca="false">IF(U10="","",IFERROR(VLOOKUP(U10,Raw_Offers!$A$2:$G$7,4,FALSE()),0))</f>
        <v>18000</v>
      </c>
      <c r="X10" s="3" t="str">
        <f aca="false">IF(H10&lt;&gt;"Approved execution","Controlled",IF(U10="","No offer",IF(U10="MGR-REQ","Manager required",IF(OR(W10=0,V10&lt;=W10),"Within authority","Over limit"))))</f>
        <v>Within authority</v>
      </c>
      <c r="Y10" s="3" t="str">
        <f aca="false">IF(VLOOKUP(A10,Raw_Approval!$A$2:$G$19,5,FALSE())=0,"",VLOOKUP(A10,Raw_Approval!$A$2:$G$19,5,FALSE()))</f>
        <v/>
      </c>
      <c r="Z10" s="9" t="s">
        <v>666</v>
      </c>
    </row>
    <row r="11" customFormat="false" ht="15" hidden="false" customHeight="true" outlineLevel="0" collapsed="false">
      <c r="A11" s="9" t="s">
        <v>131</v>
      </c>
      <c r="B11" s="3" t="str">
        <f aca="false">VLOOKUP(A11,Raw_CRM!$A$2:$L$19,2,FALSE())</f>
        <v>Finch Legal Group</v>
      </c>
      <c r="C11" s="3" t="str">
        <f aca="false">VLOOKUP(A11,Raw_CRM!$A$2:$L$19,3,FALSE())</f>
        <v>Professional Services</v>
      </c>
      <c r="D11" s="3" t="str">
        <f aca="false">VLOOKUP(A11,Raw_CRM!$A$2:$L$19,4,FALSE())</f>
        <v>Emerging</v>
      </c>
      <c r="E11" s="3" t="str">
        <f aca="false">VLOOKUP(A11,Raw_CRM!$A$2:$L$19,5,FALSE())</f>
        <v>Devon Brooks</v>
      </c>
      <c r="F11" s="4" t="n">
        <f aca="false">VLOOKUP(A11,Raw_CRM!$A$2:$L$19,6,FALSE())</f>
        <v>46254</v>
      </c>
      <c r="G11" s="3" t="n">
        <f aca="false">VLOOKUP(A11,Raw_CRM!$A$2:$L$19,7,FALSE())</f>
        <v>70</v>
      </c>
      <c r="H11" s="3" t="str">
        <f aca="false">VLOOKUP(A11,Raw_Approval!$A$2:$G$19,2,FALSE())</f>
        <v>Approved execution</v>
      </c>
      <c r="I11" s="7" t="n">
        <f aca="false">VLOOKUP(A11,Raw_Orders!$A$2:$H$19,6,FALSE())</f>
        <v>75000</v>
      </c>
      <c r="J11" s="7" t="n">
        <f aca="false">VLOOKUP(A11,Raw_Orders!$A$2:$H$19,4,FALSE())</f>
        <v>72000</v>
      </c>
      <c r="K11" s="7" t="n">
        <f aca="false">VLOOKUP(A11,Raw_Orders!$A$2:$H$19,5,FALSE())</f>
        <v>70000</v>
      </c>
      <c r="L11" s="7" t="n">
        <f aca="false">K11-J11</f>
        <v>-2000</v>
      </c>
      <c r="M11" s="3" t="n">
        <f aca="false">VLOOKUP(A11,Case_Summary!$A$2:$F$19,2,FALSE())</f>
        <v>1</v>
      </c>
      <c r="N11" s="3" t="n">
        <f aca="false">VLOOKUP(A11,Case_Summary!$A$2:$F$19,3,FALSE())</f>
        <v>2</v>
      </c>
      <c r="O11" s="3" t="n">
        <f aca="false">VLOOKUP(A11,Case_Summary!$A$2:$F$19,4,FALSE())</f>
        <v>5</v>
      </c>
      <c r="P11" s="3" t="n">
        <f aca="false">VLOOKUP(A11,Activity_Summary!$A$2:$D$19,2,FALSE())</f>
        <v>0</v>
      </c>
      <c r="Q11" s="4" t="n">
        <f aca="false">VLOOKUP(A11,Activity_Summary!$A$2:$D$19,3,FALSE())</f>
        <v>46217</v>
      </c>
      <c r="R11" s="10" t="n">
        <f aca="false">Assumptions!$B$8-Q11</f>
        <v>1</v>
      </c>
      <c r="S11" s="3" t="str">
        <f aca="false">IF(COUNTIFS(Raw_Contacts!$B$2:$B$41,A11,Raw_Contacts!$F$2:$F$41,"Final Renewal Approver",Raw_Contacts!$H$2:$H$41,"Approved")&gt;0,"Ready",IF(COUNTIFS(Raw_Contacts!$B$2:$B$41,A11,Raw_Contacts!$H$2:$H$41,"Operations Only")&gt;0,"Ops route only",IF(COUNTIFS(Raw_Contacts!$B$2:$B$41,A11,Raw_Contacts!$H$2:$H$41,"Do not contact executive")&gt;0,"Manager route only","Pending permission")))</f>
        <v>Ready</v>
      </c>
      <c r="T11" s="3" t="str">
        <f aca="false">IF(VLOOKUP(A11,Case_Summary!$A$2:$F$19,5,FALSE())=0,"",VLOOKUP(A11,Case_Summary!$A$2:$F$19,5,FALSE()))</f>
        <v>Renewal Rate Objection</v>
      </c>
      <c r="U11" s="3" t="str">
        <f aca="false">IF(VLOOKUP(A11,Raw_Approval!$A$2:$G$19,3,FALSE())=0,"",VLOOKUP(A11,Raw_Approval!$A$2:$G$19,3,FALSE()))</f>
        <v>RH-60</v>
      </c>
      <c r="V11" s="7" t="n">
        <f aca="false">VLOOKUP(A11,Raw_CRM!$A$2:$L$19,10,FALSE())</f>
        <v>0</v>
      </c>
      <c r="W11" s="7" t="n">
        <f aca="false">IF(U11="","",IFERROR(VLOOKUP(U11,Raw_Offers!$A$2:$G$7,4,FALSE()),0))</f>
        <v>0</v>
      </c>
      <c r="X11" s="3" t="str">
        <f aca="false">IF(H11&lt;&gt;"Approved execution","Controlled",IF(U11="","No offer",IF(U11="MGR-REQ","Manager required",IF(OR(W11=0,V11&lt;=W11),"Within authority","Over limit"))))</f>
        <v>Within authority</v>
      </c>
      <c r="Y11" s="3" t="str">
        <f aca="false">IF(VLOOKUP(A11,Raw_Approval!$A$2:$G$19,5,FALSE())=0,"",VLOOKUP(A11,Raw_Approval!$A$2:$G$19,5,FALSE()))</f>
        <v/>
      </c>
      <c r="Z11" s="9" t="s">
        <v>666</v>
      </c>
    </row>
    <row r="12" customFormat="false" ht="15" hidden="false" customHeight="true" outlineLevel="0" collapsed="false">
      <c r="A12" s="9" t="s">
        <v>135</v>
      </c>
      <c r="B12" s="3" t="str">
        <f aca="false">VLOOKUP(A12,Raw_CRM!$A$2:$L$19,2,FALSE())</f>
        <v>Solstice Energy Co-op</v>
      </c>
      <c r="C12" s="3" t="str">
        <f aca="false">VLOOKUP(A12,Raw_CRM!$A$2:$L$19,3,FALSE())</f>
        <v>Energy</v>
      </c>
      <c r="D12" s="3" t="str">
        <f aca="false">VLOOKUP(A12,Raw_CRM!$A$2:$L$19,4,FALSE())</f>
        <v>Core</v>
      </c>
      <c r="E12" s="3" t="str">
        <f aca="false">VLOOKUP(A12,Raw_CRM!$A$2:$L$19,5,FALSE())</f>
        <v>Maya Chen</v>
      </c>
      <c r="F12" s="4" t="n">
        <f aca="false">VLOOKUP(A12,Raw_CRM!$A$2:$L$19,6,FALSE())</f>
        <v>46243</v>
      </c>
      <c r="G12" s="3" t="n">
        <f aca="false">VLOOKUP(A12,Raw_CRM!$A$2:$L$19,7,FALSE())</f>
        <v>55</v>
      </c>
      <c r="H12" s="3" t="str">
        <f aca="false">VLOOKUP(A12,Raw_Approval!$A$2:$G$19,2,FALSE())</f>
        <v>Approved execution</v>
      </c>
      <c r="I12" s="7" t="n">
        <f aca="false">VLOOKUP(A12,Raw_Orders!$A$2:$H$19,6,FALSE())</f>
        <v>175000</v>
      </c>
      <c r="J12" s="7" t="n">
        <f aca="false">VLOOKUP(A12,Raw_Orders!$A$2:$H$19,4,FALSE())</f>
        <v>160000</v>
      </c>
      <c r="K12" s="7" t="n">
        <f aca="false">VLOOKUP(A12,Raw_Orders!$A$2:$H$19,5,FALSE())</f>
        <v>140000</v>
      </c>
      <c r="L12" s="7" t="n">
        <f aca="false">K12-J12</f>
        <v>-20000</v>
      </c>
      <c r="M12" s="3" t="n">
        <f aca="false">VLOOKUP(A12,Case_Summary!$A$2:$F$19,2,FALSE())</f>
        <v>1</v>
      </c>
      <c r="N12" s="3" t="n">
        <f aca="false">VLOOKUP(A12,Case_Summary!$A$2:$F$19,3,FALSE())</f>
        <v>4</v>
      </c>
      <c r="O12" s="3" t="n">
        <f aca="false">VLOOKUP(A12,Case_Summary!$A$2:$F$19,4,FALSE())</f>
        <v>18</v>
      </c>
      <c r="P12" s="3" t="n">
        <f aca="false">VLOOKUP(A12,Activity_Summary!$A$2:$D$19,2,FALSE())</f>
        <v>0</v>
      </c>
      <c r="Q12" s="4" t="n">
        <f aca="false">VLOOKUP(A12,Activity_Summary!$A$2:$D$19,3,FALSE())</f>
        <v>46213</v>
      </c>
      <c r="R12" s="10" t="n">
        <f aca="false">Assumptions!$B$8-Q12</f>
        <v>5</v>
      </c>
      <c r="S12" s="3" t="str">
        <f aca="false">IF(COUNTIFS(Raw_Contacts!$B$2:$B$41,A12,Raw_Contacts!$F$2:$F$41,"Final Renewal Approver",Raw_Contacts!$H$2:$H$41,"Approved")&gt;0,"Ready",IF(COUNTIFS(Raw_Contacts!$B$2:$B$41,A12,Raw_Contacts!$H$2:$H$41,"Operations Only")&gt;0,"Ops route only",IF(COUNTIFS(Raw_Contacts!$B$2:$B$41,A12,Raw_Contacts!$H$2:$H$41,"Do not contact executive")&gt;0,"Manager route only","Pending permission")))</f>
        <v>Ready</v>
      </c>
      <c r="T12" s="3" t="str">
        <f aca="false">IF(VLOOKUP(A12,Case_Summary!$A$2:$F$19,5,FALSE())=0,"",VLOOKUP(A12,Case_Summary!$A$2:$F$19,5,FALSE()))</f>
        <v>Reporting Discrepancy</v>
      </c>
      <c r="U12" s="3" t="str">
        <f aca="false">IF(VLOOKUP(A12,Raw_Approval!$A$2:$G$19,3,FALSE())=0,"",VLOOKUP(A12,Raw_Approval!$A$2:$G$19,3,FALSE()))</f>
        <v>RPT-COMP</v>
      </c>
      <c r="V12" s="7" t="n">
        <f aca="false">VLOOKUP(A12,Raw_CRM!$A$2:$L$19,10,FALSE())</f>
        <v>0</v>
      </c>
      <c r="W12" s="7" t="n">
        <f aca="false">IF(U12="","",IFERROR(VLOOKUP(U12,Raw_Offers!$A$2:$G$7,4,FALSE()),0))</f>
        <v>0</v>
      </c>
      <c r="X12" s="3" t="str">
        <f aca="false">IF(H12&lt;&gt;"Approved execution","Controlled",IF(U12="","No offer",IF(U12="MGR-REQ","Manager required",IF(OR(W12=0,V12&lt;=W12),"Within authority","Over limit"))))</f>
        <v>Within authority</v>
      </c>
      <c r="Y12" s="3" t="str">
        <f aca="false">IF(VLOOKUP(A12,Raw_Approval!$A$2:$G$19,5,FALSE())=0,"",VLOOKUP(A12,Raw_Approval!$A$2:$G$19,5,FALSE()))</f>
        <v/>
      </c>
      <c r="Z12" s="9" t="s">
        <v>666</v>
      </c>
    </row>
    <row r="13" customFormat="false" ht="15" hidden="false" customHeight="true" outlineLevel="0" collapsed="false">
      <c r="A13" s="9" t="s">
        <v>138</v>
      </c>
      <c r="B13" s="3" t="str">
        <f aca="false">VLOOKUP(A13,Raw_CRM!$A$2:$L$19,2,FALSE())</f>
        <v>Vesta Apparel Collective</v>
      </c>
      <c r="C13" s="3" t="str">
        <f aca="false">VLOOKUP(A13,Raw_CRM!$A$2:$L$19,3,FALSE())</f>
        <v>Retail</v>
      </c>
      <c r="D13" s="3" t="str">
        <f aca="false">VLOOKUP(A13,Raw_CRM!$A$2:$L$19,4,FALSE())</f>
        <v>Key Growth</v>
      </c>
      <c r="E13" s="3" t="str">
        <f aca="false">VLOOKUP(A13,Raw_CRM!$A$2:$L$19,5,FALSE())</f>
        <v>Jordan Patel</v>
      </c>
      <c r="F13" s="4" t="n">
        <f aca="false">VLOOKUP(A13,Raw_CRM!$A$2:$L$19,6,FALSE())</f>
        <v>46235</v>
      </c>
      <c r="G13" s="3" t="n">
        <f aca="false">VLOOKUP(A13,Raw_CRM!$A$2:$L$19,7,FALSE())</f>
        <v>47</v>
      </c>
      <c r="H13" s="3" t="str">
        <f aca="false">VLOOKUP(A13,Raw_Approval!$A$2:$G$19,2,FALSE())</f>
        <v>Approved execution</v>
      </c>
      <c r="I13" s="7" t="n">
        <f aca="false">VLOOKUP(A13,Raw_Orders!$A$2:$H$19,6,FALSE())</f>
        <v>305000</v>
      </c>
      <c r="J13" s="7" t="n">
        <f aca="false">VLOOKUP(A13,Raw_Orders!$A$2:$H$19,4,FALSE())</f>
        <v>290000</v>
      </c>
      <c r="K13" s="7" t="n">
        <f aca="false">VLOOKUP(A13,Raw_Orders!$A$2:$H$19,5,FALSE())</f>
        <v>238000</v>
      </c>
      <c r="L13" s="7" t="n">
        <f aca="false">K13-J13</f>
        <v>-52000</v>
      </c>
      <c r="M13" s="3" t="n">
        <f aca="false">VLOOKUP(A13,Case_Summary!$A$2:$F$19,2,FALSE())</f>
        <v>2</v>
      </c>
      <c r="N13" s="3" t="n">
        <f aca="false">VLOOKUP(A13,Case_Summary!$A$2:$F$19,3,FALSE())</f>
        <v>5</v>
      </c>
      <c r="O13" s="3" t="n">
        <f aca="false">VLOOKUP(A13,Case_Summary!$A$2:$F$19,4,FALSE())</f>
        <v>20</v>
      </c>
      <c r="P13" s="3" t="n">
        <f aca="false">VLOOKUP(A13,Activity_Summary!$A$2:$D$19,2,FALSE())</f>
        <v>1</v>
      </c>
      <c r="Q13" s="4" t="n">
        <f aca="false">VLOOKUP(A13,Activity_Summary!$A$2:$D$19,3,FALSE())</f>
        <v>46217</v>
      </c>
      <c r="R13" s="10" t="n">
        <f aca="false">Assumptions!$B$8-Q13</f>
        <v>1</v>
      </c>
      <c r="S13" s="3" t="str">
        <f aca="false">IF(COUNTIFS(Raw_Contacts!$B$2:$B$41,A13,Raw_Contacts!$F$2:$F$41,"Final Renewal Approver",Raw_Contacts!$H$2:$H$41,"Approved")&gt;0,"Ready",IF(COUNTIFS(Raw_Contacts!$B$2:$B$41,A13,Raw_Contacts!$H$2:$H$41,"Operations Only")&gt;0,"Ops route only",IF(COUNTIFS(Raw_Contacts!$B$2:$B$41,A13,Raw_Contacts!$H$2:$H$41,"Do not contact executive")&gt;0,"Manager route only","Pending permission")))</f>
        <v>Ready</v>
      </c>
      <c r="T13" s="3" t="str">
        <f aca="false">IF(VLOOKUP(A13,Case_Summary!$A$2:$F$19,5,FALSE())=0,"",VLOOKUP(A13,Case_Summary!$A$2:$F$19,5,FALSE()))</f>
        <v>Delivery Underpacing</v>
      </c>
      <c r="U13" s="3" t="str">
        <f aca="false">IF(VLOOKUP(A13,Raw_Approval!$A$2:$G$19,3,FALSE())=0,"",VLOOKUP(A13,Raw_Approval!$A$2:$G$19,3,FALSE()))</f>
        <v>MG-15</v>
      </c>
      <c r="V13" s="7" t="n">
        <f aca="false">VLOOKUP(A13,Raw_CRM!$A$2:$L$19,10,FALSE())</f>
        <v>24000</v>
      </c>
      <c r="W13" s="7" t="n">
        <f aca="false">IF(U13="","",IFERROR(VLOOKUP(U13,Raw_Offers!$A$2:$G$7,4,FALSE()),0))</f>
        <v>25000</v>
      </c>
      <c r="X13" s="3" t="str">
        <f aca="false">IF(H13&lt;&gt;"Approved execution","Controlled",IF(U13="","No offer",IF(U13="MGR-REQ","Manager required",IF(OR(W13=0,V13&lt;=W13),"Within authority","Over limit"))))</f>
        <v>Within authority</v>
      </c>
      <c r="Y13" s="3" t="str">
        <f aca="false">IF(VLOOKUP(A13,Raw_Approval!$A$2:$G$19,5,FALSE())=0,"",VLOOKUP(A13,Raw_Approval!$A$2:$G$19,5,FALSE()))</f>
        <v/>
      </c>
      <c r="Z13" s="9" t="s">
        <v>666</v>
      </c>
    </row>
    <row r="14" customFormat="false" ht="15" hidden="false" customHeight="true" outlineLevel="0" collapsed="false">
      <c r="A14" s="9" t="s">
        <v>141</v>
      </c>
      <c r="B14" s="3" t="str">
        <f aca="false">VLOOKUP(A14,Raw_CRM!$A$2:$L$19,2,FALSE())</f>
        <v>BrightPath Dental Alliance</v>
      </c>
      <c r="C14" s="3" t="str">
        <f aca="false">VLOOKUP(A14,Raw_CRM!$A$2:$L$19,3,FALSE())</f>
        <v>Healthcare</v>
      </c>
      <c r="D14" s="3" t="str">
        <f aca="false">VLOOKUP(A14,Raw_CRM!$A$2:$L$19,4,FALSE())</f>
        <v>Core</v>
      </c>
      <c r="E14" s="3" t="str">
        <f aca="false">VLOOKUP(A14,Raw_CRM!$A$2:$L$19,5,FALSE())</f>
        <v>Priya Nair</v>
      </c>
      <c r="F14" s="4" t="n">
        <f aca="false">VLOOKUP(A14,Raw_CRM!$A$2:$L$19,6,FALSE())</f>
        <v>46251</v>
      </c>
      <c r="G14" s="3" t="n">
        <f aca="false">VLOOKUP(A14,Raw_CRM!$A$2:$L$19,7,FALSE())</f>
        <v>59</v>
      </c>
      <c r="H14" s="3" t="str">
        <f aca="false">VLOOKUP(A14,Raw_Approval!$A$2:$G$19,2,FALSE())</f>
        <v>Controlled exception</v>
      </c>
      <c r="I14" s="7" t="n">
        <f aca="false">VLOOKUP(A14,Raw_Orders!$A$2:$H$19,6,FALSE())</f>
        <v>165000</v>
      </c>
      <c r="J14" s="7" t="n">
        <f aca="false">VLOOKUP(A14,Raw_Orders!$A$2:$H$19,4,FALSE())</f>
        <v>150000</v>
      </c>
      <c r="K14" s="7" t="n">
        <f aca="false">VLOOKUP(A14,Raw_Orders!$A$2:$H$19,5,FALSE())</f>
        <v>138000</v>
      </c>
      <c r="L14" s="7" t="n">
        <f aca="false">K14-J14</f>
        <v>-12000</v>
      </c>
      <c r="M14" s="3" t="n">
        <f aca="false">VLOOKUP(A14,Case_Summary!$A$2:$F$19,2,FALSE())</f>
        <v>1</v>
      </c>
      <c r="N14" s="3" t="n">
        <f aca="false">VLOOKUP(A14,Case_Summary!$A$2:$F$19,3,FALSE())</f>
        <v>3</v>
      </c>
      <c r="O14" s="3" t="n">
        <f aca="false">VLOOKUP(A14,Case_Summary!$A$2:$F$19,4,FALSE())</f>
        <v>12</v>
      </c>
      <c r="P14" s="3" t="n">
        <f aca="false">VLOOKUP(A14,Activity_Summary!$A$2:$D$19,2,FALSE())</f>
        <v>0</v>
      </c>
      <c r="Q14" s="4" t="n">
        <f aca="false">VLOOKUP(A14,Activity_Summary!$A$2:$D$19,3,FALSE())</f>
        <v>46214</v>
      </c>
      <c r="R14" s="10" t="n">
        <f aca="false">Assumptions!$B$8-Q14</f>
        <v>4</v>
      </c>
      <c r="S14" s="3" t="str">
        <f aca="false">IF(COUNTIFS(Raw_Contacts!$B$2:$B$41,A14,Raw_Contacts!$F$2:$F$41,"Final Renewal Approver",Raw_Contacts!$H$2:$H$41,"Approved")&gt;0,"Ready",IF(COUNTIFS(Raw_Contacts!$B$2:$B$41,A14,Raw_Contacts!$H$2:$H$41,"Operations Only")&gt;0,"Ops route only",IF(COUNTIFS(Raw_Contacts!$B$2:$B$41,A14,Raw_Contacts!$H$2:$H$41,"Do not contact executive")&gt;0,"Manager route only","Pending permission")))</f>
        <v>Ops route only</v>
      </c>
      <c r="T14" s="3" t="str">
        <f aca="false">IF(VLOOKUP(A14,Case_Summary!$A$2:$F$19,5,FALSE())=0,"",VLOOKUP(A14,Case_Summary!$A$2:$F$19,5,FALSE()))</f>
        <v>Delivery Underpacing</v>
      </c>
      <c r="U14" s="3" t="str">
        <f aca="false">IF(VLOOKUP(A14,Raw_Approval!$A$2:$G$19,3,FALSE())=0,"",VLOOKUP(A14,Raw_Approval!$A$2:$G$19,3,FALSE()))</f>
        <v>MG-15</v>
      </c>
      <c r="V14" s="7" t="n">
        <f aca="false">VLOOKUP(A14,Raw_CRM!$A$2:$L$19,10,FALSE())</f>
        <v>17000</v>
      </c>
      <c r="W14" s="7" t="n">
        <f aca="false">IF(U14="","",IFERROR(VLOOKUP(U14,Raw_Offers!$A$2:$G$7,4,FALSE()),0))</f>
        <v>25000</v>
      </c>
      <c r="X14" s="3" t="str">
        <f aca="false">IF(H14&lt;&gt;"Approved execution","Controlled",IF(U14="","No offer",IF(U14="MGR-REQ","Manager required",IF(OR(W14=0,V14&lt;=W14),"Within authority","Over limit"))))</f>
        <v>Controlled</v>
      </c>
      <c r="Y14" s="3" t="str">
        <f aca="false">IF(VLOOKUP(A14,Raw_Approval!$A$2:$G$19,5,FALSE())=0,"",VLOOKUP(A14,Raw_Approval!$A$2:$G$19,5,FALSE()))</f>
        <v>Decision-maker outreach permission pending</v>
      </c>
      <c r="Z14" s="9" t="s">
        <v>666</v>
      </c>
    </row>
    <row r="15" customFormat="false" ht="15" hidden="false" customHeight="true" outlineLevel="0" collapsed="false">
      <c r="A15" s="9" t="s">
        <v>144</v>
      </c>
      <c r="B15" s="3" t="str">
        <f aca="false">VLOOKUP(A15,Raw_CRM!$A$2:$L$19,2,FALSE())</f>
        <v>SummitBank SMB Services</v>
      </c>
      <c r="C15" s="3" t="str">
        <f aca="false">VLOOKUP(A15,Raw_CRM!$A$2:$L$19,3,FALSE())</f>
        <v>Financial Services</v>
      </c>
      <c r="D15" s="3" t="str">
        <f aca="false">VLOOKUP(A15,Raw_CRM!$A$2:$L$19,4,FALSE())</f>
        <v>Key Growth</v>
      </c>
      <c r="E15" s="3" t="str">
        <f aca="false">VLOOKUP(A15,Raw_CRM!$A$2:$L$19,5,FALSE())</f>
        <v>Luis Romero</v>
      </c>
      <c r="F15" s="4" t="n">
        <f aca="false">VLOOKUP(A15,Raw_CRM!$A$2:$L$19,6,FALSE())</f>
        <v>46233</v>
      </c>
      <c r="G15" s="3" t="n">
        <f aca="false">VLOOKUP(A15,Raw_CRM!$A$2:$L$19,7,FALSE())</f>
        <v>42</v>
      </c>
      <c r="H15" s="3" t="str">
        <f aca="false">VLOOKUP(A15,Raw_Approval!$A$2:$G$19,2,FALSE())</f>
        <v>Controlled exception</v>
      </c>
      <c r="I15" s="7" t="n">
        <f aca="false">VLOOKUP(A15,Raw_Orders!$A$2:$H$19,6,FALSE())</f>
        <v>360000</v>
      </c>
      <c r="J15" s="7" t="n">
        <f aca="false">VLOOKUP(A15,Raw_Orders!$A$2:$H$19,4,FALSE())</f>
        <v>342000</v>
      </c>
      <c r="K15" s="7" t="n">
        <f aca="false">VLOOKUP(A15,Raw_Orders!$A$2:$H$19,5,FALSE())</f>
        <v>282000</v>
      </c>
      <c r="L15" s="7" t="n">
        <f aca="false">K15-J15</f>
        <v>-60000</v>
      </c>
      <c r="M15" s="3" t="n">
        <f aca="false">VLOOKUP(A15,Case_Summary!$A$2:$F$19,2,FALSE())</f>
        <v>1</v>
      </c>
      <c r="N15" s="3" t="n">
        <f aca="false">VLOOKUP(A15,Case_Summary!$A$2:$F$19,3,FALSE())</f>
        <v>5</v>
      </c>
      <c r="O15" s="3" t="n">
        <f aca="false">VLOOKUP(A15,Case_Summary!$A$2:$F$19,4,FALSE())</f>
        <v>33</v>
      </c>
      <c r="P15" s="3" t="n">
        <f aca="false">VLOOKUP(A15,Activity_Summary!$A$2:$D$19,2,FALSE())</f>
        <v>0</v>
      </c>
      <c r="Q15" s="4" t="n">
        <f aca="false">VLOOKUP(A15,Activity_Summary!$A$2:$D$19,3,FALSE())</f>
        <v>46217</v>
      </c>
      <c r="R15" s="10" t="n">
        <f aca="false">Assumptions!$B$8-Q15</f>
        <v>1</v>
      </c>
      <c r="S15" s="3" t="str">
        <f aca="false">IF(COUNTIFS(Raw_Contacts!$B$2:$B$41,A15,Raw_Contacts!$F$2:$F$41,"Final Renewal Approver",Raw_Contacts!$H$2:$H$41,"Approved")&gt;0,"Ready",IF(COUNTIFS(Raw_Contacts!$B$2:$B$41,A15,Raw_Contacts!$H$2:$H$41,"Operations Only")&gt;0,"Ops route only",IF(COUNTIFS(Raw_Contacts!$B$2:$B$41,A15,Raw_Contacts!$H$2:$H$41,"Do not contact executive")&gt;0,"Manager route only","Pending permission")))</f>
        <v>Ready</v>
      </c>
      <c r="T15" s="3" t="str">
        <f aca="false">IF(VLOOKUP(A15,Case_Summary!$A$2:$F$19,5,FALSE())=0,"",VLOOKUP(A15,Case_Summary!$A$2:$F$19,5,FALSE()))</f>
        <v>Billing Error</v>
      </c>
      <c r="U15" s="3" t="str">
        <f aca="false">IF(VLOOKUP(A15,Raw_Approval!$A$2:$G$19,3,FALSE())=0,"",VLOOKUP(A15,Raw_Approval!$A$2:$G$19,3,FALSE()))</f>
        <v>MGR-REQ</v>
      </c>
      <c r="V15" s="7" t="n">
        <f aca="false">VLOOKUP(A15,Raw_CRM!$A$2:$L$19,10,FALSE())</f>
        <v>42000</v>
      </c>
      <c r="W15" s="7" t="n">
        <f aca="false">IF(U15="","",IFERROR(VLOOKUP(U15,Raw_Offers!$A$2:$G$7,4,FALSE()),0))</f>
        <v>0</v>
      </c>
      <c r="X15" s="3" t="str">
        <f aca="false">IF(H15&lt;&gt;"Approved execution","Controlled",IF(U15="","No offer",IF(U15="MGR-REQ","Manager required",IF(OR(W15=0,V15&lt;=W15),"Within authority","Over limit"))))</f>
        <v>Controlled</v>
      </c>
      <c r="Y15" s="3" t="str">
        <f aca="false">IF(VLOOKUP(A15,Raw_Approval!$A$2:$G$19,5,FALSE())=0,"",VLOOKUP(A15,Raw_Approval!$A$2:$G$19,5,FALSE()))</f>
        <v>Requested credit is above supervisor authority</v>
      </c>
      <c r="Z15" s="9" t="s">
        <v>666</v>
      </c>
    </row>
    <row r="16" customFormat="false" ht="15" hidden="false" customHeight="true" outlineLevel="0" collapsed="false">
      <c r="A16" s="9" t="s">
        <v>147</v>
      </c>
      <c r="B16" s="3" t="str">
        <f aca="false">VLOOKUP(A16,Raw_CRM!$A$2:$L$19,2,FALSE())</f>
        <v>Mesa Tool Supply</v>
      </c>
      <c r="C16" s="3" t="str">
        <f aca="false">VLOOKUP(A16,Raw_CRM!$A$2:$L$19,3,FALSE())</f>
        <v>Industrial</v>
      </c>
      <c r="D16" s="3" t="str">
        <f aca="false">VLOOKUP(A16,Raw_CRM!$A$2:$L$19,4,FALSE())</f>
        <v>Core</v>
      </c>
      <c r="E16" s="3" t="str">
        <f aca="false">VLOOKUP(A16,Raw_CRM!$A$2:$L$19,5,FALSE())</f>
        <v>Devon Brooks</v>
      </c>
      <c r="F16" s="4" t="n">
        <f aca="false">VLOOKUP(A16,Raw_CRM!$A$2:$L$19,6,FALSE())</f>
        <v>46241</v>
      </c>
      <c r="G16" s="3" t="n">
        <f aca="false">VLOOKUP(A16,Raw_CRM!$A$2:$L$19,7,FALSE())</f>
        <v>49</v>
      </c>
      <c r="H16" s="3" t="str">
        <f aca="false">VLOOKUP(A16,Raw_Approval!$A$2:$G$19,2,FALSE())</f>
        <v>Controlled exception</v>
      </c>
      <c r="I16" s="7" t="n">
        <f aca="false">VLOOKUP(A16,Raw_Orders!$A$2:$H$19,6,FALSE())</f>
        <v>210000</v>
      </c>
      <c r="J16" s="7" t="n">
        <f aca="false">VLOOKUP(A16,Raw_Orders!$A$2:$H$19,4,FALSE())</f>
        <v>198000</v>
      </c>
      <c r="K16" s="7" t="n">
        <f aca="false">VLOOKUP(A16,Raw_Orders!$A$2:$H$19,5,FALSE())</f>
        <v>160000</v>
      </c>
      <c r="L16" s="7" t="n">
        <f aca="false">K16-J16</f>
        <v>-38000</v>
      </c>
      <c r="M16" s="3" t="n">
        <f aca="false">VLOOKUP(A16,Case_Summary!$A$2:$F$19,2,FALSE())</f>
        <v>1</v>
      </c>
      <c r="N16" s="3" t="n">
        <f aca="false">VLOOKUP(A16,Case_Summary!$A$2:$F$19,3,FALSE())</f>
        <v>4</v>
      </c>
      <c r="O16" s="3" t="n">
        <f aca="false">VLOOKUP(A16,Case_Summary!$A$2:$F$19,4,FALSE())</f>
        <v>21</v>
      </c>
      <c r="P16" s="3" t="n">
        <f aca="false">VLOOKUP(A16,Activity_Summary!$A$2:$D$19,2,FALSE())</f>
        <v>1</v>
      </c>
      <c r="Q16" s="4" t="n">
        <f aca="false">VLOOKUP(A16,Activity_Summary!$A$2:$D$19,3,FALSE())</f>
        <v>46210</v>
      </c>
      <c r="R16" s="10" t="n">
        <f aca="false">Assumptions!$B$8-Q16</f>
        <v>8</v>
      </c>
      <c r="S16" s="3" t="str">
        <f aca="false">IF(COUNTIFS(Raw_Contacts!$B$2:$B$41,A16,Raw_Contacts!$F$2:$F$41,"Final Renewal Approver",Raw_Contacts!$H$2:$H$41,"Approved")&gt;0,"Ready",IF(COUNTIFS(Raw_Contacts!$B$2:$B$41,A16,Raw_Contacts!$H$2:$H$41,"Operations Only")&gt;0,"Ops route only",IF(COUNTIFS(Raw_Contacts!$B$2:$B$41,A16,Raw_Contacts!$H$2:$H$41,"Do not contact executive")&gt;0,"Manager route only","Pending permission")))</f>
        <v>Ready</v>
      </c>
      <c r="T16" s="3" t="str">
        <f aca="false">IF(VLOOKUP(A16,Case_Summary!$A$2:$F$19,5,FALSE())=0,"",VLOOKUP(A16,Case_Summary!$A$2:$F$19,5,FALSE()))</f>
        <v>Product Feed Blocker</v>
      </c>
      <c r="U16" s="3" t="str">
        <f aca="false">IF(VLOOKUP(A16,Raw_Approval!$A$2:$G$19,3,FALSE())=0,"",VLOOKUP(A16,Raw_Approval!$A$2:$G$19,3,FALSE()))</f>
        <v>SW-PKG</v>
      </c>
      <c r="V16" s="7" t="n">
        <f aca="false">VLOOKUP(A16,Raw_CRM!$A$2:$L$19,10,FALSE())</f>
        <v>16000</v>
      </c>
      <c r="W16" s="7" t="n">
        <f aca="false">IF(U16="","",IFERROR(VLOOKUP(U16,Raw_Offers!$A$2:$G$7,4,FALSE()),0))</f>
        <v>18000</v>
      </c>
      <c r="X16" s="3" t="str">
        <f aca="false">IF(H16&lt;&gt;"Approved execution","Controlled",IF(U16="","No offer",IF(U16="MGR-REQ","Manager required",IF(OR(W16=0,V16&lt;=W16),"Within authority","Over limit"))))</f>
        <v>Controlled</v>
      </c>
      <c r="Y16" s="3" t="str">
        <f aca="false">IF(VLOOKUP(A16,Raw_Approval!$A$2:$G$19,5,FALSE())=0,"",VLOOKUP(A16,Raw_Approval!$A$2:$G$19,5,FALSE()))</f>
        <v>Ad-ops blocker not cleared</v>
      </c>
      <c r="Z16" s="9" t="s">
        <v>666</v>
      </c>
    </row>
    <row r="17" customFormat="false" ht="15" hidden="false" customHeight="true" outlineLevel="0" collapsed="false">
      <c r="A17" s="9" t="s">
        <v>150</v>
      </c>
      <c r="B17" s="3" t="str">
        <f aca="false">VLOOKUP(A17,Raw_CRM!$A$2:$L$19,2,FALSE())</f>
        <v>Riverstone Fitness</v>
      </c>
      <c r="C17" s="3" t="str">
        <f aca="false">VLOOKUP(A17,Raw_CRM!$A$2:$L$19,3,FALSE())</f>
        <v>Local Services</v>
      </c>
      <c r="D17" s="3" t="str">
        <f aca="false">VLOOKUP(A17,Raw_CRM!$A$2:$L$19,4,FALSE())</f>
        <v>Emerging</v>
      </c>
      <c r="E17" s="3" t="str">
        <f aca="false">VLOOKUP(A17,Raw_CRM!$A$2:$L$19,5,FALSE())</f>
        <v>Maya Chen</v>
      </c>
      <c r="F17" s="4" t="n">
        <f aca="false">VLOOKUP(A17,Raw_CRM!$A$2:$L$19,6,FALSE())</f>
        <v>46225</v>
      </c>
      <c r="G17" s="3" t="n">
        <f aca="false">VLOOKUP(A17,Raw_CRM!$A$2:$L$19,7,FALSE())</f>
        <v>76</v>
      </c>
      <c r="H17" s="3" t="str">
        <f aca="false">VLOOKUP(A17,Raw_Approval!$A$2:$G$19,2,FALSE())</f>
        <v>Excluded - no action</v>
      </c>
      <c r="I17" s="7" t="n">
        <f aca="false">VLOOKUP(A17,Raw_Orders!$A$2:$H$19,6,FALSE())</f>
        <v>62000</v>
      </c>
      <c r="J17" s="7" t="n">
        <f aca="false">VLOOKUP(A17,Raw_Orders!$A$2:$H$19,4,FALSE())</f>
        <v>58000</v>
      </c>
      <c r="K17" s="7" t="n">
        <f aca="false">VLOOKUP(A17,Raw_Orders!$A$2:$H$19,5,FALSE())</f>
        <v>60000</v>
      </c>
      <c r="L17" s="7" t="n">
        <f aca="false">K17-J17</f>
        <v>2000</v>
      </c>
      <c r="M17" s="3" t="n">
        <f aca="false">VLOOKUP(A17,Case_Summary!$A$2:$F$19,2,FALSE())</f>
        <v>0</v>
      </c>
      <c r="N17" s="3" t="n">
        <f aca="false">VLOOKUP(A17,Case_Summary!$A$2:$F$19,3,FALSE())</f>
        <v>0</v>
      </c>
      <c r="O17" s="3" t="n">
        <f aca="false">VLOOKUP(A17,Case_Summary!$A$2:$F$19,4,FALSE())</f>
        <v>0</v>
      </c>
      <c r="P17" s="3" t="n">
        <f aca="false">VLOOKUP(A17,Activity_Summary!$A$2:$D$19,2,FALSE())</f>
        <v>0</v>
      </c>
      <c r="Q17" s="4" t="n">
        <f aca="false">VLOOKUP(A17,Activity_Summary!$A$2:$D$19,3,FALSE())</f>
        <v>46214</v>
      </c>
      <c r="R17" s="10" t="n">
        <f aca="false">Assumptions!$B$8-Q17</f>
        <v>4</v>
      </c>
      <c r="S17" s="3" t="str">
        <f aca="false">IF(COUNTIFS(Raw_Contacts!$B$2:$B$41,A17,Raw_Contacts!$F$2:$F$41,"Final Renewal Approver",Raw_Contacts!$H$2:$H$41,"Approved")&gt;0,"Ready",IF(COUNTIFS(Raw_Contacts!$B$2:$B$41,A17,Raw_Contacts!$H$2:$H$41,"Operations Only")&gt;0,"Ops route only",IF(COUNTIFS(Raw_Contacts!$B$2:$B$41,A17,Raw_Contacts!$H$2:$H$41,"Do not contact executive")&gt;0,"Manager route only","Pending permission")))</f>
        <v>Ready</v>
      </c>
      <c r="T17" s="3" t="str">
        <f aca="false">IF(VLOOKUP(A17,Case_Summary!$A$2:$F$19,5,FALSE())=0,"",VLOOKUP(A17,Case_Summary!$A$2:$F$19,5,FALSE()))</f>
        <v/>
      </c>
      <c r="U17" s="3" t="str">
        <f aca="false">IF(VLOOKUP(A17,Raw_Approval!$A$2:$G$19,3,FALSE())=0,"",VLOOKUP(A17,Raw_Approval!$A$2:$G$19,3,FALSE()))</f>
        <v/>
      </c>
      <c r="V17" s="7" t="n">
        <f aca="false">VLOOKUP(A17,Raw_CRM!$A$2:$L$19,10,FALSE())</f>
        <v>0</v>
      </c>
      <c r="W17" s="7" t="str">
        <f aca="false">IF(U17="","",IFERROR(VLOOKUP(U17,Raw_Offers!$A$2:$G$7,4,FALSE()),0))</f>
        <v/>
      </c>
      <c r="X17" s="3" t="str">
        <f aca="false">IF(H17&lt;&gt;"Approved execution","Controlled",IF(U17="","No offer",IF(U17="MGR-REQ","Manager required",IF(OR(W17=0,V17&lt;=W17),"Within authority","Over limit"))))</f>
        <v>Controlled</v>
      </c>
      <c r="Y17" s="3" t="str">
        <f aca="false">IF(VLOOKUP(A17,Raw_Approval!$A$2:$G$19,5,FALSE())=0,"",VLOOKUP(A17,Raw_Approval!$A$2:$G$19,5,FALSE()))</f>
        <v>Closed renewal</v>
      </c>
      <c r="Z17" s="9" t="s">
        <v>666</v>
      </c>
    </row>
    <row r="18" customFormat="false" ht="15" hidden="false" customHeight="true" outlineLevel="0" collapsed="false">
      <c r="A18" s="9" t="s">
        <v>156</v>
      </c>
      <c r="B18" s="3" t="str">
        <f aca="false">VLOOKUP(A18,Raw_CRM!$A$2:$L$19,2,FALSE())</f>
        <v>Atlas BioLabs</v>
      </c>
      <c r="C18" s="3" t="str">
        <f aca="false">VLOOKUP(A18,Raw_CRM!$A$2:$L$19,3,FALSE())</f>
        <v>Healthcare</v>
      </c>
      <c r="D18" s="3" t="str">
        <f aca="false">VLOOKUP(A18,Raw_CRM!$A$2:$L$19,4,FALSE())</f>
        <v>Enterprise</v>
      </c>
      <c r="E18" s="3" t="str">
        <f aca="false">VLOOKUP(A18,Raw_CRM!$A$2:$L$19,5,FALSE())</f>
        <v>Jordan Patel</v>
      </c>
      <c r="F18" s="4" t="n">
        <f aca="false">VLOOKUP(A18,Raw_CRM!$A$2:$L$19,6,FALSE())</f>
        <v>46262</v>
      </c>
      <c r="G18" s="3" t="n">
        <f aca="false">VLOOKUP(A18,Raw_CRM!$A$2:$L$19,7,FALSE())</f>
        <v>40</v>
      </c>
      <c r="H18" s="3" t="str">
        <f aca="false">VLOOKUP(A18,Raw_Approval!$A$2:$G$19,2,FALSE())</f>
        <v>Controlled exception</v>
      </c>
      <c r="I18" s="7" t="n">
        <f aca="false">VLOOKUP(A18,Raw_Orders!$A$2:$H$19,6,FALSE())</f>
        <v>520000</v>
      </c>
      <c r="J18" s="7" t="n">
        <f aca="false">VLOOKUP(A18,Raw_Orders!$A$2:$H$19,4,FALSE())</f>
        <v>500000</v>
      </c>
      <c r="K18" s="7" t="n">
        <f aca="false">VLOOKUP(A18,Raw_Orders!$A$2:$H$19,5,FALSE())</f>
        <v>390000</v>
      </c>
      <c r="L18" s="7" t="n">
        <f aca="false">K18-J18</f>
        <v>-110000</v>
      </c>
      <c r="M18" s="3" t="n">
        <f aca="false">VLOOKUP(A18,Case_Summary!$A$2:$F$19,2,FALSE())</f>
        <v>2</v>
      </c>
      <c r="N18" s="3" t="n">
        <f aca="false">VLOOKUP(A18,Case_Summary!$A$2:$F$19,3,FALSE())</f>
        <v>5</v>
      </c>
      <c r="O18" s="3" t="n">
        <f aca="false">VLOOKUP(A18,Case_Summary!$A$2:$F$19,4,FALSE())</f>
        <v>29.5</v>
      </c>
      <c r="P18" s="3" t="n">
        <f aca="false">VLOOKUP(A18,Activity_Summary!$A$2:$D$19,2,FALSE())</f>
        <v>0</v>
      </c>
      <c r="Q18" s="4" t="n">
        <f aca="false">VLOOKUP(A18,Activity_Summary!$A$2:$D$19,3,FALSE())</f>
        <v>46217</v>
      </c>
      <c r="R18" s="10" t="n">
        <f aca="false">Assumptions!$B$8-Q18</f>
        <v>1</v>
      </c>
      <c r="S18" s="3" t="str">
        <f aca="false">IF(COUNTIFS(Raw_Contacts!$B$2:$B$41,A18,Raw_Contacts!$F$2:$F$41,"Final Renewal Approver",Raw_Contacts!$H$2:$H$41,"Approved")&gt;0,"Ready",IF(COUNTIFS(Raw_Contacts!$B$2:$B$41,A18,Raw_Contacts!$H$2:$H$41,"Operations Only")&gt;0,"Ops route only",IF(COUNTIFS(Raw_Contacts!$B$2:$B$41,A18,Raw_Contacts!$H$2:$H$41,"Do not contact executive")&gt;0,"Manager route only","Pending permission")))</f>
        <v>Manager route only</v>
      </c>
      <c r="T18" s="3" t="str">
        <f aca="false">IF(VLOOKUP(A18,Case_Summary!$A$2:$F$19,5,FALSE())=0,"",VLOOKUP(A18,Case_Summary!$A$2:$F$19,5,FALSE()))</f>
        <v>Data-Use Terms</v>
      </c>
      <c r="U18" s="3" t="str">
        <f aca="false">IF(VLOOKUP(A18,Raw_Approval!$A$2:$G$19,3,FALSE())=0,"",VLOOKUP(A18,Raw_Approval!$A$2:$G$19,3,FALSE()))</f>
        <v>MGR-REQ</v>
      </c>
      <c r="V18" s="7" t="n">
        <f aca="false">VLOOKUP(A18,Raw_CRM!$A$2:$L$19,10,FALSE())</f>
        <v>0</v>
      </c>
      <c r="W18" s="7" t="n">
        <f aca="false">IF(U18="","",IFERROR(VLOOKUP(U18,Raw_Offers!$A$2:$G$7,4,FALSE()),0))</f>
        <v>0</v>
      </c>
      <c r="X18" s="3" t="str">
        <f aca="false">IF(H18&lt;&gt;"Approved execution","Controlled",IF(U18="","No offer",IF(U18="MGR-REQ","Manager required",IF(OR(W18=0,V18&lt;=W18),"Within authority","Over limit"))))</f>
        <v>Controlled</v>
      </c>
      <c r="Y18" s="3" t="str">
        <f aca="false">IF(VLOOKUP(A18,Raw_Approval!$A$2:$G$19,5,FALSE())=0,"",VLOOKUP(A18,Raw_Approval!$A$2:$G$19,5,FALSE()))</f>
        <v>Contract terms outside local authority</v>
      </c>
      <c r="Z18" s="9" t="s">
        <v>666</v>
      </c>
    </row>
    <row r="19" customFormat="false" ht="15" hidden="false" customHeight="true" outlineLevel="0" collapsed="false">
      <c r="A19" s="9" t="s">
        <v>160</v>
      </c>
      <c r="B19" s="3" t="str">
        <f aca="false">VLOOKUP(A19,Raw_CRM!$A$2:$L$19,2,FALSE())</f>
        <v>Pinyon Outdoor Media Buyers</v>
      </c>
      <c r="C19" s="3" t="str">
        <f aca="false">VLOOKUP(A19,Raw_CRM!$A$2:$L$19,3,FALSE())</f>
        <v>Agency</v>
      </c>
      <c r="D19" s="3" t="str">
        <f aca="false">VLOOKUP(A19,Raw_CRM!$A$2:$L$19,4,FALSE())</f>
        <v>Core</v>
      </c>
      <c r="E19" s="3" t="str">
        <f aca="false">VLOOKUP(A19,Raw_CRM!$A$2:$L$19,5,FALSE())</f>
        <v>Priya Nair</v>
      </c>
      <c r="F19" s="4" t="n">
        <f aca="false">VLOOKUP(A19,Raw_CRM!$A$2:$L$19,6,FALSE())</f>
        <v>46283</v>
      </c>
      <c r="G19" s="3" t="n">
        <f aca="false">VLOOKUP(A19,Raw_CRM!$A$2:$L$19,7,FALSE())</f>
        <v>66</v>
      </c>
      <c r="H19" s="3" t="str">
        <f aca="false">VLOOKUP(A19,Raw_Approval!$A$2:$G$19,2,FALSE())</f>
        <v>Excluded - no action</v>
      </c>
      <c r="I19" s="7" t="n">
        <f aca="false">VLOOKUP(A19,Raw_Orders!$A$2:$H$19,6,FALSE())</f>
        <v>135000</v>
      </c>
      <c r="J19" s="7" t="n">
        <f aca="false">VLOOKUP(A19,Raw_Orders!$A$2:$H$19,4,FALSE())</f>
        <v>124000</v>
      </c>
      <c r="K19" s="7" t="n">
        <f aca="false">VLOOKUP(A19,Raw_Orders!$A$2:$H$19,5,FALSE())</f>
        <v>118000</v>
      </c>
      <c r="L19" s="7" t="n">
        <f aca="false">K19-J19</f>
        <v>-6000</v>
      </c>
      <c r="M19" s="3" t="n">
        <f aca="false">VLOOKUP(A19,Case_Summary!$A$2:$F$19,2,FALSE())</f>
        <v>1</v>
      </c>
      <c r="N19" s="3" t="n">
        <f aca="false">VLOOKUP(A19,Case_Summary!$A$2:$F$19,3,FALSE())</f>
        <v>2</v>
      </c>
      <c r="O19" s="3" t="n">
        <f aca="false">VLOOKUP(A19,Case_Summary!$A$2:$F$19,4,FALSE())</f>
        <v>6</v>
      </c>
      <c r="P19" s="3" t="n">
        <f aca="false">VLOOKUP(A19,Activity_Summary!$A$2:$D$19,2,FALSE())</f>
        <v>0</v>
      </c>
      <c r="Q19" s="4" t="n">
        <f aca="false">VLOOKUP(A19,Activity_Summary!$A$2:$D$19,3,FALSE())</f>
        <v>46217</v>
      </c>
      <c r="R19" s="10" t="n">
        <f aca="false">Assumptions!$B$8-Q19</f>
        <v>1</v>
      </c>
      <c r="S19" s="3" t="str">
        <f aca="false">IF(COUNTIFS(Raw_Contacts!$B$2:$B$41,A19,Raw_Contacts!$F$2:$F$41,"Final Renewal Approver",Raw_Contacts!$H$2:$H$41,"Approved")&gt;0,"Ready",IF(COUNTIFS(Raw_Contacts!$B$2:$B$41,A19,Raw_Contacts!$H$2:$H$41,"Operations Only")&gt;0,"Ops route only",IF(COUNTIFS(Raw_Contacts!$B$2:$B$41,A19,Raw_Contacts!$H$2:$H$41,"Do not contact executive")&gt;0,"Manager route only","Pending permission")))</f>
        <v>Pending permission</v>
      </c>
      <c r="T19" s="3" t="str">
        <f aca="false">IF(VLOOKUP(A19,Case_Summary!$A$2:$F$19,5,FALSE())=0,"",VLOOKUP(A19,Case_Summary!$A$2:$F$19,5,FALSE()))</f>
        <v>Agency Consolidation</v>
      </c>
      <c r="U19" s="3" t="str">
        <f aca="false">IF(VLOOKUP(A19,Raw_Approval!$A$2:$G$19,3,FALSE())=0,"",VLOOKUP(A19,Raw_Approval!$A$2:$G$19,3,FALSE()))</f>
        <v/>
      </c>
      <c r="V19" s="7" t="n">
        <f aca="false">VLOOKUP(A19,Raw_CRM!$A$2:$L$19,10,FALSE())</f>
        <v>0</v>
      </c>
      <c r="W19" s="7" t="str">
        <f aca="false">IF(U19="","",IFERROR(VLOOKUP(U19,Raw_Offers!$A$2:$G$7,4,FALSE()),0))</f>
        <v/>
      </c>
      <c r="X19" s="3" t="str">
        <f aca="false">IF(H19&lt;&gt;"Approved execution","Controlled",IF(U19="","No offer",IF(U19="MGR-REQ","Manager required",IF(OR(W19=0,V19&lt;=W19),"Within authority","Over limit"))))</f>
        <v>Controlled</v>
      </c>
      <c r="Y19" s="3" t="str">
        <f aca="false">IF(VLOOKUP(A19,Raw_Approval!$A$2:$G$19,5,FALSE())=0,"",VLOOKUP(A19,Raw_Approval!$A$2:$G$19,5,FALSE()))</f>
        <v>Customer requested September review</v>
      </c>
      <c r="Z19" s="9" t="s">
        <v>666</v>
      </c>
    </row>
  </sheetData>
  <sheetProtection sheet="true" sort="false" autoFilter="false" selectUnlockedCells="true"/>
  <conditionalFormatting sqref="A2:Z19">
    <cfRule type="expression" priority="2" aboveAverage="0" equalAverage="0" bottom="0" percent="0" rank="0" text="" dxfId="3">
      <formula>$P2&gt;0</formula>
    </cfRule>
    <cfRule type="expression" priority="3" aboveAverage="0" equalAverage="0" bottom="0" percent="0" rank="0" text="" dxfId="4">
      <formula>OR($X2="Over limit",$X2="Manager required")</formula>
    </cfRule>
    <cfRule type="expression" priority="4" aboveAverage="0" equalAverage="0" bottom="0" percent="0" rank="0" text="" dxfId="5">
      <formula>$H2&lt;&gt;"Approved execution"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10" min="2" style="1" width="42"/>
    <col collapsed="false" customWidth="true" hidden="false" outlineLevel="0" max="11" min="11" style="1" width="30"/>
    <col collapsed="false" customWidth="true" hidden="false" outlineLevel="0" max="12" min="12" style="1" width="42"/>
    <col collapsed="false" customWidth="true" hidden="false" outlineLevel="0" max="13" min="13" style="1" width="26"/>
    <col collapsed="false" customWidth="true" hidden="false" outlineLevel="0" max="14" min="14" style="1" width="42"/>
  </cols>
  <sheetData>
    <row r="1" customFormat="false" ht="15" hidden="false" customHeight="true" outlineLevel="0" collapsed="false">
      <c r="A1" s="2" t="s">
        <v>74</v>
      </c>
      <c r="B1" s="2" t="s">
        <v>75</v>
      </c>
      <c r="C1" s="2" t="s">
        <v>646</v>
      </c>
      <c r="D1" s="2" t="s">
        <v>667</v>
      </c>
      <c r="E1" s="2" t="s">
        <v>668</v>
      </c>
      <c r="F1" s="2" t="s">
        <v>669</v>
      </c>
      <c r="G1" s="2" t="s">
        <v>670</v>
      </c>
      <c r="H1" s="2" t="s">
        <v>671</v>
      </c>
      <c r="I1" s="2" t="s">
        <v>672</v>
      </c>
      <c r="J1" s="2" t="s">
        <v>673</v>
      </c>
      <c r="K1" s="2" t="s">
        <v>674</v>
      </c>
      <c r="L1" s="2" t="s">
        <v>675</v>
      </c>
      <c r="M1" s="2" t="s">
        <v>676</v>
      </c>
      <c r="N1" s="2" t="s">
        <v>677</v>
      </c>
    </row>
    <row r="2" customFormat="false" ht="15" hidden="false" customHeight="true" outlineLevel="0" collapsed="false">
      <c r="A2" s="9" t="s">
        <v>86</v>
      </c>
      <c r="B2" s="3" t="str">
        <f aca="false">VLOOKUP(A2,Normalized_Accounts!$A$2:$Z$19,2,FALSE())</f>
        <v>Meridian Health Partners</v>
      </c>
      <c r="C2" s="3" t="str">
        <f aca="false">VLOOKUP(A2,Normalized_Accounts!$A$2:$Z$19,8,FALSE())</f>
        <v>Approved execution</v>
      </c>
      <c r="D2" s="11" t="n">
        <f aca="false">MIN(100,VLOOKUP(A2,Normalized_Accounts!$A$2:$Z$19,9,FALSE())/Assumptions!$B$7*100)</f>
        <v>85</v>
      </c>
      <c r="E2" s="11" t="n">
        <f aca="false">MIN(100,VLOOKUP(A2,Normalized_Accounts!$A$2:$Z$19,13,FALSE())*12+VLOOKUP(A2,Normalized_Accounts!$A$2:$Z$19,14,FALSE())*10+VLOOKUP(A2,Normalized_Accounts!$A$2:$Z$19,15,FALSE())*0.9)</f>
        <v>81.1</v>
      </c>
      <c r="F2" s="11" t="n">
        <f aca="false">100-VLOOKUP(A2,Normalized_Accounts!$A$2:$Z$19,7,FALSE())</f>
        <v>52</v>
      </c>
      <c r="G2" s="11" t="n">
        <f aca="false">IF(VLOOKUP(A2,Normalized_Accounts!$A$2:$Z$19,6,FALSE())-Assumptions!$B$8&lt;=14,100,IF(VLOOKUP(A2,Normalized_Accounts!$A$2:$Z$19,6,FALSE())-Assumptions!$B$8&lt;=30,75,IF(VLOOKUP(A2,Normalized_Accounts!$A$2:$Z$19,6,FALSE())-Assumptions!$B$8&lt;=45,50,25)))</f>
        <v>100</v>
      </c>
      <c r="H2" s="11" t="n">
        <f aca="false">MIN(100,VLOOKUP(A2,Normalized_Accounts!$A$2:$Z$19,16,FALSE())*30+VLOOKUP(A2,Normalized_Accounts!$A$2:$Z$19,18,FALSE())*2)</f>
        <v>32</v>
      </c>
      <c r="I2" s="11" t="n">
        <f aca="false">MIN(100,ABS(VLOOKUP(A2,Normalized_Accounts!$A$2:$Z$19,12,FALSE()))/100000*100)</f>
        <v>38</v>
      </c>
      <c r="J2" s="11" t="n">
        <f aca="false">IF(VLOOKUP(A2,Normalized_Accounts!$A$2:$Z$19,19,FALSE())="Ready",100,IF(VLOOKUP(A2,Normalized_Accounts!$A$2:$Z$19,19,FALSE())="Ops route only",60,IF(VLOOKUP(A2,Normalized_Accounts!$A$2:$Z$19,19,FALSE())="Manager route only",20,0)))</f>
        <v>100</v>
      </c>
      <c r="K2" s="11" t="n">
        <f aca="false">F2*0.35+E2*0.4+H2*0.25</f>
        <v>58.64</v>
      </c>
      <c r="L2" s="11" t="n">
        <f aca="false">D2*Assumptions!$B$2+K2*Assumptions!$B$3+G2*Assumptions!$B$4+J2*Assumptions!$B$5+I2*Assumptions!$B$6</f>
        <v>77.924</v>
      </c>
      <c r="M2" s="3" t="n">
        <f aca="false">RANK(L2,$L$2:$L$19,0)</f>
        <v>2</v>
      </c>
      <c r="N2" s="3" t="str">
        <f aca="false">IF(C2&lt;&gt;"Approved execution","Controlled exception/hold",IF(L2&gt;=75,"Tier 1",IF(L2&gt;=60,"Tier 2","Tier 3")))</f>
        <v>Tier 1</v>
      </c>
    </row>
    <row r="3" customFormat="false" ht="15" hidden="false" customHeight="true" outlineLevel="0" collapsed="false">
      <c r="A3" s="9" t="s">
        <v>93</v>
      </c>
      <c r="B3" s="3" t="str">
        <f aca="false">VLOOKUP(A3,Normalized_Accounts!$A$2:$Z$19,2,FALSE())</f>
        <v>Larkspur Credit Union</v>
      </c>
      <c r="C3" s="3" t="str">
        <f aca="false">VLOOKUP(A3,Normalized_Accounts!$A$2:$Z$19,8,FALSE())</f>
        <v>Approved execution</v>
      </c>
      <c r="D3" s="11" t="n">
        <f aca="false">MIN(100,VLOOKUP(A3,Normalized_Accounts!$A$2:$Z$19,9,FALSE())/Assumptions!$B$7*100)</f>
        <v>55</v>
      </c>
      <c r="E3" s="11" t="n">
        <f aca="false">MIN(100,VLOOKUP(A3,Normalized_Accounts!$A$2:$Z$19,13,FALSE())*12+VLOOKUP(A3,Normalized_Accounts!$A$2:$Z$19,14,FALSE())*10+VLOOKUP(A3,Normalized_Accounts!$A$2:$Z$19,15,FALSE())*0.9)</f>
        <v>67.3</v>
      </c>
      <c r="F3" s="11" t="n">
        <f aca="false">100-VLOOKUP(A3,Normalized_Accounts!$A$2:$Z$19,7,FALSE())</f>
        <v>48</v>
      </c>
      <c r="G3" s="11" t="n">
        <f aca="false">IF(VLOOKUP(A3,Normalized_Accounts!$A$2:$Z$19,6,FALSE())-Assumptions!$B$8&lt;=14,100,IF(VLOOKUP(A3,Normalized_Accounts!$A$2:$Z$19,6,FALSE())-Assumptions!$B$8&lt;=30,75,IF(VLOOKUP(A3,Normalized_Accounts!$A$2:$Z$19,6,FALSE())-Assumptions!$B$8&lt;=45,50,25)))</f>
        <v>75</v>
      </c>
      <c r="H3" s="11" t="n">
        <f aca="false">MIN(100,VLOOKUP(A3,Normalized_Accounts!$A$2:$Z$19,16,FALSE())*30+VLOOKUP(A3,Normalized_Accounts!$A$2:$Z$19,18,FALSE())*2)</f>
        <v>10</v>
      </c>
      <c r="I3" s="11" t="n">
        <f aca="false">MIN(100,ABS(VLOOKUP(A3,Normalized_Accounts!$A$2:$Z$19,12,FALSE()))/100000*100)</f>
        <v>21</v>
      </c>
      <c r="J3" s="11" t="n">
        <f aca="false">IF(VLOOKUP(A3,Normalized_Accounts!$A$2:$Z$19,19,FALSE())="Ready",100,IF(VLOOKUP(A3,Normalized_Accounts!$A$2:$Z$19,19,FALSE())="Ops route only",60,IF(VLOOKUP(A3,Normalized_Accounts!$A$2:$Z$19,19,FALSE())="Manager route only",20,0)))</f>
        <v>100</v>
      </c>
      <c r="K3" s="11" t="n">
        <f aca="false">F3*0.35+E3*0.4+H3*0.25</f>
        <v>46.22</v>
      </c>
      <c r="L3" s="11" t="n">
        <f aca="false">D3*Assumptions!$B$2+K3*Assumptions!$B$3+G3*Assumptions!$B$4+J3*Assumptions!$B$5+I3*Assumptions!$B$6</f>
        <v>58.727</v>
      </c>
      <c r="M3" s="3" t="n">
        <f aca="false">RANK(L3,$L$2:$L$19,0)</f>
        <v>10</v>
      </c>
      <c r="N3" s="3" t="str">
        <f aca="false">IF(C3&lt;&gt;"Approved execution","Controlled exception/hold",IF(L3&gt;=75,"Tier 1",IF(L3&gt;=60,"Tier 2","Tier 3")))</f>
        <v>Tier 3</v>
      </c>
    </row>
    <row r="4" customFormat="false" ht="15" hidden="false" customHeight="true" outlineLevel="0" collapsed="false">
      <c r="A4" s="9" t="s">
        <v>100</v>
      </c>
      <c r="B4" s="3" t="str">
        <f aca="false">VLOOKUP(A4,Normalized_Accounts!$A$2:$Z$19,2,FALSE())</f>
        <v>Cobalt Cloud Systems</v>
      </c>
      <c r="C4" s="3" t="str">
        <f aca="false">VLOOKUP(A4,Normalized_Accounts!$A$2:$Z$19,8,FALSE())</f>
        <v>Approved execution</v>
      </c>
      <c r="D4" s="11" t="n">
        <f aca="false">MIN(100,VLOOKUP(A4,Normalized_Accounts!$A$2:$Z$19,9,FALSE())/Assumptions!$B$7*100)</f>
        <v>73.75</v>
      </c>
      <c r="E4" s="11" t="n">
        <f aca="false">MIN(100,VLOOKUP(A4,Normalized_Accounts!$A$2:$Z$19,13,FALSE())*12+VLOOKUP(A4,Normalized_Accounts!$A$2:$Z$19,14,FALSE())*10+VLOOKUP(A4,Normalized_Accounts!$A$2:$Z$19,15,FALSE())*0.9)</f>
        <v>79.3</v>
      </c>
      <c r="F4" s="11" t="n">
        <f aca="false">100-VLOOKUP(A4,Normalized_Accounts!$A$2:$Z$19,7,FALSE())</f>
        <v>44</v>
      </c>
      <c r="G4" s="11" t="n">
        <f aca="false">IF(VLOOKUP(A4,Normalized_Accounts!$A$2:$Z$19,6,FALSE())-Assumptions!$B$8&lt;=14,100,IF(VLOOKUP(A4,Normalized_Accounts!$A$2:$Z$19,6,FALSE())-Assumptions!$B$8&lt;=30,75,IF(VLOOKUP(A4,Normalized_Accounts!$A$2:$Z$19,6,FALSE())-Assumptions!$B$8&lt;=45,50,25)))</f>
        <v>75</v>
      </c>
      <c r="H4" s="11" t="n">
        <f aca="false">MIN(100,VLOOKUP(A4,Normalized_Accounts!$A$2:$Z$19,16,FALSE())*30+VLOOKUP(A4,Normalized_Accounts!$A$2:$Z$19,18,FALSE())*2)</f>
        <v>8</v>
      </c>
      <c r="I4" s="11" t="n">
        <f aca="false">MIN(100,ABS(VLOOKUP(A4,Normalized_Accounts!$A$2:$Z$19,12,FALSE()))/100000*100)</f>
        <v>35</v>
      </c>
      <c r="J4" s="11" t="n">
        <f aca="false">IF(VLOOKUP(A4,Normalized_Accounts!$A$2:$Z$19,19,FALSE())="Ready",100,IF(VLOOKUP(A4,Normalized_Accounts!$A$2:$Z$19,19,FALSE())="Ops route only",60,IF(VLOOKUP(A4,Normalized_Accounts!$A$2:$Z$19,19,FALSE())="Manager route only",20,0)))</f>
        <v>100</v>
      </c>
      <c r="K4" s="11" t="n">
        <f aca="false">F4*0.35+E4*0.4+H4*0.25</f>
        <v>49.12</v>
      </c>
      <c r="L4" s="11" t="n">
        <f aca="false">D4*Assumptions!$B$2+K4*Assumptions!$B$3+G4*Assumptions!$B$4+J4*Assumptions!$B$5+I4*Assumptions!$B$6</f>
        <v>66.067</v>
      </c>
      <c r="M4" s="3" t="n">
        <f aca="false">RANK(L4,$L$2:$L$19,0)</f>
        <v>7</v>
      </c>
      <c r="N4" s="3" t="str">
        <f aca="false">IF(C4&lt;&gt;"Approved execution","Controlled exception/hold",IF(L4&gt;=75,"Tier 1",IF(L4&gt;=60,"Tier 2","Tier 3")))</f>
        <v>Tier 2</v>
      </c>
    </row>
    <row r="5" customFormat="false" ht="15" hidden="false" customHeight="true" outlineLevel="0" collapsed="false">
      <c r="A5" s="9" t="s">
        <v>105</v>
      </c>
      <c r="B5" s="3" t="str">
        <f aca="false">VLOOKUP(A5,Normalized_Accounts!$A$2:$Z$19,2,FALSE())</f>
        <v>Harborview Furnishings</v>
      </c>
      <c r="C5" s="3" t="str">
        <f aca="false">VLOOKUP(A5,Normalized_Accounts!$A$2:$Z$19,8,FALSE())</f>
        <v>Approved execution</v>
      </c>
      <c r="D5" s="11" t="n">
        <f aca="false">MIN(100,VLOOKUP(A5,Normalized_Accounts!$A$2:$Z$19,9,FALSE())/Assumptions!$B$7*100)</f>
        <v>37.5</v>
      </c>
      <c r="E5" s="11" t="n">
        <f aca="false">MIN(100,VLOOKUP(A5,Normalized_Accounts!$A$2:$Z$19,13,FALSE())*12+VLOOKUP(A5,Normalized_Accounts!$A$2:$Z$19,14,FALSE())*10+VLOOKUP(A5,Normalized_Accounts!$A$2:$Z$19,15,FALSE())*0.9)</f>
        <v>54.6</v>
      </c>
      <c r="F5" s="11" t="n">
        <f aca="false">100-VLOOKUP(A5,Normalized_Accounts!$A$2:$Z$19,7,FALSE())</f>
        <v>39</v>
      </c>
      <c r="G5" s="11" t="n">
        <f aca="false">IF(VLOOKUP(A5,Normalized_Accounts!$A$2:$Z$19,6,FALSE())-Assumptions!$B$8&lt;=14,100,IF(VLOOKUP(A5,Normalized_Accounts!$A$2:$Z$19,6,FALSE())-Assumptions!$B$8&lt;=30,75,IF(VLOOKUP(A5,Normalized_Accounts!$A$2:$Z$19,6,FALSE())-Assumptions!$B$8&lt;=45,50,25)))</f>
        <v>100</v>
      </c>
      <c r="H5" s="11" t="n">
        <f aca="false">MIN(100,VLOOKUP(A5,Normalized_Accounts!$A$2:$Z$19,16,FALSE())*30+VLOOKUP(A5,Normalized_Accounts!$A$2:$Z$19,18,FALSE())*2)</f>
        <v>42</v>
      </c>
      <c r="I5" s="11" t="n">
        <f aca="false">MIN(100,ABS(VLOOKUP(A5,Normalized_Accounts!$A$2:$Z$19,12,FALSE()))/100000*100)</f>
        <v>13</v>
      </c>
      <c r="J5" s="11" t="n">
        <f aca="false">IF(VLOOKUP(A5,Normalized_Accounts!$A$2:$Z$19,19,FALSE())="Ready",100,IF(VLOOKUP(A5,Normalized_Accounts!$A$2:$Z$19,19,FALSE())="Ops route only",60,IF(VLOOKUP(A5,Normalized_Accounts!$A$2:$Z$19,19,FALSE())="Manager route only",20,0)))</f>
        <v>100</v>
      </c>
      <c r="K5" s="11" t="n">
        <f aca="false">F5*0.35+E5*0.4+H5*0.25</f>
        <v>45.99</v>
      </c>
      <c r="L5" s="11" t="n">
        <f aca="false">D5*Assumptions!$B$2+K5*Assumptions!$B$3+G5*Assumptions!$B$4+J5*Assumptions!$B$5+I5*Assumptions!$B$6</f>
        <v>57.9965</v>
      </c>
      <c r="M5" s="3" t="n">
        <f aca="false">RANK(L5,$L$2:$L$19,0)</f>
        <v>11</v>
      </c>
      <c r="N5" s="3" t="str">
        <f aca="false">IF(C5&lt;&gt;"Approved execution","Controlled exception/hold",IF(L5&gt;=75,"Tier 1",IF(L5&gt;=60,"Tier 2","Tier 3")))</f>
        <v>Tier 3</v>
      </c>
    </row>
    <row r="6" customFormat="false" ht="15" hidden="false" customHeight="true" outlineLevel="0" collapsed="false">
      <c r="A6" s="9" t="s">
        <v>110</v>
      </c>
      <c r="B6" s="3" t="str">
        <f aca="false">VLOOKUP(A6,Normalized_Accounts!$A$2:$Z$19,2,FALSE())</f>
        <v>Axion Robotics</v>
      </c>
      <c r="C6" s="3" t="str">
        <f aca="false">VLOOKUP(A6,Normalized_Accounts!$A$2:$Z$19,8,FALSE())</f>
        <v>Approved execution</v>
      </c>
      <c r="D6" s="11" t="n">
        <f aca="false">MIN(100,VLOOKUP(A6,Normalized_Accounts!$A$2:$Z$19,9,FALSE())/Assumptions!$B$7*100)</f>
        <v>100</v>
      </c>
      <c r="E6" s="11" t="n">
        <f aca="false">MIN(100,VLOOKUP(A6,Normalized_Accounts!$A$2:$Z$19,13,FALSE())*12+VLOOKUP(A6,Normalized_Accounts!$A$2:$Z$19,14,FALSE())*10+VLOOKUP(A6,Normalized_Accounts!$A$2:$Z$19,15,FALSE())*0.9)</f>
        <v>94.7</v>
      </c>
      <c r="F6" s="11" t="n">
        <f aca="false">100-VLOOKUP(A6,Normalized_Accounts!$A$2:$Z$19,7,FALSE())</f>
        <v>56</v>
      </c>
      <c r="G6" s="11" t="n">
        <f aca="false">IF(VLOOKUP(A6,Normalized_Accounts!$A$2:$Z$19,6,FALSE())-Assumptions!$B$8&lt;=14,100,IF(VLOOKUP(A6,Normalized_Accounts!$A$2:$Z$19,6,FALSE())-Assumptions!$B$8&lt;=30,75,IF(VLOOKUP(A6,Normalized_Accounts!$A$2:$Z$19,6,FALSE())-Assumptions!$B$8&lt;=45,50,25)))</f>
        <v>75</v>
      </c>
      <c r="H6" s="11" t="n">
        <f aca="false">MIN(100,VLOOKUP(A6,Normalized_Accounts!$A$2:$Z$19,16,FALSE())*30+VLOOKUP(A6,Normalized_Accounts!$A$2:$Z$19,18,FALSE())*2)</f>
        <v>34</v>
      </c>
      <c r="I6" s="11" t="n">
        <f aca="false">MIN(100,ABS(VLOOKUP(A6,Normalized_Accounts!$A$2:$Z$19,12,FALSE()))/100000*100)</f>
        <v>72</v>
      </c>
      <c r="J6" s="11" t="n">
        <f aca="false">IF(VLOOKUP(A6,Normalized_Accounts!$A$2:$Z$19,19,FALSE())="Ready",100,IF(VLOOKUP(A6,Normalized_Accounts!$A$2:$Z$19,19,FALSE())="Ops route only",60,IF(VLOOKUP(A6,Normalized_Accounts!$A$2:$Z$19,19,FALSE())="Manager route only",20,0)))</f>
        <v>100</v>
      </c>
      <c r="K6" s="11" t="n">
        <f aca="false">F6*0.35+E6*0.4+H6*0.25</f>
        <v>65.98</v>
      </c>
      <c r="L6" s="11" t="n">
        <f aca="false">D6*Assumptions!$B$2+K6*Assumptions!$B$3+G6*Assumptions!$B$4+J6*Assumptions!$B$5+I6*Assumptions!$B$6</f>
        <v>81.693</v>
      </c>
      <c r="M6" s="3" t="n">
        <f aca="false">RANK(L6,$L$2:$L$19,0)</f>
        <v>1</v>
      </c>
      <c r="N6" s="3" t="str">
        <f aca="false">IF(C6&lt;&gt;"Approved execution","Controlled exception/hold",IF(L6&gt;=75,"Tier 1",IF(L6&gt;=60,"Tier 2","Tier 3")))</f>
        <v>Tier 1</v>
      </c>
    </row>
    <row r="7" customFormat="false" ht="15" hidden="false" customHeight="true" outlineLevel="0" collapsed="false">
      <c r="A7" s="9" t="s">
        <v>115</v>
      </c>
      <c r="B7" s="3" t="str">
        <f aca="false">VLOOKUP(A7,Normalized_Accounts!$A$2:$Z$19,2,FALSE())</f>
        <v>Greenway Kitchens</v>
      </c>
      <c r="C7" s="3" t="str">
        <f aca="false">VLOOKUP(A7,Normalized_Accounts!$A$2:$Z$19,8,FALSE())</f>
        <v>Approved execution</v>
      </c>
      <c r="D7" s="11" t="n">
        <f aca="false">MIN(100,VLOOKUP(A7,Normalized_Accounts!$A$2:$Z$19,9,FALSE())/Assumptions!$B$7*100)</f>
        <v>20.5</v>
      </c>
      <c r="E7" s="11" t="n">
        <f aca="false">MIN(100,VLOOKUP(A7,Normalized_Accounts!$A$2:$Z$19,13,FALSE())*12+VLOOKUP(A7,Normalized_Accounts!$A$2:$Z$19,14,FALSE())*10+VLOOKUP(A7,Normalized_Accounts!$A$2:$Z$19,15,FALSE())*0.9)</f>
        <v>51</v>
      </c>
      <c r="F7" s="11" t="n">
        <f aca="false">100-VLOOKUP(A7,Normalized_Accounts!$A$2:$Z$19,7,FALSE())</f>
        <v>32</v>
      </c>
      <c r="G7" s="11" t="n">
        <f aca="false">IF(VLOOKUP(A7,Normalized_Accounts!$A$2:$Z$19,6,FALSE())-Assumptions!$B$8&lt;=14,100,IF(VLOOKUP(A7,Normalized_Accounts!$A$2:$Z$19,6,FALSE())-Assumptions!$B$8&lt;=30,75,IF(VLOOKUP(A7,Normalized_Accounts!$A$2:$Z$19,6,FALSE())-Assumptions!$B$8&lt;=45,50,25)))</f>
        <v>100</v>
      </c>
      <c r="H7" s="11" t="n">
        <f aca="false">MIN(100,VLOOKUP(A7,Normalized_Accounts!$A$2:$Z$19,16,FALSE())*30+VLOOKUP(A7,Normalized_Accounts!$A$2:$Z$19,18,FALSE())*2)</f>
        <v>4</v>
      </c>
      <c r="I7" s="11" t="n">
        <f aca="false">MIN(100,ABS(VLOOKUP(A7,Normalized_Accounts!$A$2:$Z$19,12,FALSE()))/100000*100)</f>
        <v>5</v>
      </c>
      <c r="J7" s="11" t="n">
        <f aca="false">IF(VLOOKUP(A7,Normalized_Accounts!$A$2:$Z$19,19,FALSE())="Ready",100,IF(VLOOKUP(A7,Normalized_Accounts!$A$2:$Z$19,19,FALSE())="Ops route only",60,IF(VLOOKUP(A7,Normalized_Accounts!$A$2:$Z$19,19,FALSE())="Manager route only",20,0)))</f>
        <v>100</v>
      </c>
      <c r="K7" s="11" t="n">
        <f aca="false">F7*0.35+E7*0.4+H7*0.25</f>
        <v>32.6</v>
      </c>
      <c r="L7" s="11" t="n">
        <f aca="false">D7*Assumptions!$B$2+K7*Assumptions!$B$3+G7*Assumptions!$B$4+J7*Assumptions!$B$5+I7*Assumptions!$B$6</f>
        <v>47.81</v>
      </c>
      <c r="M7" s="3" t="n">
        <f aca="false">RANK(L7,$L$2:$L$19,0)</f>
        <v>13</v>
      </c>
      <c r="N7" s="3" t="str">
        <f aca="false">IF(C7&lt;&gt;"Approved execution","Controlled exception/hold",IF(L7&gt;=75,"Tier 1",IF(L7&gt;=60,"Tier 2","Tier 3")))</f>
        <v>Tier 3</v>
      </c>
    </row>
    <row r="8" customFormat="false" ht="15" hidden="false" customHeight="true" outlineLevel="0" collapsed="false">
      <c r="A8" s="9" t="s">
        <v>120</v>
      </c>
      <c r="B8" s="3" t="str">
        <f aca="false">VLOOKUP(A8,Normalized_Accounts!$A$2:$Z$19,2,FALSE())</f>
        <v>Northline Insurance</v>
      </c>
      <c r="C8" s="3" t="str">
        <f aca="false">VLOOKUP(A8,Normalized_Accounts!$A$2:$Z$19,8,FALSE())</f>
        <v>Approved execution</v>
      </c>
      <c r="D8" s="11" t="n">
        <f aca="false">MIN(100,VLOOKUP(A8,Normalized_Accounts!$A$2:$Z$19,9,FALSE())/Assumptions!$B$7*100)</f>
        <v>65</v>
      </c>
      <c r="E8" s="11" t="n">
        <f aca="false">MIN(100,VLOOKUP(A8,Normalized_Accounts!$A$2:$Z$19,13,FALSE())*12+VLOOKUP(A8,Normalized_Accounts!$A$2:$Z$19,14,FALSE())*10+VLOOKUP(A8,Normalized_Accounts!$A$2:$Z$19,15,FALSE())*0.9)</f>
        <v>72.7</v>
      </c>
      <c r="F8" s="11" t="n">
        <f aca="false">100-VLOOKUP(A8,Normalized_Accounts!$A$2:$Z$19,7,FALSE())</f>
        <v>50</v>
      </c>
      <c r="G8" s="11" t="n">
        <f aca="false">IF(VLOOKUP(A8,Normalized_Accounts!$A$2:$Z$19,6,FALSE())-Assumptions!$B$8&lt;=14,100,IF(VLOOKUP(A8,Normalized_Accounts!$A$2:$Z$19,6,FALSE())-Assumptions!$B$8&lt;=30,75,IF(VLOOKUP(A8,Normalized_Accounts!$A$2:$Z$19,6,FALSE())-Assumptions!$B$8&lt;=45,50,25)))</f>
        <v>75</v>
      </c>
      <c r="H8" s="11" t="n">
        <f aca="false">MIN(100,VLOOKUP(A8,Normalized_Accounts!$A$2:$Z$19,16,FALSE())*30+VLOOKUP(A8,Normalized_Accounts!$A$2:$Z$19,18,FALSE())*2)</f>
        <v>40</v>
      </c>
      <c r="I8" s="11" t="n">
        <f aca="false">MIN(100,ABS(VLOOKUP(A8,Normalized_Accounts!$A$2:$Z$19,12,FALSE()))/100000*100)</f>
        <v>40</v>
      </c>
      <c r="J8" s="11" t="n">
        <f aca="false">IF(VLOOKUP(A8,Normalized_Accounts!$A$2:$Z$19,19,FALSE())="Ready",100,IF(VLOOKUP(A8,Normalized_Accounts!$A$2:$Z$19,19,FALSE())="Ops route only",60,IF(VLOOKUP(A8,Normalized_Accounts!$A$2:$Z$19,19,FALSE())="Manager route only",20,0)))</f>
        <v>100</v>
      </c>
      <c r="K8" s="11" t="n">
        <f aca="false">F8*0.35+E8*0.4+H8*0.25</f>
        <v>56.58</v>
      </c>
      <c r="L8" s="11" t="n">
        <f aca="false">D8*Assumptions!$B$2+K8*Assumptions!$B$3+G8*Assumptions!$B$4+J8*Assumptions!$B$5+I8*Assumptions!$B$6</f>
        <v>66.303</v>
      </c>
      <c r="M8" s="3" t="n">
        <f aca="false">RANK(L8,$L$2:$L$19,0)</f>
        <v>6</v>
      </c>
      <c r="N8" s="3" t="str">
        <f aca="false">IF(C8&lt;&gt;"Approved execution","Controlled exception/hold",IF(L8&gt;=75,"Tier 1",IF(L8&gt;=60,"Tier 2","Tier 3")))</f>
        <v>Tier 2</v>
      </c>
    </row>
    <row r="9" customFormat="false" ht="15" hidden="false" customHeight="true" outlineLevel="0" collapsed="false">
      <c r="A9" s="9" t="s">
        <v>123</v>
      </c>
      <c r="B9" s="3" t="str">
        <f aca="false">VLOOKUP(A9,Normalized_Accounts!$A$2:$Z$19,2,FALSE())</f>
        <v>Veridian Charter Schools</v>
      </c>
      <c r="C9" s="3" t="str">
        <f aca="false">VLOOKUP(A9,Normalized_Accounts!$A$2:$Z$19,8,FALSE())</f>
        <v>Approved execution</v>
      </c>
      <c r="D9" s="11" t="n">
        <f aca="false">MIN(100,VLOOKUP(A9,Normalized_Accounts!$A$2:$Z$19,9,FALSE())/Assumptions!$B$7*100)</f>
        <v>27.5</v>
      </c>
      <c r="E9" s="11" t="n">
        <f aca="false">MIN(100,VLOOKUP(A9,Normalized_Accounts!$A$2:$Z$19,13,FALSE())*12+VLOOKUP(A9,Normalized_Accounts!$A$2:$Z$19,14,FALSE())*10+VLOOKUP(A9,Normalized_Accounts!$A$2:$Z$19,15,FALSE())*0.9)</f>
        <v>50.1</v>
      </c>
      <c r="F9" s="11" t="n">
        <f aca="false">100-VLOOKUP(A9,Normalized_Accounts!$A$2:$Z$19,7,FALSE())</f>
        <v>37</v>
      </c>
      <c r="G9" s="11" t="n">
        <f aca="false">IF(VLOOKUP(A9,Normalized_Accounts!$A$2:$Z$19,6,FALSE())-Assumptions!$B$8&lt;=14,100,IF(VLOOKUP(A9,Normalized_Accounts!$A$2:$Z$19,6,FALSE())-Assumptions!$B$8&lt;=30,75,IF(VLOOKUP(A9,Normalized_Accounts!$A$2:$Z$19,6,FALSE())-Assumptions!$B$8&lt;=45,50,25)))</f>
        <v>50</v>
      </c>
      <c r="H9" s="11" t="n">
        <f aca="false">MIN(100,VLOOKUP(A9,Normalized_Accounts!$A$2:$Z$19,16,FALSE())*30+VLOOKUP(A9,Normalized_Accounts!$A$2:$Z$19,18,FALSE())*2)</f>
        <v>6</v>
      </c>
      <c r="I9" s="11" t="n">
        <f aca="false">MIN(100,ABS(VLOOKUP(A9,Normalized_Accounts!$A$2:$Z$19,12,FALSE()))/100000*100)</f>
        <v>10</v>
      </c>
      <c r="J9" s="11" t="n">
        <f aca="false">IF(VLOOKUP(A9,Normalized_Accounts!$A$2:$Z$19,19,FALSE())="Ready",100,IF(VLOOKUP(A9,Normalized_Accounts!$A$2:$Z$19,19,FALSE())="Ops route only",60,IF(VLOOKUP(A9,Normalized_Accounts!$A$2:$Z$19,19,FALSE())="Manager route only",20,0)))</f>
        <v>100</v>
      </c>
      <c r="K9" s="11" t="n">
        <f aca="false">F9*0.35+E9*0.4+H9*0.25</f>
        <v>34.49</v>
      </c>
      <c r="L9" s="11" t="n">
        <f aca="false">D9*Assumptions!$B$2+K9*Assumptions!$B$3+G9*Assumptions!$B$4+J9*Assumptions!$B$5+I9*Assumptions!$B$6</f>
        <v>40.8215</v>
      </c>
      <c r="M9" s="3" t="n">
        <f aca="false">RANK(L9,$L$2:$L$19,0)</f>
        <v>15</v>
      </c>
      <c r="N9" s="3" t="str">
        <f aca="false">IF(C9&lt;&gt;"Approved execution","Controlled exception/hold",IF(L9&gt;=75,"Tier 1",IF(L9&gt;=60,"Tier 2","Tier 3")))</f>
        <v>Tier 3</v>
      </c>
    </row>
    <row r="10" customFormat="false" ht="15" hidden="false" customHeight="true" outlineLevel="0" collapsed="false">
      <c r="A10" s="9" t="s">
        <v>127</v>
      </c>
      <c r="B10" s="3" t="str">
        <f aca="false">VLOOKUP(A10,Normalized_Accounts!$A$2:$Z$19,2,FALSE())</f>
        <v>Copper Trail Hospitality</v>
      </c>
      <c r="C10" s="3" t="str">
        <f aca="false">VLOOKUP(A10,Normalized_Accounts!$A$2:$Z$19,8,FALSE())</f>
        <v>Approved execution</v>
      </c>
      <c r="D10" s="11" t="n">
        <f aca="false">MIN(100,VLOOKUP(A10,Normalized_Accounts!$A$2:$Z$19,9,FALSE())/Assumptions!$B$7*100)</f>
        <v>47.5</v>
      </c>
      <c r="E10" s="11" t="n">
        <f aca="false">MIN(100,VLOOKUP(A10,Normalized_Accounts!$A$2:$Z$19,13,FALSE())*12+VLOOKUP(A10,Normalized_Accounts!$A$2:$Z$19,14,FALSE())*10+VLOOKUP(A10,Normalized_Accounts!$A$2:$Z$19,15,FALSE())*0.9)</f>
        <v>70</v>
      </c>
      <c r="F10" s="11" t="n">
        <f aca="false">100-VLOOKUP(A10,Normalized_Accounts!$A$2:$Z$19,7,FALSE())</f>
        <v>42</v>
      </c>
      <c r="G10" s="11" t="n">
        <f aca="false">IF(VLOOKUP(A10,Normalized_Accounts!$A$2:$Z$19,6,FALSE())-Assumptions!$B$8&lt;=14,100,IF(VLOOKUP(A10,Normalized_Accounts!$A$2:$Z$19,6,FALSE())-Assumptions!$B$8&lt;=30,75,IF(VLOOKUP(A10,Normalized_Accounts!$A$2:$Z$19,6,FALSE())-Assumptions!$B$8&lt;=45,50,25)))</f>
        <v>100</v>
      </c>
      <c r="H10" s="11" t="n">
        <f aca="false">MIN(100,VLOOKUP(A10,Normalized_Accounts!$A$2:$Z$19,16,FALSE())*30+VLOOKUP(A10,Normalized_Accounts!$A$2:$Z$19,18,FALSE())*2)</f>
        <v>42</v>
      </c>
      <c r="I10" s="11" t="n">
        <f aca="false">MIN(100,ABS(VLOOKUP(A10,Normalized_Accounts!$A$2:$Z$19,12,FALSE()))/100000*100)</f>
        <v>25</v>
      </c>
      <c r="J10" s="11" t="n">
        <f aca="false">IF(VLOOKUP(A10,Normalized_Accounts!$A$2:$Z$19,19,FALSE())="Ready",100,IF(VLOOKUP(A10,Normalized_Accounts!$A$2:$Z$19,19,FALSE())="Ops route only",60,IF(VLOOKUP(A10,Normalized_Accounts!$A$2:$Z$19,19,FALSE())="Manager route only",20,0)))</f>
        <v>100</v>
      </c>
      <c r="K10" s="11" t="n">
        <f aca="false">F10*0.35+E10*0.4+H10*0.25</f>
        <v>53.2</v>
      </c>
      <c r="L10" s="11" t="n">
        <f aca="false">D10*Assumptions!$B$2+K10*Assumptions!$B$3+G10*Assumptions!$B$4+J10*Assumptions!$B$5+I10*Assumptions!$B$6</f>
        <v>64.12</v>
      </c>
      <c r="M10" s="3" t="n">
        <f aca="false">RANK(L10,$L$2:$L$19,0)</f>
        <v>8</v>
      </c>
      <c r="N10" s="3" t="str">
        <f aca="false">IF(C10&lt;&gt;"Approved execution","Controlled exception/hold",IF(L10&gt;=75,"Tier 1",IF(L10&gt;=60,"Tier 2","Tier 3")))</f>
        <v>Tier 2</v>
      </c>
    </row>
    <row r="11" customFormat="false" ht="15" hidden="false" customHeight="true" outlineLevel="0" collapsed="false">
      <c r="A11" s="9" t="s">
        <v>131</v>
      </c>
      <c r="B11" s="3" t="str">
        <f aca="false">VLOOKUP(A11,Normalized_Accounts!$A$2:$Z$19,2,FALSE())</f>
        <v>Finch Legal Group</v>
      </c>
      <c r="C11" s="3" t="str">
        <f aca="false">VLOOKUP(A11,Normalized_Accounts!$A$2:$Z$19,8,FALSE())</f>
        <v>Approved execution</v>
      </c>
      <c r="D11" s="11" t="n">
        <f aca="false">MIN(100,VLOOKUP(A11,Normalized_Accounts!$A$2:$Z$19,9,FALSE())/Assumptions!$B$7*100)</f>
        <v>18.75</v>
      </c>
      <c r="E11" s="11" t="n">
        <f aca="false">MIN(100,VLOOKUP(A11,Normalized_Accounts!$A$2:$Z$19,13,FALSE())*12+VLOOKUP(A11,Normalized_Accounts!$A$2:$Z$19,14,FALSE())*10+VLOOKUP(A11,Normalized_Accounts!$A$2:$Z$19,15,FALSE())*0.9)</f>
        <v>36.5</v>
      </c>
      <c r="F11" s="11" t="n">
        <f aca="false">100-VLOOKUP(A11,Normalized_Accounts!$A$2:$Z$19,7,FALSE())</f>
        <v>30</v>
      </c>
      <c r="G11" s="11" t="n">
        <f aca="false">IF(VLOOKUP(A11,Normalized_Accounts!$A$2:$Z$19,6,FALSE())-Assumptions!$B$8&lt;=14,100,IF(VLOOKUP(A11,Normalized_Accounts!$A$2:$Z$19,6,FALSE())-Assumptions!$B$8&lt;=30,75,IF(VLOOKUP(A11,Normalized_Accounts!$A$2:$Z$19,6,FALSE())-Assumptions!$B$8&lt;=45,50,25)))</f>
        <v>50</v>
      </c>
      <c r="H11" s="11" t="n">
        <f aca="false">MIN(100,VLOOKUP(A11,Normalized_Accounts!$A$2:$Z$19,16,FALSE())*30+VLOOKUP(A11,Normalized_Accounts!$A$2:$Z$19,18,FALSE())*2)</f>
        <v>2</v>
      </c>
      <c r="I11" s="11" t="n">
        <f aca="false">MIN(100,ABS(VLOOKUP(A11,Normalized_Accounts!$A$2:$Z$19,12,FALSE()))/100000*100)</f>
        <v>2</v>
      </c>
      <c r="J11" s="11" t="n">
        <f aca="false">IF(VLOOKUP(A11,Normalized_Accounts!$A$2:$Z$19,19,FALSE())="Ready",100,IF(VLOOKUP(A11,Normalized_Accounts!$A$2:$Z$19,19,FALSE())="Ops route only",60,IF(VLOOKUP(A11,Normalized_Accounts!$A$2:$Z$19,19,FALSE())="Manager route only",20,0)))</f>
        <v>100</v>
      </c>
      <c r="K11" s="11" t="n">
        <f aca="false">F11*0.35+E11*0.4+H11*0.25</f>
        <v>25.6</v>
      </c>
      <c r="L11" s="11" t="n">
        <f aca="false">D11*Assumptions!$B$2+K11*Assumptions!$B$3+G11*Assumptions!$B$4+J11*Assumptions!$B$5+I11*Assumptions!$B$6</f>
        <v>34.685</v>
      </c>
      <c r="M11" s="3" t="n">
        <f aca="false">RANK(L11,$L$2:$L$19,0)</f>
        <v>17</v>
      </c>
      <c r="N11" s="3" t="str">
        <f aca="false">IF(C11&lt;&gt;"Approved execution","Controlled exception/hold",IF(L11&gt;=75,"Tier 1",IF(L11&gt;=60,"Tier 2","Tier 3")))</f>
        <v>Tier 3</v>
      </c>
    </row>
    <row r="12" customFormat="false" ht="15" hidden="false" customHeight="true" outlineLevel="0" collapsed="false">
      <c r="A12" s="9" t="s">
        <v>135</v>
      </c>
      <c r="B12" s="3" t="str">
        <f aca="false">VLOOKUP(A12,Normalized_Accounts!$A$2:$Z$19,2,FALSE())</f>
        <v>Solstice Energy Co-op</v>
      </c>
      <c r="C12" s="3" t="str">
        <f aca="false">VLOOKUP(A12,Normalized_Accounts!$A$2:$Z$19,8,FALSE())</f>
        <v>Approved execution</v>
      </c>
      <c r="D12" s="11" t="n">
        <f aca="false">MIN(100,VLOOKUP(A12,Normalized_Accounts!$A$2:$Z$19,9,FALSE())/Assumptions!$B$7*100)</f>
        <v>43.75</v>
      </c>
      <c r="E12" s="11" t="n">
        <f aca="false">MIN(100,VLOOKUP(A12,Normalized_Accounts!$A$2:$Z$19,13,FALSE())*12+VLOOKUP(A12,Normalized_Accounts!$A$2:$Z$19,14,FALSE())*10+VLOOKUP(A12,Normalized_Accounts!$A$2:$Z$19,15,FALSE())*0.9)</f>
        <v>68.2</v>
      </c>
      <c r="F12" s="11" t="n">
        <f aca="false">100-VLOOKUP(A12,Normalized_Accounts!$A$2:$Z$19,7,FALSE())</f>
        <v>45</v>
      </c>
      <c r="G12" s="11" t="n">
        <f aca="false">IF(VLOOKUP(A12,Normalized_Accounts!$A$2:$Z$19,6,FALSE())-Assumptions!$B$8&lt;=14,100,IF(VLOOKUP(A12,Normalized_Accounts!$A$2:$Z$19,6,FALSE())-Assumptions!$B$8&lt;=30,75,IF(VLOOKUP(A12,Normalized_Accounts!$A$2:$Z$19,6,FALSE())-Assumptions!$B$8&lt;=45,50,25)))</f>
        <v>75</v>
      </c>
      <c r="H12" s="11" t="n">
        <f aca="false">MIN(100,VLOOKUP(A12,Normalized_Accounts!$A$2:$Z$19,16,FALSE())*30+VLOOKUP(A12,Normalized_Accounts!$A$2:$Z$19,18,FALSE())*2)</f>
        <v>10</v>
      </c>
      <c r="I12" s="11" t="n">
        <f aca="false">MIN(100,ABS(VLOOKUP(A12,Normalized_Accounts!$A$2:$Z$19,12,FALSE()))/100000*100)</f>
        <v>20</v>
      </c>
      <c r="J12" s="11" t="n">
        <f aca="false">IF(VLOOKUP(A12,Normalized_Accounts!$A$2:$Z$19,19,FALSE())="Ready",100,IF(VLOOKUP(A12,Normalized_Accounts!$A$2:$Z$19,19,FALSE())="Ops route only",60,IF(VLOOKUP(A12,Normalized_Accounts!$A$2:$Z$19,19,FALSE())="Manager route only",20,0)))</f>
        <v>100</v>
      </c>
      <c r="K12" s="11" t="n">
        <f aca="false">F12*0.35+E12*0.4+H12*0.25</f>
        <v>45.53</v>
      </c>
      <c r="L12" s="11" t="n">
        <f aca="false">D12*Assumptions!$B$2+K12*Assumptions!$B$3+G12*Assumptions!$B$4+J12*Assumptions!$B$5+I12*Assumptions!$B$6</f>
        <v>55.0605</v>
      </c>
      <c r="M12" s="3" t="n">
        <f aca="false">RANK(L12,$L$2:$L$19,0)</f>
        <v>12</v>
      </c>
      <c r="N12" s="3" t="str">
        <f aca="false">IF(C12&lt;&gt;"Approved execution","Controlled exception/hold",IF(L12&gt;=75,"Tier 1",IF(L12&gt;=60,"Tier 2","Tier 3")))</f>
        <v>Tier 3</v>
      </c>
    </row>
    <row r="13" customFormat="false" ht="15" hidden="false" customHeight="true" outlineLevel="0" collapsed="false">
      <c r="A13" s="9" t="s">
        <v>138</v>
      </c>
      <c r="B13" s="3" t="str">
        <f aca="false">VLOOKUP(A13,Normalized_Accounts!$A$2:$Z$19,2,FALSE())</f>
        <v>Vesta Apparel Collective</v>
      </c>
      <c r="C13" s="3" t="str">
        <f aca="false">VLOOKUP(A13,Normalized_Accounts!$A$2:$Z$19,8,FALSE())</f>
        <v>Approved execution</v>
      </c>
      <c r="D13" s="11" t="n">
        <f aca="false">MIN(100,VLOOKUP(A13,Normalized_Accounts!$A$2:$Z$19,9,FALSE())/Assumptions!$B$7*100)</f>
        <v>76.25</v>
      </c>
      <c r="E13" s="11" t="n">
        <f aca="false">MIN(100,VLOOKUP(A13,Normalized_Accounts!$A$2:$Z$19,13,FALSE())*12+VLOOKUP(A13,Normalized_Accounts!$A$2:$Z$19,14,FALSE())*10+VLOOKUP(A13,Normalized_Accounts!$A$2:$Z$19,15,FALSE())*0.9)</f>
        <v>92</v>
      </c>
      <c r="F13" s="11" t="n">
        <f aca="false">100-VLOOKUP(A13,Normalized_Accounts!$A$2:$Z$19,7,FALSE())</f>
        <v>53</v>
      </c>
      <c r="G13" s="11" t="n">
        <f aca="false">IF(VLOOKUP(A13,Normalized_Accounts!$A$2:$Z$19,6,FALSE())-Assumptions!$B$8&lt;=14,100,IF(VLOOKUP(A13,Normalized_Accounts!$A$2:$Z$19,6,FALSE())-Assumptions!$B$8&lt;=30,75,IF(VLOOKUP(A13,Normalized_Accounts!$A$2:$Z$19,6,FALSE())-Assumptions!$B$8&lt;=45,50,25)))</f>
        <v>75</v>
      </c>
      <c r="H13" s="11" t="n">
        <f aca="false">MIN(100,VLOOKUP(A13,Normalized_Accounts!$A$2:$Z$19,16,FALSE())*30+VLOOKUP(A13,Normalized_Accounts!$A$2:$Z$19,18,FALSE())*2)</f>
        <v>32</v>
      </c>
      <c r="I13" s="11" t="n">
        <f aca="false">MIN(100,ABS(VLOOKUP(A13,Normalized_Accounts!$A$2:$Z$19,12,FALSE()))/100000*100)</f>
        <v>52</v>
      </c>
      <c r="J13" s="11" t="n">
        <f aca="false">IF(VLOOKUP(A13,Normalized_Accounts!$A$2:$Z$19,19,FALSE())="Ready",100,IF(VLOOKUP(A13,Normalized_Accounts!$A$2:$Z$19,19,FALSE())="Ops route only",60,IF(VLOOKUP(A13,Normalized_Accounts!$A$2:$Z$19,19,FALSE())="Manager route only",20,0)))</f>
        <v>100</v>
      </c>
      <c r="K13" s="11" t="n">
        <f aca="false">F13*0.35+E13*0.4+H13*0.25</f>
        <v>63.35</v>
      </c>
      <c r="L13" s="11" t="n">
        <f aca="false">D13*Assumptions!$B$2+K13*Assumptions!$B$3+G13*Assumptions!$B$4+J13*Assumptions!$B$5+I13*Assumptions!$B$6</f>
        <v>72.6475</v>
      </c>
      <c r="M13" s="3" t="n">
        <f aca="false">RANK(L13,$L$2:$L$19,0)</f>
        <v>4</v>
      </c>
      <c r="N13" s="3" t="str">
        <f aca="false">IF(C13&lt;&gt;"Approved execution","Controlled exception/hold",IF(L13&gt;=75,"Tier 1",IF(L13&gt;=60,"Tier 2","Tier 3")))</f>
        <v>Tier 2</v>
      </c>
    </row>
    <row r="14" customFormat="false" ht="15" hidden="false" customHeight="true" outlineLevel="0" collapsed="false">
      <c r="A14" s="9" t="s">
        <v>141</v>
      </c>
      <c r="B14" s="3" t="str">
        <f aca="false">VLOOKUP(A14,Normalized_Accounts!$A$2:$Z$19,2,FALSE())</f>
        <v>BrightPath Dental Alliance</v>
      </c>
      <c r="C14" s="3" t="str">
        <f aca="false">VLOOKUP(A14,Normalized_Accounts!$A$2:$Z$19,8,FALSE())</f>
        <v>Controlled exception</v>
      </c>
      <c r="D14" s="11" t="n">
        <f aca="false">MIN(100,VLOOKUP(A14,Normalized_Accounts!$A$2:$Z$19,9,FALSE())/Assumptions!$B$7*100)</f>
        <v>41.25</v>
      </c>
      <c r="E14" s="11" t="n">
        <f aca="false">MIN(100,VLOOKUP(A14,Normalized_Accounts!$A$2:$Z$19,13,FALSE())*12+VLOOKUP(A14,Normalized_Accounts!$A$2:$Z$19,14,FALSE())*10+VLOOKUP(A14,Normalized_Accounts!$A$2:$Z$19,15,FALSE())*0.9)</f>
        <v>52.8</v>
      </c>
      <c r="F14" s="11" t="n">
        <f aca="false">100-VLOOKUP(A14,Normalized_Accounts!$A$2:$Z$19,7,FALSE())</f>
        <v>41</v>
      </c>
      <c r="G14" s="11" t="n">
        <f aca="false">IF(VLOOKUP(A14,Normalized_Accounts!$A$2:$Z$19,6,FALSE())-Assumptions!$B$8&lt;=14,100,IF(VLOOKUP(A14,Normalized_Accounts!$A$2:$Z$19,6,FALSE())-Assumptions!$B$8&lt;=30,75,IF(VLOOKUP(A14,Normalized_Accounts!$A$2:$Z$19,6,FALSE())-Assumptions!$B$8&lt;=45,50,25)))</f>
        <v>50</v>
      </c>
      <c r="H14" s="11" t="n">
        <f aca="false">MIN(100,VLOOKUP(A14,Normalized_Accounts!$A$2:$Z$19,16,FALSE())*30+VLOOKUP(A14,Normalized_Accounts!$A$2:$Z$19,18,FALSE())*2)</f>
        <v>8</v>
      </c>
      <c r="I14" s="11" t="n">
        <f aca="false">MIN(100,ABS(VLOOKUP(A14,Normalized_Accounts!$A$2:$Z$19,12,FALSE()))/100000*100)</f>
        <v>12</v>
      </c>
      <c r="J14" s="11" t="n">
        <f aca="false">IF(VLOOKUP(A14,Normalized_Accounts!$A$2:$Z$19,19,FALSE())="Ready",100,IF(VLOOKUP(A14,Normalized_Accounts!$A$2:$Z$19,19,FALSE())="Ops route only",60,IF(VLOOKUP(A14,Normalized_Accounts!$A$2:$Z$19,19,FALSE())="Manager route only",20,0)))</f>
        <v>60</v>
      </c>
      <c r="K14" s="11" t="n">
        <f aca="false">F14*0.35+E14*0.4+H14*0.25</f>
        <v>37.47</v>
      </c>
      <c r="L14" s="11" t="n">
        <f aca="false">D14*Assumptions!$B$2+K14*Assumptions!$B$3+G14*Assumptions!$B$4+J14*Assumptions!$B$5+I14*Assumptions!$B$6</f>
        <v>42.0895</v>
      </c>
      <c r="M14" s="3" t="n">
        <f aca="false">RANK(L14,$L$2:$L$19,0)</f>
        <v>14</v>
      </c>
      <c r="N14" s="3" t="str">
        <f aca="false">IF(C14&lt;&gt;"Approved execution","Controlled exception/hold",IF(L14&gt;=75,"Tier 1",IF(L14&gt;=60,"Tier 2","Tier 3")))</f>
        <v>Controlled exception/hold</v>
      </c>
    </row>
    <row r="15" customFormat="false" ht="15" hidden="false" customHeight="true" outlineLevel="0" collapsed="false">
      <c r="A15" s="9" t="s">
        <v>144</v>
      </c>
      <c r="B15" s="3" t="str">
        <f aca="false">VLOOKUP(A15,Normalized_Accounts!$A$2:$Z$19,2,FALSE())</f>
        <v>SummitBank SMB Services</v>
      </c>
      <c r="C15" s="3" t="str">
        <f aca="false">VLOOKUP(A15,Normalized_Accounts!$A$2:$Z$19,8,FALSE())</f>
        <v>Controlled exception</v>
      </c>
      <c r="D15" s="11" t="n">
        <f aca="false">MIN(100,VLOOKUP(A15,Normalized_Accounts!$A$2:$Z$19,9,FALSE())/Assumptions!$B$7*100)</f>
        <v>90</v>
      </c>
      <c r="E15" s="11" t="n">
        <f aca="false">MIN(100,VLOOKUP(A15,Normalized_Accounts!$A$2:$Z$19,13,FALSE())*12+VLOOKUP(A15,Normalized_Accounts!$A$2:$Z$19,14,FALSE())*10+VLOOKUP(A15,Normalized_Accounts!$A$2:$Z$19,15,FALSE())*0.9)</f>
        <v>91.7</v>
      </c>
      <c r="F15" s="11" t="n">
        <f aca="false">100-VLOOKUP(A15,Normalized_Accounts!$A$2:$Z$19,7,FALSE())</f>
        <v>58</v>
      </c>
      <c r="G15" s="11" t="n">
        <f aca="false">IF(VLOOKUP(A15,Normalized_Accounts!$A$2:$Z$19,6,FALSE())-Assumptions!$B$8&lt;=14,100,IF(VLOOKUP(A15,Normalized_Accounts!$A$2:$Z$19,6,FALSE())-Assumptions!$B$8&lt;=30,75,IF(VLOOKUP(A15,Normalized_Accounts!$A$2:$Z$19,6,FALSE())-Assumptions!$B$8&lt;=45,50,25)))</f>
        <v>75</v>
      </c>
      <c r="H15" s="11" t="n">
        <f aca="false">MIN(100,VLOOKUP(A15,Normalized_Accounts!$A$2:$Z$19,16,FALSE())*30+VLOOKUP(A15,Normalized_Accounts!$A$2:$Z$19,18,FALSE())*2)</f>
        <v>2</v>
      </c>
      <c r="I15" s="11" t="n">
        <f aca="false">MIN(100,ABS(VLOOKUP(A15,Normalized_Accounts!$A$2:$Z$19,12,FALSE()))/100000*100)</f>
        <v>60</v>
      </c>
      <c r="J15" s="11" t="n">
        <f aca="false">IF(VLOOKUP(A15,Normalized_Accounts!$A$2:$Z$19,19,FALSE())="Ready",100,IF(VLOOKUP(A15,Normalized_Accounts!$A$2:$Z$19,19,FALSE())="Ops route only",60,IF(VLOOKUP(A15,Normalized_Accounts!$A$2:$Z$19,19,FALSE())="Manager route only",20,0)))</f>
        <v>100</v>
      </c>
      <c r="K15" s="11" t="n">
        <f aca="false">F15*0.35+E15*0.4+H15*0.25</f>
        <v>57.48</v>
      </c>
      <c r="L15" s="11" t="n">
        <f aca="false">D15*Assumptions!$B$2+K15*Assumptions!$B$3+G15*Assumptions!$B$4+J15*Assumptions!$B$5+I15*Assumptions!$B$6</f>
        <v>75.118</v>
      </c>
      <c r="M15" s="3" t="n">
        <f aca="false">RANK(L15,$L$2:$L$19,0)</f>
        <v>3</v>
      </c>
      <c r="N15" s="3" t="str">
        <f aca="false">IF(C15&lt;&gt;"Approved execution","Controlled exception/hold",IF(L15&gt;=75,"Tier 1",IF(L15&gt;=60,"Tier 2","Tier 3")))</f>
        <v>Controlled exception/hold</v>
      </c>
    </row>
    <row r="16" customFormat="false" ht="15" hidden="false" customHeight="true" outlineLevel="0" collapsed="false">
      <c r="A16" s="9" t="s">
        <v>147</v>
      </c>
      <c r="B16" s="3" t="str">
        <f aca="false">VLOOKUP(A16,Normalized_Accounts!$A$2:$Z$19,2,FALSE())</f>
        <v>Mesa Tool Supply</v>
      </c>
      <c r="C16" s="3" t="str">
        <f aca="false">VLOOKUP(A16,Normalized_Accounts!$A$2:$Z$19,8,FALSE())</f>
        <v>Controlled exception</v>
      </c>
      <c r="D16" s="11" t="n">
        <f aca="false">MIN(100,VLOOKUP(A16,Normalized_Accounts!$A$2:$Z$19,9,FALSE())/Assumptions!$B$7*100)</f>
        <v>52.5</v>
      </c>
      <c r="E16" s="11" t="n">
        <f aca="false">MIN(100,VLOOKUP(A16,Normalized_Accounts!$A$2:$Z$19,13,FALSE())*12+VLOOKUP(A16,Normalized_Accounts!$A$2:$Z$19,14,FALSE())*10+VLOOKUP(A16,Normalized_Accounts!$A$2:$Z$19,15,FALSE())*0.9)</f>
        <v>70.9</v>
      </c>
      <c r="F16" s="11" t="n">
        <f aca="false">100-VLOOKUP(A16,Normalized_Accounts!$A$2:$Z$19,7,FALSE())</f>
        <v>51</v>
      </c>
      <c r="G16" s="11" t="n">
        <f aca="false">IF(VLOOKUP(A16,Normalized_Accounts!$A$2:$Z$19,6,FALSE())-Assumptions!$B$8&lt;=14,100,IF(VLOOKUP(A16,Normalized_Accounts!$A$2:$Z$19,6,FALSE())-Assumptions!$B$8&lt;=30,75,IF(VLOOKUP(A16,Normalized_Accounts!$A$2:$Z$19,6,FALSE())-Assumptions!$B$8&lt;=45,50,25)))</f>
        <v>75</v>
      </c>
      <c r="H16" s="11" t="n">
        <f aca="false">MIN(100,VLOOKUP(A16,Normalized_Accounts!$A$2:$Z$19,16,FALSE())*30+VLOOKUP(A16,Normalized_Accounts!$A$2:$Z$19,18,FALSE())*2)</f>
        <v>46</v>
      </c>
      <c r="I16" s="11" t="n">
        <f aca="false">MIN(100,ABS(VLOOKUP(A16,Normalized_Accounts!$A$2:$Z$19,12,FALSE()))/100000*100)</f>
        <v>38</v>
      </c>
      <c r="J16" s="11" t="n">
        <f aca="false">IF(VLOOKUP(A16,Normalized_Accounts!$A$2:$Z$19,19,FALSE())="Ready",100,IF(VLOOKUP(A16,Normalized_Accounts!$A$2:$Z$19,19,FALSE())="Ops route only",60,IF(VLOOKUP(A16,Normalized_Accounts!$A$2:$Z$19,19,FALSE())="Manager route only",20,0)))</f>
        <v>100</v>
      </c>
      <c r="K16" s="11" t="n">
        <f aca="false">F16*0.35+E16*0.4+H16*0.25</f>
        <v>57.71</v>
      </c>
      <c r="L16" s="11" t="n">
        <f aca="false">D16*Assumptions!$B$2+K16*Assumptions!$B$3+G16*Assumptions!$B$4+J16*Assumptions!$B$5+I16*Assumptions!$B$6</f>
        <v>62.8485</v>
      </c>
      <c r="M16" s="3" t="n">
        <f aca="false">RANK(L16,$L$2:$L$19,0)</f>
        <v>9</v>
      </c>
      <c r="N16" s="3" t="str">
        <f aca="false">IF(C16&lt;&gt;"Approved execution","Controlled exception/hold",IF(L16&gt;=75,"Tier 1",IF(L16&gt;=60,"Tier 2","Tier 3")))</f>
        <v>Controlled exception/hold</v>
      </c>
    </row>
    <row r="17" customFormat="false" ht="15" hidden="false" customHeight="true" outlineLevel="0" collapsed="false">
      <c r="A17" s="9" t="s">
        <v>150</v>
      </c>
      <c r="B17" s="3" t="str">
        <f aca="false">VLOOKUP(A17,Normalized_Accounts!$A$2:$Z$19,2,FALSE())</f>
        <v>Riverstone Fitness</v>
      </c>
      <c r="C17" s="3" t="str">
        <f aca="false">VLOOKUP(A17,Normalized_Accounts!$A$2:$Z$19,8,FALSE())</f>
        <v>Excluded - no action</v>
      </c>
      <c r="D17" s="11" t="n">
        <f aca="false">MIN(100,VLOOKUP(A17,Normalized_Accounts!$A$2:$Z$19,9,FALSE())/Assumptions!$B$7*100)</f>
        <v>15.5</v>
      </c>
      <c r="E17" s="11" t="n">
        <f aca="false">MIN(100,VLOOKUP(A17,Normalized_Accounts!$A$2:$Z$19,13,FALSE())*12+VLOOKUP(A17,Normalized_Accounts!$A$2:$Z$19,14,FALSE())*10+VLOOKUP(A17,Normalized_Accounts!$A$2:$Z$19,15,FALSE())*0.9)</f>
        <v>0</v>
      </c>
      <c r="F17" s="11" t="n">
        <f aca="false">100-VLOOKUP(A17,Normalized_Accounts!$A$2:$Z$19,7,FALSE())</f>
        <v>24</v>
      </c>
      <c r="G17" s="11" t="n">
        <f aca="false">IF(VLOOKUP(A17,Normalized_Accounts!$A$2:$Z$19,6,FALSE())-Assumptions!$B$8&lt;=14,100,IF(VLOOKUP(A17,Normalized_Accounts!$A$2:$Z$19,6,FALSE())-Assumptions!$B$8&lt;=30,75,IF(VLOOKUP(A17,Normalized_Accounts!$A$2:$Z$19,6,FALSE())-Assumptions!$B$8&lt;=45,50,25)))</f>
        <v>100</v>
      </c>
      <c r="H17" s="11" t="n">
        <f aca="false">MIN(100,VLOOKUP(A17,Normalized_Accounts!$A$2:$Z$19,16,FALSE())*30+VLOOKUP(A17,Normalized_Accounts!$A$2:$Z$19,18,FALSE())*2)</f>
        <v>8</v>
      </c>
      <c r="I17" s="11" t="n">
        <f aca="false">MIN(100,ABS(VLOOKUP(A17,Normalized_Accounts!$A$2:$Z$19,12,FALSE()))/100000*100)</f>
        <v>2</v>
      </c>
      <c r="J17" s="11" t="n">
        <f aca="false">IF(VLOOKUP(A17,Normalized_Accounts!$A$2:$Z$19,19,FALSE())="Ready",100,IF(VLOOKUP(A17,Normalized_Accounts!$A$2:$Z$19,19,FALSE())="Ops route only",60,IF(VLOOKUP(A17,Normalized_Accounts!$A$2:$Z$19,19,FALSE())="Manager route only",20,0)))</f>
        <v>100</v>
      </c>
      <c r="K17" s="11" t="n">
        <f aca="false">F17*0.35+E17*0.4+H17*0.25</f>
        <v>10.4</v>
      </c>
      <c r="L17" s="11" t="n">
        <f aca="false">D17*Assumptions!$B$2+K17*Assumptions!$B$3+G17*Assumptions!$B$4+J17*Assumptions!$B$5+I17*Assumptions!$B$6</f>
        <v>38.39</v>
      </c>
      <c r="M17" s="3" t="n">
        <f aca="false">RANK(L17,$L$2:$L$19,0)</f>
        <v>16</v>
      </c>
      <c r="N17" s="3" t="str">
        <f aca="false">IF(C17&lt;&gt;"Approved execution","Controlled exception/hold",IF(L17&gt;=75,"Tier 1",IF(L17&gt;=60,"Tier 2","Tier 3")))</f>
        <v>Controlled exception/hold</v>
      </c>
    </row>
    <row r="18" customFormat="false" ht="15" hidden="false" customHeight="true" outlineLevel="0" collapsed="false">
      <c r="A18" s="9" t="s">
        <v>156</v>
      </c>
      <c r="B18" s="3" t="str">
        <f aca="false">VLOOKUP(A18,Normalized_Accounts!$A$2:$Z$19,2,FALSE())</f>
        <v>Atlas BioLabs</v>
      </c>
      <c r="C18" s="3" t="str">
        <f aca="false">VLOOKUP(A18,Normalized_Accounts!$A$2:$Z$19,8,FALSE())</f>
        <v>Controlled exception</v>
      </c>
      <c r="D18" s="11" t="n">
        <f aca="false">MIN(100,VLOOKUP(A18,Normalized_Accounts!$A$2:$Z$19,9,FALSE())/Assumptions!$B$7*100)</f>
        <v>100</v>
      </c>
      <c r="E18" s="11" t="n">
        <f aca="false">MIN(100,VLOOKUP(A18,Normalized_Accounts!$A$2:$Z$19,13,FALSE())*12+VLOOKUP(A18,Normalized_Accounts!$A$2:$Z$19,14,FALSE())*10+VLOOKUP(A18,Normalized_Accounts!$A$2:$Z$19,15,FALSE())*0.9)</f>
        <v>100</v>
      </c>
      <c r="F18" s="11" t="n">
        <f aca="false">100-VLOOKUP(A18,Normalized_Accounts!$A$2:$Z$19,7,FALSE())</f>
        <v>60</v>
      </c>
      <c r="G18" s="11" t="n">
        <f aca="false">IF(VLOOKUP(A18,Normalized_Accounts!$A$2:$Z$19,6,FALSE())-Assumptions!$B$8&lt;=14,100,IF(VLOOKUP(A18,Normalized_Accounts!$A$2:$Z$19,6,FALSE())-Assumptions!$B$8&lt;=30,75,IF(VLOOKUP(A18,Normalized_Accounts!$A$2:$Z$19,6,FALSE())-Assumptions!$B$8&lt;=45,50,25)))</f>
        <v>50</v>
      </c>
      <c r="H18" s="11" t="n">
        <f aca="false">MIN(100,VLOOKUP(A18,Normalized_Accounts!$A$2:$Z$19,16,FALSE())*30+VLOOKUP(A18,Normalized_Accounts!$A$2:$Z$19,18,FALSE())*2)</f>
        <v>2</v>
      </c>
      <c r="I18" s="11" t="n">
        <f aca="false">MIN(100,ABS(VLOOKUP(A18,Normalized_Accounts!$A$2:$Z$19,12,FALSE()))/100000*100)</f>
        <v>100</v>
      </c>
      <c r="J18" s="11" t="n">
        <f aca="false">IF(VLOOKUP(A18,Normalized_Accounts!$A$2:$Z$19,19,FALSE())="Ready",100,IF(VLOOKUP(A18,Normalized_Accounts!$A$2:$Z$19,19,FALSE())="Ops route only",60,IF(VLOOKUP(A18,Normalized_Accounts!$A$2:$Z$19,19,FALSE())="Manager route only",20,0)))</f>
        <v>20</v>
      </c>
      <c r="K18" s="11" t="n">
        <f aca="false">F18*0.35+E18*0.4+H18*0.25</f>
        <v>61.5</v>
      </c>
      <c r="L18" s="11" t="n">
        <f aca="false">D18*Assumptions!$B$2+K18*Assumptions!$B$3+G18*Assumptions!$B$4+J18*Assumptions!$B$5+I18*Assumptions!$B$6</f>
        <v>68.525</v>
      </c>
      <c r="M18" s="3" t="n">
        <f aca="false">RANK(L18,$L$2:$L$19,0)</f>
        <v>5</v>
      </c>
      <c r="N18" s="3" t="str">
        <f aca="false">IF(C18&lt;&gt;"Approved execution","Controlled exception/hold",IF(L18&gt;=75,"Tier 1",IF(L18&gt;=60,"Tier 2","Tier 3")))</f>
        <v>Controlled exception/hold</v>
      </c>
    </row>
    <row r="19" customFormat="false" ht="15" hidden="false" customHeight="true" outlineLevel="0" collapsed="false">
      <c r="A19" s="9" t="s">
        <v>160</v>
      </c>
      <c r="B19" s="3" t="str">
        <f aca="false">VLOOKUP(A19,Normalized_Accounts!$A$2:$Z$19,2,FALSE())</f>
        <v>Pinyon Outdoor Media Buyers</v>
      </c>
      <c r="C19" s="3" t="str">
        <f aca="false">VLOOKUP(A19,Normalized_Accounts!$A$2:$Z$19,8,FALSE())</f>
        <v>Excluded - no action</v>
      </c>
      <c r="D19" s="11" t="n">
        <f aca="false">MIN(100,VLOOKUP(A19,Normalized_Accounts!$A$2:$Z$19,9,FALSE())/Assumptions!$B$7*100)</f>
        <v>33.75</v>
      </c>
      <c r="E19" s="11" t="n">
        <f aca="false">MIN(100,VLOOKUP(A19,Normalized_Accounts!$A$2:$Z$19,13,FALSE())*12+VLOOKUP(A19,Normalized_Accounts!$A$2:$Z$19,14,FALSE())*10+VLOOKUP(A19,Normalized_Accounts!$A$2:$Z$19,15,FALSE())*0.9)</f>
        <v>37.4</v>
      </c>
      <c r="F19" s="11" t="n">
        <f aca="false">100-VLOOKUP(A19,Normalized_Accounts!$A$2:$Z$19,7,FALSE())</f>
        <v>34</v>
      </c>
      <c r="G19" s="11" t="n">
        <f aca="false">IF(VLOOKUP(A19,Normalized_Accounts!$A$2:$Z$19,6,FALSE())-Assumptions!$B$8&lt;=14,100,IF(VLOOKUP(A19,Normalized_Accounts!$A$2:$Z$19,6,FALSE())-Assumptions!$B$8&lt;=30,75,IF(VLOOKUP(A19,Normalized_Accounts!$A$2:$Z$19,6,FALSE())-Assumptions!$B$8&lt;=45,50,25)))</f>
        <v>25</v>
      </c>
      <c r="H19" s="11" t="n">
        <f aca="false">MIN(100,VLOOKUP(A19,Normalized_Accounts!$A$2:$Z$19,16,FALSE())*30+VLOOKUP(A19,Normalized_Accounts!$A$2:$Z$19,18,FALSE())*2)</f>
        <v>2</v>
      </c>
      <c r="I19" s="11" t="n">
        <f aca="false">MIN(100,ABS(VLOOKUP(A19,Normalized_Accounts!$A$2:$Z$19,12,FALSE()))/100000*100)</f>
        <v>6</v>
      </c>
      <c r="J19" s="11" t="n">
        <f aca="false">IF(VLOOKUP(A19,Normalized_Accounts!$A$2:$Z$19,19,FALSE())="Ready",100,IF(VLOOKUP(A19,Normalized_Accounts!$A$2:$Z$19,19,FALSE())="Ops route only",60,IF(VLOOKUP(A19,Normalized_Accounts!$A$2:$Z$19,19,FALSE())="Manager route only",20,0)))</f>
        <v>0</v>
      </c>
      <c r="K19" s="11" t="n">
        <f aca="false">F19*0.35+E19*0.4+H19*0.25</f>
        <v>27.36</v>
      </c>
      <c r="L19" s="11" t="n">
        <f aca="false">D19*Assumptions!$B$2+K19*Assumptions!$B$3+G19*Assumptions!$B$4+J19*Assumptions!$B$5+I19*Assumptions!$B$6</f>
        <v>25.001</v>
      </c>
      <c r="M19" s="3" t="n">
        <f aca="false">RANK(L19,$L$2:$L$19,0)</f>
        <v>18</v>
      </c>
      <c r="N19" s="3" t="str">
        <f aca="false">IF(C19&lt;&gt;"Approved execution","Controlled exception/hold",IF(L19&gt;=75,"Tier 1",IF(L19&gt;=60,"Tier 2","Tier 3")))</f>
        <v>Controlled exception/hold</v>
      </c>
    </row>
  </sheetData>
  <sheetProtection sheet="true" sort="false" autoFilter="false" selectUnlockedCells="true"/>
  <conditionalFormatting sqref="A2:N19">
    <cfRule type="expression" priority="2" aboveAverage="0" equalAverage="0" bottom="0" percent="0" rank="0" text="" dxfId="6">
      <formula>$K2&gt;=60</formula>
    </cfRule>
    <cfRule type="expression" priority="3" aboveAverage="0" equalAverage="0" bottom="0" percent="0" rank="0" text="" dxfId="7">
      <formula>$N2="Tier 1"</formula>
    </cfRule>
  </conditionalFormatting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7" min="2" style="1" width="42"/>
    <col collapsed="false" customWidth="true" hidden="false" outlineLevel="0" max="8" min="8" style="1" width="18.8"/>
    <col collapsed="false" customWidth="true" hidden="false" outlineLevel="0" max="10" min="9" style="1" width="42"/>
    <col collapsed="false" customWidth="true" hidden="false" outlineLevel="0" max="11" min="11" style="1" width="14.33"/>
    <col collapsed="false" customWidth="true" hidden="false" outlineLevel="0" max="12" min="12" style="1" width="42"/>
  </cols>
  <sheetData>
    <row r="1" customFormat="false" ht="15" hidden="false" customHeight="true" outlineLevel="0" collapsed="false">
      <c r="A1" s="2" t="s">
        <v>74</v>
      </c>
      <c r="B1" s="2" t="s">
        <v>75</v>
      </c>
      <c r="C1" s="2" t="s">
        <v>78</v>
      </c>
      <c r="D1" s="2" t="s">
        <v>677</v>
      </c>
      <c r="E1" s="2" t="s">
        <v>678</v>
      </c>
      <c r="F1" s="2" t="s">
        <v>648</v>
      </c>
      <c r="G1" s="2" t="s">
        <v>647</v>
      </c>
      <c r="H1" s="2" t="s">
        <v>679</v>
      </c>
      <c r="I1" s="2" t="s">
        <v>680</v>
      </c>
      <c r="J1" s="2" t="s">
        <v>649</v>
      </c>
      <c r="K1" s="2" t="s">
        <v>681</v>
      </c>
      <c r="L1" s="2" t="s">
        <v>682</v>
      </c>
    </row>
    <row r="2" customFormat="false" ht="15" hidden="false" customHeight="true" outlineLevel="0" collapsed="false">
      <c r="A2" s="9" t="s">
        <v>86</v>
      </c>
      <c r="B2" s="3" t="str">
        <f aca="false">VLOOKUP(A2,Normalized_Accounts!$A$2:$Z$19,2,FALSE())</f>
        <v>Meridian Health Partners</v>
      </c>
      <c r="C2" s="3" t="str">
        <f aca="false">VLOOKUP(A2,Normalized_Accounts!$A$2:$Z$19,5,FALSE())</f>
        <v>Maya Chen</v>
      </c>
      <c r="D2" s="3" t="str">
        <f aca="false">VLOOKUP(A2,Scoring!$A$2:$N$19,14,FALSE())</f>
        <v>Tier 1</v>
      </c>
      <c r="E2" s="3" t="str">
        <f aca="false">VLOOKUP(A2,Normalized_Accounts!$A$2:$Z$19,8,FALSE())</f>
        <v>Approved execution</v>
      </c>
      <c r="F2" s="3" t="str">
        <f aca="false">VLOOKUP(A2,Raw_Approval!$A$2:$G$19,4,FALSE())</f>
        <v>Confirm makegood inventory and delivery recovery plan</v>
      </c>
      <c r="G2" s="3" t="str">
        <f aca="false">IF(VLOOKUP(A2,Normalized_Accounts!$A$2:$Z$19,21,FALSE())=0,"",VLOOKUP(A2,Normalized_Accounts!$A$2:$Z$19,21,FALSE()))</f>
        <v>MG-15</v>
      </c>
      <c r="H2" s="9" t="s">
        <v>349</v>
      </c>
      <c r="I2" s="4" t="n">
        <f aca="false">IF(E2="Approved execution",IF(D2="Tier 1",DATE(2026,7,20),IF(D2="Tier 2",DATE(2026,7,22),DATE(2026,7,24))),"")</f>
        <v>46223</v>
      </c>
      <c r="J2" s="3" t="str">
        <f aca="false">IF(VLOOKUP(A2,Normalized_Accounts!$A$2:$Z$19,25,FALSE())=0,"",VLOOKUP(A2,Normalized_Accounts!$A$2:$Z$19,25,FALSE()))</f>
        <v/>
      </c>
      <c r="K2" s="9" t="s">
        <v>181</v>
      </c>
      <c r="L2" s="7" t="str">
        <f aca="false">IF(E2="Approved execution","Ready to schedule",IF(E2="Controlled exception","Controlled exception","No sprint outreach"))</f>
        <v>Ready to schedule</v>
      </c>
    </row>
    <row r="3" customFormat="false" ht="15" hidden="false" customHeight="true" outlineLevel="0" collapsed="false">
      <c r="A3" s="9" t="s">
        <v>93</v>
      </c>
      <c r="B3" s="3" t="str">
        <f aca="false">VLOOKUP(A3,Normalized_Accounts!$A$2:$Z$19,2,FALSE())</f>
        <v>Larkspur Credit Union</v>
      </c>
      <c r="C3" s="3" t="str">
        <f aca="false">VLOOKUP(A3,Normalized_Accounts!$A$2:$Z$19,5,FALSE())</f>
        <v>Jordan Patel</v>
      </c>
      <c r="D3" s="3" t="str">
        <f aca="false">VLOOKUP(A3,Scoring!$A$2:$N$19,14,FALSE())</f>
        <v>Tier 3</v>
      </c>
      <c r="E3" s="3" t="str">
        <f aca="false">VLOOKUP(A3,Normalized_Accounts!$A$2:$Z$19,8,FALSE())</f>
        <v>Approved execution</v>
      </c>
      <c r="F3" s="3" t="str">
        <f aca="false">VLOOKUP(A3,Raw_Approval!$A$2:$G$19,4,FALSE())</f>
        <v>Deliver reconciled reporting package and executive summary</v>
      </c>
      <c r="G3" s="3" t="str">
        <f aca="false">IF(VLOOKUP(A3,Normalized_Accounts!$A$2:$Z$19,21,FALSE())=0,"",VLOOKUP(A3,Normalized_Accounts!$A$2:$Z$19,21,FALSE()))</f>
        <v>RPT-COMP</v>
      </c>
      <c r="H3" s="9" t="s">
        <v>366</v>
      </c>
      <c r="I3" s="4" t="n">
        <f aca="false">IF(E3="Approved execution",IF(D3="Tier 1",DATE(2026,7,20),IF(D3="Tier 2",DATE(2026,7,22),DATE(2026,7,24))),"")</f>
        <v>46227</v>
      </c>
      <c r="J3" s="3" t="str">
        <f aca="false">IF(VLOOKUP(A3,Normalized_Accounts!$A$2:$Z$19,25,FALSE())=0,"",VLOOKUP(A3,Normalized_Accounts!$A$2:$Z$19,25,FALSE()))</f>
        <v/>
      </c>
      <c r="K3" s="9" t="s">
        <v>198</v>
      </c>
      <c r="L3" s="7" t="str">
        <f aca="false">IF(E3="Approved execution","Ready to schedule",IF(E3="Controlled exception","Controlled exception","No sprint outreach"))</f>
        <v>Ready to schedule</v>
      </c>
    </row>
    <row r="4" customFormat="false" ht="15" hidden="false" customHeight="true" outlineLevel="0" collapsed="false">
      <c r="A4" s="9" t="s">
        <v>100</v>
      </c>
      <c r="B4" s="3" t="str">
        <f aca="false">VLOOKUP(A4,Normalized_Accounts!$A$2:$Z$19,2,FALSE())</f>
        <v>Cobalt Cloud Systems</v>
      </c>
      <c r="C4" s="3" t="str">
        <f aca="false">VLOOKUP(A4,Normalized_Accounts!$A$2:$Z$19,5,FALSE())</f>
        <v>Priya Nair</v>
      </c>
      <c r="D4" s="3" t="str">
        <f aca="false">VLOOKUP(A4,Scoring!$A$2:$N$19,14,FALSE())</f>
        <v>Tier 2</v>
      </c>
      <c r="E4" s="3" t="str">
        <f aca="false">VLOOKUP(A4,Normalized_Accounts!$A$2:$Z$19,8,FALSE())</f>
        <v>Approved execution</v>
      </c>
      <c r="F4" s="3" t="str">
        <f aca="false">VLOOKUP(A4,Raw_Approval!$A$2:$G$19,4,FALSE())</f>
        <v>Confirm verified billing credit and renewal rate hold</v>
      </c>
      <c r="G4" s="3" t="str">
        <f aca="false">IF(VLOOKUP(A4,Normalized_Accounts!$A$2:$Z$19,21,FALSE())=0,"",VLOOKUP(A4,Normalized_Accounts!$A$2:$Z$19,21,FALSE()))</f>
        <v>CR-10K</v>
      </c>
      <c r="H4" s="9" t="s">
        <v>375</v>
      </c>
      <c r="I4" s="4" t="n">
        <f aca="false">IF(E4="Approved execution",IF(D4="Tier 1",DATE(2026,7,20),IF(D4="Tier 2",DATE(2026,7,22),DATE(2026,7,24))),"")</f>
        <v>46225</v>
      </c>
      <c r="J4" s="3" t="str">
        <f aca="false">IF(VLOOKUP(A4,Normalized_Accounts!$A$2:$Z$19,25,FALSE())=0,"",VLOOKUP(A4,Normalized_Accounts!$A$2:$Z$19,25,FALSE()))</f>
        <v/>
      </c>
      <c r="K4" s="9" t="s">
        <v>203</v>
      </c>
      <c r="L4" s="7" t="str">
        <f aca="false">IF(E4="Approved execution","Ready to schedule",IF(E4="Controlled exception","Controlled exception","No sprint outreach"))</f>
        <v>Ready to schedule</v>
      </c>
    </row>
    <row r="5" customFormat="false" ht="15" hidden="false" customHeight="true" outlineLevel="0" collapsed="false">
      <c r="A5" s="9" t="s">
        <v>105</v>
      </c>
      <c r="B5" s="3" t="str">
        <f aca="false">VLOOKUP(A5,Normalized_Accounts!$A$2:$Z$19,2,FALSE())</f>
        <v>Harborview Furnishings</v>
      </c>
      <c r="C5" s="3" t="str">
        <f aca="false">VLOOKUP(A5,Normalized_Accounts!$A$2:$Z$19,5,FALSE())</f>
        <v>Luis Romero</v>
      </c>
      <c r="D5" s="3" t="str">
        <f aca="false">VLOOKUP(A5,Scoring!$A$2:$N$19,14,FALSE())</f>
        <v>Tier 3</v>
      </c>
      <c r="E5" s="3" t="str">
        <f aca="false">VLOOKUP(A5,Normalized_Accounts!$A$2:$Z$19,8,FALSE())</f>
        <v>Approved execution</v>
      </c>
      <c r="F5" s="3" t="str">
        <f aca="false">VLOOKUP(A5,Raw_Approval!$A$2:$G$19,4,FALSE())</f>
        <v>Offer equivalent package swap after trafficking confirmation</v>
      </c>
      <c r="G5" s="3" t="str">
        <f aca="false">IF(VLOOKUP(A5,Normalized_Accounts!$A$2:$Z$19,21,FALSE())=0,"",VLOOKUP(A5,Normalized_Accounts!$A$2:$Z$19,21,FALSE()))</f>
        <v>SW-PKG</v>
      </c>
      <c r="H5" s="9" t="s">
        <v>390</v>
      </c>
      <c r="I5" s="4" t="n">
        <f aca="false">IF(E5="Approved execution",IF(D5="Tier 1",DATE(2026,7,20),IF(D5="Tier 2",DATE(2026,7,22),DATE(2026,7,24))),"")</f>
        <v>46227</v>
      </c>
      <c r="J5" s="3" t="str">
        <f aca="false">IF(VLOOKUP(A5,Normalized_Accounts!$A$2:$Z$19,25,FALSE())=0,"",VLOOKUP(A5,Normalized_Accounts!$A$2:$Z$19,25,FALSE()))</f>
        <v/>
      </c>
      <c r="K5" s="9" t="s">
        <v>218</v>
      </c>
      <c r="L5" s="7" t="str">
        <f aca="false">IF(E5="Approved execution","Ready to schedule",IF(E5="Controlled exception","Controlled exception","No sprint outreach"))</f>
        <v>Ready to schedule</v>
      </c>
    </row>
    <row r="6" customFormat="false" ht="15" hidden="false" customHeight="true" outlineLevel="0" collapsed="false">
      <c r="A6" s="9" t="s">
        <v>110</v>
      </c>
      <c r="B6" s="3" t="str">
        <f aca="false">VLOOKUP(A6,Normalized_Accounts!$A$2:$Z$19,2,FALSE())</f>
        <v>Axion Robotics</v>
      </c>
      <c r="C6" s="3" t="str">
        <f aca="false">VLOOKUP(A6,Normalized_Accounts!$A$2:$Z$19,5,FALSE())</f>
        <v>Devon Brooks</v>
      </c>
      <c r="D6" s="3" t="str">
        <f aca="false">VLOOKUP(A6,Scoring!$A$2:$N$19,14,FALSE())</f>
        <v>Tier 1</v>
      </c>
      <c r="E6" s="3" t="str">
        <f aca="false">VLOOKUP(A6,Normalized_Accounts!$A$2:$Z$19,8,FALSE())</f>
        <v>Approved execution</v>
      </c>
      <c r="F6" s="3" t="str">
        <f aca="false">VLOOKUP(A6,Raw_Approval!$A$2:$G$19,4,FALSE())</f>
        <v>Swap misaligned audience package and reset delivery proof</v>
      </c>
      <c r="G6" s="3" t="str">
        <f aca="false">IF(VLOOKUP(A6,Normalized_Accounts!$A$2:$Z$19,21,FALSE())=0,"",VLOOKUP(A6,Normalized_Accounts!$A$2:$Z$19,21,FALSE()))</f>
        <v>SW-PKG</v>
      </c>
      <c r="H6" s="9" t="s">
        <v>397</v>
      </c>
      <c r="I6" s="4" t="n">
        <f aca="false">IF(E6="Approved execution",IF(D6="Tier 1",DATE(2026,7,20),IF(D6="Tier 2",DATE(2026,7,22),DATE(2026,7,24))),"")</f>
        <v>46223</v>
      </c>
      <c r="J6" s="3" t="str">
        <f aca="false">IF(VLOOKUP(A6,Normalized_Accounts!$A$2:$Z$19,25,FALSE())=0,"",VLOOKUP(A6,Normalized_Accounts!$A$2:$Z$19,25,FALSE()))</f>
        <v/>
      </c>
      <c r="K6" s="9" t="s">
        <v>224</v>
      </c>
      <c r="L6" s="7" t="str">
        <f aca="false">IF(E6="Approved execution","Ready to schedule",IF(E6="Controlled exception","Controlled exception","No sprint outreach"))</f>
        <v>Ready to schedule</v>
      </c>
    </row>
    <row r="7" customFormat="false" ht="15" hidden="false" customHeight="true" outlineLevel="0" collapsed="false">
      <c r="A7" s="9" t="s">
        <v>115</v>
      </c>
      <c r="B7" s="3" t="str">
        <f aca="false">VLOOKUP(A7,Normalized_Accounts!$A$2:$Z$19,2,FALSE())</f>
        <v>Greenway Kitchens</v>
      </c>
      <c r="C7" s="3" t="str">
        <f aca="false">VLOOKUP(A7,Normalized_Accounts!$A$2:$Z$19,5,FALSE())</f>
        <v>Maya Chen</v>
      </c>
      <c r="D7" s="3" t="str">
        <f aca="false">VLOOKUP(A7,Scoring!$A$2:$N$19,14,FALSE())</f>
        <v>Tier 3</v>
      </c>
      <c r="E7" s="3" t="str">
        <f aca="false">VLOOKUP(A7,Normalized_Accounts!$A$2:$Z$19,8,FALSE())</f>
        <v>Approved execution</v>
      </c>
      <c r="F7" s="3" t="str">
        <f aca="false">VLOOKUP(A7,Raw_Approval!$A$2:$G$19,4,FALSE())</f>
        <v>Confirm verified invoice credit and corrected bill date</v>
      </c>
      <c r="G7" s="3" t="str">
        <f aca="false">IF(VLOOKUP(A7,Normalized_Accounts!$A$2:$Z$19,21,FALSE())=0,"",VLOOKUP(A7,Normalized_Accounts!$A$2:$Z$19,21,FALSE()))</f>
        <v>CR-10K</v>
      </c>
      <c r="H7" s="9" t="s">
        <v>405</v>
      </c>
      <c r="I7" s="4" t="n">
        <f aca="false">IF(E7="Approved execution",IF(D7="Tier 1",DATE(2026,7,20),IF(D7="Tier 2",DATE(2026,7,22),DATE(2026,7,24))),"")</f>
        <v>46227</v>
      </c>
      <c r="J7" s="3" t="str">
        <f aca="false">IF(VLOOKUP(A7,Normalized_Accounts!$A$2:$Z$19,25,FALSE())=0,"",VLOOKUP(A7,Normalized_Accounts!$A$2:$Z$19,25,FALSE()))</f>
        <v/>
      </c>
      <c r="K7" s="9" t="s">
        <v>236</v>
      </c>
      <c r="L7" s="7" t="str">
        <f aca="false">IF(E7="Approved execution","Ready to schedule",IF(E7="Controlled exception","Controlled exception","No sprint outreach"))</f>
        <v>Ready to schedule</v>
      </c>
    </row>
    <row r="8" customFormat="false" ht="15" hidden="false" customHeight="true" outlineLevel="0" collapsed="false">
      <c r="A8" s="9" t="s">
        <v>120</v>
      </c>
      <c r="B8" s="3" t="str">
        <f aca="false">VLOOKUP(A8,Normalized_Accounts!$A$2:$Z$19,2,FALSE())</f>
        <v>Northline Insurance</v>
      </c>
      <c r="C8" s="3" t="str">
        <f aca="false">VLOOKUP(A8,Normalized_Accounts!$A$2:$Z$19,5,FALSE())</f>
        <v>Jordan Patel</v>
      </c>
      <c r="D8" s="3" t="str">
        <f aca="false">VLOOKUP(A8,Scoring!$A$2:$N$19,14,FALSE())</f>
        <v>Tier 2</v>
      </c>
      <c r="E8" s="3" t="str">
        <f aca="false">VLOOKUP(A8,Normalized_Accounts!$A$2:$Z$19,8,FALSE())</f>
        <v>Approved execution</v>
      </c>
      <c r="F8" s="3" t="str">
        <f aca="false">VLOOKUP(A8,Raw_Approval!$A$2:$G$19,4,FALSE())</f>
        <v>Confirm makegood placement and revised delivery dates</v>
      </c>
      <c r="G8" s="3" t="str">
        <f aca="false">IF(VLOOKUP(A8,Normalized_Accounts!$A$2:$Z$19,21,FALSE())=0,"",VLOOKUP(A8,Normalized_Accounts!$A$2:$Z$19,21,FALSE()))</f>
        <v>MG-15</v>
      </c>
      <c r="H8" s="9" t="s">
        <v>413</v>
      </c>
      <c r="I8" s="4" t="n">
        <f aca="false">IF(E8="Approved execution",IF(D8="Tier 1",DATE(2026,7,20),IF(D8="Tier 2",DATE(2026,7,22),DATE(2026,7,24))),"")</f>
        <v>46225</v>
      </c>
      <c r="J8" s="3" t="str">
        <f aca="false">IF(VLOOKUP(A8,Normalized_Accounts!$A$2:$Z$19,25,FALSE())=0,"",VLOOKUP(A8,Normalized_Accounts!$A$2:$Z$19,25,FALSE()))</f>
        <v/>
      </c>
      <c r="K8" s="9" t="s">
        <v>241</v>
      </c>
      <c r="L8" s="7" t="str">
        <f aca="false">IF(E8="Approved execution","Ready to schedule",IF(E8="Controlled exception","Controlled exception","No sprint outreach"))</f>
        <v>Ready to schedule</v>
      </c>
    </row>
    <row r="9" customFormat="false" ht="15" hidden="false" customHeight="true" outlineLevel="0" collapsed="false">
      <c r="A9" s="9" t="s">
        <v>123</v>
      </c>
      <c r="B9" s="3" t="str">
        <f aca="false">VLOOKUP(A9,Normalized_Accounts!$A$2:$Z$19,2,FALSE())</f>
        <v>Veridian Charter Schools</v>
      </c>
      <c r="C9" s="3" t="str">
        <f aca="false">VLOOKUP(A9,Normalized_Accounts!$A$2:$Z$19,5,FALSE())</f>
        <v>Priya Nair</v>
      </c>
      <c r="D9" s="3" t="str">
        <f aca="false">VLOOKUP(A9,Scoring!$A$2:$N$19,14,FALSE())</f>
        <v>Tier 3</v>
      </c>
      <c r="E9" s="3" t="str">
        <f aca="false">VLOOKUP(A9,Normalized_Accounts!$A$2:$Z$19,8,FALSE())</f>
        <v>Approved execution</v>
      </c>
      <c r="F9" s="3" t="str">
        <f aca="false">VLOOKUP(A9,Raw_Approval!$A$2:$G$19,4,FALSE())</f>
        <v>Send reconciled district reach report and renewal summary</v>
      </c>
      <c r="G9" s="3" t="str">
        <f aca="false">IF(VLOOKUP(A9,Normalized_Accounts!$A$2:$Z$19,21,FALSE())=0,"",VLOOKUP(A9,Normalized_Accounts!$A$2:$Z$19,21,FALSE()))</f>
        <v>RPT-COMP</v>
      </c>
      <c r="H9" s="9" t="s">
        <v>418</v>
      </c>
      <c r="I9" s="4" t="n">
        <f aca="false">IF(E9="Approved execution",IF(D9="Tier 1",DATE(2026,7,20),IF(D9="Tier 2",DATE(2026,7,22),DATE(2026,7,24))),"")</f>
        <v>46227</v>
      </c>
      <c r="J9" s="3" t="str">
        <f aca="false">IF(VLOOKUP(A9,Normalized_Accounts!$A$2:$Z$19,25,FALSE())=0,"",VLOOKUP(A9,Normalized_Accounts!$A$2:$Z$19,25,FALSE()))</f>
        <v/>
      </c>
      <c r="K9" s="9" t="s">
        <v>246</v>
      </c>
      <c r="L9" s="7" t="str">
        <f aca="false">IF(E9="Approved execution","Ready to schedule",IF(E9="Controlled exception","Controlled exception","No sprint outreach"))</f>
        <v>Ready to schedule</v>
      </c>
    </row>
    <row r="10" customFormat="false" ht="15" hidden="false" customHeight="true" outlineLevel="0" collapsed="false">
      <c r="A10" s="9" t="s">
        <v>127</v>
      </c>
      <c r="B10" s="3" t="str">
        <f aca="false">VLOOKUP(A10,Normalized_Accounts!$A$2:$Z$19,2,FALSE())</f>
        <v>Copper Trail Hospitality</v>
      </c>
      <c r="C10" s="3" t="str">
        <f aca="false">VLOOKUP(A10,Normalized_Accounts!$A$2:$Z$19,5,FALSE())</f>
        <v>Luis Romero</v>
      </c>
      <c r="D10" s="3" t="str">
        <f aca="false">VLOOKUP(A10,Scoring!$A$2:$N$19,14,FALSE())</f>
        <v>Tier 2</v>
      </c>
      <c r="E10" s="3" t="str">
        <f aca="false">VLOOKUP(A10,Normalized_Accounts!$A$2:$Z$19,8,FALSE())</f>
        <v>Approved execution</v>
      </c>
      <c r="F10" s="3" t="str">
        <f aca="false">VLOOKUP(A10,Raw_Approval!$A$2:$G$19,4,FALSE())</f>
        <v>Confirm package swap and creative approval timeline</v>
      </c>
      <c r="G10" s="3" t="str">
        <f aca="false">IF(VLOOKUP(A10,Normalized_Accounts!$A$2:$Z$19,21,FALSE())=0,"",VLOOKUP(A10,Normalized_Accounts!$A$2:$Z$19,21,FALSE()))</f>
        <v>SW-PKG</v>
      </c>
      <c r="H10" s="9" t="s">
        <v>427</v>
      </c>
      <c r="I10" s="4" t="n">
        <f aca="false">IF(E10="Approved execution",IF(D10="Tier 1",DATE(2026,7,20),IF(D10="Tier 2",DATE(2026,7,22),DATE(2026,7,24))),"")</f>
        <v>46225</v>
      </c>
      <c r="J10" s="3" t="str">
        <f aca="false">IF(VLOOKUP(A10,Normalized_Accounts!$A$2:$Z$19,25,FALSE())=0,"",VLOOKUP(A10,Normalized_Accounts!$A$2:$Z$19,25,FALSE()))</f>
        <v/>
      </c>
      <c r="K10" s="9" t="s">
        <v>251</v>
      </c>
      <c r="L10" s="7" t="str">
        <f aca="false">IF(E10="Approved execution","Ready to schedule",IF(E10="Controlled exception","Controlled exception","No sprint outreach"))</f>
        <v>Ready to schedule</v>
      </c>
    </row>
    <row r="11" customFormat="false" ht="15" hidden="false" customHeight="true" outlineLevel="0" collapsed="false">
      <c r="A11" s="9" t="s">
        <v>131</v>
      </c>
      <c r="B11" s="3" t="str">
        <f aca="false">VLOOKUP(A11,Normalized_Accounts!$A$2:$Z$19,2,FALSE())</f>
        <v>Finch Legal Group</v>
      </c>
      <c r="C11" s="3" t="str">
        <f aca="false">VLOOKUP(A11,Normalized_Accounts!$A$2:$Z$19,5,FALSE())</f>
        <v>Devon Brooks</v>
      </c>
      <c r="D11" s="3" t="str">
        <f aca="false">VLOOKUP(A11,Scoring!$A$2:$N$19,14,FALSE())</f>
        <v>Tier 3</v>
      </c>
      <c r="E11" s="3" t="str">
        <f aca="false">VLOOKUP(A11,Normalized_Accounts!$A$2:$Z$19,8,FALSE())</f>
        <v>Approved execution</v>
      </c>
      <c r="F11" s="3" t="str">
        <f aca="false">VLOOKUP(A11,Raw_Approval!$A$2:$G$19,4,FALSE())</f>
        <v>Offer 60-day rate hold without additional credit</v>
      </c>
      <c r="G11" s="3" t="str">
        <f aca="false">IF(VLOOKUP(A11,Normalized_Accounts!$A$2:$Z$19,21,FALSE())=0,"",VLOOKUP(A11,Normalized_Accounts!$A$2:$Z$19,21,FALSE()))</f>
        <v>RH-60</v>
      </c>
      <c r="H11" s="9" t="s">
        <v>435</v>
      </c>
      <c r="I11" s="4" t="n">
        <f aca="false">IF(E11="Approved execution",IF(D11="Tier 1",DATE(2026,7,20),IF(D11="Tier 2",DATE(2026,7,22),DATE(2026,7,24))),"")</f>
        <v>46227</v>
      </c>
      <c r="J11" s="3" t="str">
        <f aca="false">IF(VLOOKUP(A11,Normalized_Accounts!$A$2:$Z$19,25,FALSE())=0,"",VLOOKUP(A11,Normalized_Accounts!$A$2:$Z$19,25,FALSE()))</f>
        <v/>
      </c>
      <c r="K11" s="9" t="s">
        <v>256</v>
      </c>
      <c r="L11" s="7" t="str">
        <f aca="false">IF(E11="Approved execution","Ready to schedule",IF(E11="Controlled exception","Controlled exception","No sprint outreach"))</f>
        <v>Ready to schedule</v>
      </c>
    </row>
    <row r="12" customFormat="false" ht="15" hidden="false" customHeight="true" outlineLevel="0" collapsed="false">
      <c r="A12" s="9" t="s">
        <v>135</v>
      </c>
      <c r="B12" s="3" t="str">
        <f aca="false">VLOOKUP(A12,Normalized_Accounts!$A$2:$Z$19,2,FALSE())</f>
        <v>Solstice Energy Co-op</v>
      </c>
      <c r="C12" s="3" t="str">
        <f aca="false">VLOOKUP(A12,Normalized_Accounts!$A$2:$Z$19,5,FALSE())</f>
        <v>Maya Chen</v>
      </c>
      <c r="D12" s="3" t="str">
        <f aca="false">VLOOKUP(A12,Scoring!$A$2:$N$19,14,FALSE())</f>
        <v>Tier 3</v>
      </c>
      <c r="E12" s="3" t="str">
        <f aca="false">VLOOKUP(A12,Normalized_Accounts!$A$2:$Z$19,8,FALSE())</f>
        <v>Approved execution</v>
      </c>
      <c r="F12" s="3" t="str">
        <f aca="false">VLOOKUP(A12,Raw_Approval!$A$2:$G$19,4,FALSE())</f>
        <v>Send corrected lift summary and renewal confidence note</v>
      </c>
      <c r="G12" s="3" t="str">
        <f aca="false">IF(VLOOKUP(A12,Normalized_Accounts!$A$2:$Z$19,21,FALSE())=0,"",VLOOKUP(A12,Normalized_Accounts!$A$2:$Z$19,21,FALSE()))</f>
        <v>RPT-COMP</v>
      </c>
      <c r="H12" s="9" t="s">
        <v>443</v>
      </c>
      <c r="I12" s="4" t="n">
        <f aca="false">IF(E12="Approved execution",IF(D12="Tier 1",DATE(2026,7,20),IF(D12="Tier 2",DATE(2026,7,22),DATE(2026,7,24))),"")</f>
        <v>46227</v>
      </c>
      <c r="J12" s="3" t="str">
        <f aca="false">IF(VLOOKUP(A12,Normalized_Accounts!$A$2:$Z$19,25,FALSE())=0,"",VLOOKUP(A12,Normalized_Accounts!$A$2:$Z$19,25,FALSE()))</f>
        <v/>
      </c>
      <c r="K12" s="9" t="s">
        <v>262</v>
      </c>
      <c r="L12" s="7" t="str">
        <f aca="false">IF(E12="Approved execution","Ready to schedule",IF(E12="Controlled exception","Controlled exception","No sprint outreach"))</f>
        <v>Ready to schedule</v>
      </c>
    </row>
    <row r="13" customFormat="false" ht="15" hidden="false" customHeight="true" outlineLevel="0" collapsed="false">
      <c r="A13" s="9" t="s">
        <v>138</v>
      </c>
      <c r="B13" s="3" t="str">
        <f aca="false">VLOOKUP(A13,Normalized_Accounts!$A$2:$Z$19,2,FALSE())</f>
        <v>Vesta Apparel Collective</v>
      </c>
      <c r="C13" s="3" t="str">
        <f aca="false">VLOOKUP(A13,Normalized_Accounts!$A$2:$Z$19,5,FALSE())</f>
        <v>Jordan Patel</v>
      </c>
      <c r="D13" s="3" t="str">
        <f aca="false">VLOOKUP(A13,Scoring!$A$2:$N$19,14,FALSE())</f>
        <v>Tier 2</v>
      </c>
      <c r="E13" s="3" t="str">
        <f aca="false">VLOOKUP(A13,Normalized_Accounts!$A$2:$Z$19,8,FALSE())</f>
        <v>Approved execution</v>
      </c>
      <c r="F13" s="3" t="str">
        <f aca="false">VLOOKUP(A13,Raw_Approval!$A$2:$G$19,4,FALSE())</f>
        <v>Confirm makegood placement and invoice correction route</v>
      </c>
      <c r="G13" s="3" t="str">
        <f aca="false">IF(VLOOKUP(A13,Normalized_Accounts!$A$2:$Z$19,21,FALSE())=0,"",VLOOKUP(A13,Normalized_Accounts!$A$2:$Z$19,21,FALSE()))</f>
        <v>MG-15</v>
      </c>
      <c r="H13" s="9" t="s">
        <v>449</v>
      </c>
      <c r="I13" s="4" t="n">
        <f aca="false">IF(E13="Approved execution",IF(D13="Tier 1",DATE(2026,7,20),IF(D13="Tier 2",DATE(2026,7,22),DATE(2026,7,24))),"")</f>
        <v>46225</v>
      </c>
      <c r="J13" s="3" t="str">
        <f aca="false">IF(VLOOKUP(A13,Normalized_Accounts!$A$2:$Z$19,25,FALSE())=0,"",VLOOKUP(A13,Normalized_Accounts!$A$2:$Z$19,25,FALSE()))</f>
        <v/>
      </c>
      <c r="K13" s="9" t="s">
        <v>267</v>
      </c>
      <c r="L13" s="7" t="str">
        <f aca="false">IF(E13="Approved execution","Ready to schedule",IF(E13="Controlled exception","Controlled exception","No sprint outreach"))</f>
        <v>Ready to schedule</v>
      </c>
    </row>
    <row r="14" customFormat="false" ht="15" hidden="false" customHeight="true" outlineLevel="0" collapsed="false">
      <c r="A14" s="9" t="s">
        <v>141</v>
      </c>
      <c r="B14" s="3" t="str">
        <f aca="false">VLOOKUP(A14,Normalized_Accounts!$A$2:$Z$19,2,FALSE())</f>
        <v>BrightPath Dental Alliance</v>
      </c>
      <c r="C14" s="3" t="str">
        <f aca="false">VLOOKUP(A14,Normalized_Accounts!$A$2:$Z$19,5,FALSE())</f>
        <v>Priya Nair</v>
      </c>
      <c r="D14" s="3" t="str">
        <f aca="false">VLOOKUP(A14,Scoring!$A$2:$N$19,14,FALSE())</f>
        <v>Controlled exception/hold</v>
      </c>
      <c r="E14" s="3" t="str">
        <f aca="false">VLOOKUP(A14,Normalized_Accounts!$A$2:$Z$19,8,FALSE())</f>
        <v>Controlled exception</v>
      </c>
      <c r="F14" s="3" t="str">
        <f aca="false">VLOOKUP(A14,Raw_Approval!$A$2:$G$19,4,FALSE())</f>
        <v>Hold customer-facing offer until decision-maker route is approved</v>
      </c>
      <c r="G14" s="3" t="str">
        <f aca="false">IF(VLOOKUP(A14,Normalized_Accounts!$A$2:$Z$19,21,FALSE())=0,"",VLOOKUP(A14,Normalized_Accounts!$A$2:$Z$19,21,FALSE()))</f>
        <v>MG-15</v>
      </c>
      <c r="H14" s="9" t="s">
        <v>457</v>
      </c>
      <c r="I14" s="4" t="str">
        <f aca="false">IF(E14="Approved execution",IF(D14="Tier 1",DATE(2026,7,20),IF(D14="Tier 2",DATE(2026,7,22),DATE(2026,7,24))),"")</f>
        <v/>
      </c>
      <c r="J14" s="3" t="str">
        <f aca="false">IF(VLOOKUP(A14,Normalized_Accounts!$A$2:$Z$19,25,FALSE())=0,"",VLOOKUP(A14,Normalized_Accounts!$A$2:$Z$19,25,FALSE()))</f>
        <v>Decision-maker outreach permission pending</v>
      </c>
      <c r="K14" s="9" t="s">
        <v>275</v>
      </c>
      <c r="L14" s="7" t="str">
        <f aca="false">IF(E14="Approved execution","Ready to schedule",IF(E14="Controlled exception","Controlled exception","No sprint outreach"))</f>
        <v>Controlled exception</v>
      </c>
    </row>
    <row r="15" customFormat="false" ht="15" hidden="false" customHeight="true" outlineLevel="0" collapsed="false">
      <c r="A15" s="9" t="s">
        <v>144</v>
      </c>
      <c r="B15" s="3" t="str">
        <f aca="false">VLOOKUP(A15,Normalized_Accounts!$A$2:$Z$19,2,FALSE())</f>
        <v>SummitBank SMB Services</v>
      </c>
      <c r="C15" s="3" t="str">
        <f aca="false">VLOOKUP(A15,Normalized_Accounts!$A$2:$Z$19,5,FALSE())</f>
        <v>Luis Romero</v>
      </c>
      <c r="D15" s="3" t="str">
        <f aca="false">VLOOKUP(A15,Scoring!$A$2:$N$19,14,FALSE())</f>
        <v>Controlled exception/hold</v>
      </c>
      <c r="E15" s="3" t="str">
        <f aca="false">VLOOKUP(A15,Normalized_Accounts!$A$2:$Z$19,8,FALSE())</f>
        <v>Controlled exception</v>
      </c>
      <c r="F15" s="3" t="str">
        <f aca="false">VLOOKUP(A15,Raw_Approval!$A$2:$G$19,4,FALSE())</f>
        <v>Route credit request to manager; do not promise local credit</v>
      </c>
      <c r="G15" s="3" t="str">
        <f aca="false">IF(VLOOKUP(A15,Normalized_Accounts!$A$2:$Z$19,21,FALSE())=0,"",VLOOKUP(A15,Normalized_Accounts!$A$2:$Z$19,21,FALSE()))</f>
        <v>MGR-REQ</v>
      </c>
      <c r="H15" s="9" t="s">
        <v>466</v>
      </c>
      <c r="I15" s="4" t="str">
        <f aca="false">IF(E15="Approved execution",IF(D15="Tier 1",DATE(2026,7,20),IF(D15="Tier 2",DATE(2026,7,22),DATE(2026,7,24))),"")</f>
        <v/>
      </c>
      <c r="J15" s="3" t="str">
        <f aca="false">IF(VLOOKUP(A15,Normalized_Accounts!$A$2:$Z$19,25,FALSE())=0,"",VLOOKUP(A15,Normalized_Accounts!$A$2:$Z$19,25,FALSE()))</f>
        <v>Requested credit is above supervisor authority</v>
      </c>
      <c r="K15" s="9" t="s">
        <v>280</v>
      </c>
      <c r="L15" s="7" t="str">
        <f aca="false">IF(E15="Approved execution","Ready to schedule",IF(E15="Controlled exception","Controlled exception","No sprint outreach"))</f>
        <v>Controlled exception</v>
      </c>
    </row>
    <row r="16" customFormat="false" ht="15" hidden="false" customHeight="true" outlineLevel="0" collapsed="false">
      <c r="A16" s="9" t="s">
        <v>147</v>
      </c>
      <c r="B16" s="3" t="str">
        <f aca="false">VLOOKUP(A16,Normalized_Accounts!$A$2:$Z$19,2,FALSE())</f>
        <v>Mesa Tool Supply</v>
      </c>
      <c r="C16" s="3" t="str">
        <f aca="false">VLOOKUP(A16,Normalized_Accounts!$A$2:$Z$19,5,FALSE())</f>
        <v>Devon Brooks</v>
      </c>
      <c r="D16" s="3" t="str">
        <f aca="false">VLOOKUP(A16,Scoring!$A$2:$N$19,14,FALSE())</f>
        <v>Controlled exception/hold</v>
      </c>
      <c r="E16" s="3" t="str">
        <f aca="false">VLOOKUP(A16,Normalized_Accounts!$A$2:$Z$19,8,FALSE())</f>
        <v>Controlled exception</v>
      </c>
      <c r="F16" s="3" t="str">
        <f aca="false">VLOOKUP(A16,Raw_Approval!$A$2:$G$19,4,FALSE())</f>
        <v>Wait for product feed fix before customer offer</v>
      </c>
      <c r="G16" s="3" t="str">
        <f aca="false">IF(VLOOKUP(A16,Normalized_Accounts!$A$2:$Z$19,21,FALSE())=0,"",VLOOKUP(A16,Normalized_Accounts!$A$2:$Z$19,21,FALSE()))</f>
        <v>SW-PKG</v>
      </c>
      <c r="H16" s="9" t="s">
        <v>473</v>
      </c>
      <c r="I16" s="4" t="str">
        <f aca="false">IF(E16="Approved execution",IF(D16="Tier 1",DATE(2026,7,20),IF(D16="Tier 2",DATE(2026,7,22),DATE(2026,7,24))),"")</f>
        <v/>
      </c>
      <c r="J16" s="3" t="str">
        <f aca="false">IF(VLOOKUP(A16,Normalized_Accounts!$A$2:$Z$19,25,FALSE())=0,"",VLOOKUP(A16,Normalized_Accounts!$A$2:$Z$19,25,FALSE()))</f>
        <v>Ad-ops blocker not cleared</v>
      </c>
      <c r="K16" s="9" t="s">
        <v>285</v>
      </c>
      <c r="L16" s="7" t="str">
        <f aca="false">IF(E16="Approved execution","Ready to schedule",IF(E16="Controlled exception","Controlled exception","No sprint outreach"))</f>
        <v>Controlled exception</v>
      </c>
    </row>
    <row r="17" customFormat="false" ht="15" hidden="false" customHeight="true" outlineLevel="0" collapsed="false">
      <c r="A17" s="9" t="s">
        <v>150</v>
      </c>
      <c r="B17" s="3" t="str">
        <f aca="false">VLOOKUP(A17,Normalized_Accounts!$A$2:$Z$19,2,FALSE())</f>
        <v>Riverstone Fitness</v>
      </c>
      <c r="C17" s="3" t="str">
        <f aca="false">VLOOKUP(A17,Normalized_Accounts!$A$2:$Z$19,5,FALSE())</f>
        <v>Maya Chen</v>
      </c>
      <c r="D17" s="3" t="str">
        <f aca="false">VLOOKUP(A17,Scoring!$A$2:$N$19,14,FALSE())</f>
        <v>Controlled exception/hold</v>
      </c>
      <c r="E17" s="3" t="str">
        <f aca="false">VLOOKUP(A17,Normalized_Accounts!$A$2:$Z$19,8,FALSE())</f>
        <v>Excluded - no action</v>
      </c>
      <c r="F17" s="3" t="str">
        <f aca="false">VLOOKUP(A17,Raw_Approval!$A$2:$G$19,4,FALSE())</f>
        <v>No sprint action; keep closure note</v>
      </c>
      <c r="G17" s="3" t="str">
        <f aca="false">IF(VLOOKUP(A17,Normalized_Accounts!$A$2:$Z$19,21,FALSE())=0,"",VLOOKUP(A17,Normalized_Accounts!$A$2:$Z$19,21,FALSE()))</f>
        <v/>
      </c>
      <c r="H17" s="9" t="s">
        <v>478</v>
      </c>
      <c r="I17" s="4" t="str">
        <f aca="false">IF(E17="Approved execution",IF(D17="Tier 1",DATE(2026,7,20),IF(D17="Tier 2",DATE(2026,7,22),DATE(2026,7,24))),"")</f>
        <v/>
      </c>
      <c r="J17" s="3" t="str">
        <f aca="false">IF(VLOOKUP(A17,Normalized_Accounts!$A$2:$Z$19,25,FALSE())=0,"",VLOOKUP(A17,Normalized_Accounts!$A$2:$Z$19,25,FALSE()))</f>
        <v>Closed renewal</v>
      </c>
      <c r="K17" s="9" t="s">
        <v>291</v>
      </c>
      <c r="L17" s="7" t="str">
        <f aca="false">IF(E17="Approved execution","Ready to schedule",IF(E17="Controlled exception","Controlled exception","No sprint outreach"))</f>
        <v>No sprint outreach</v>
      </c>
    </row>
    <row r="18" customFormat="false" ht="15" hidden="false" customHeight="true" outlineLevel="0" collapsed="false">
      <c r="A18" s="9" t="s">
        <v>156</v>
      </c>
      <c r="B18" s="3" t="str">
        <f aca="false">VLOOKUP(A18,Normalized_Accounts!$A$2:$Z$19,2,FALSE())</f>
        <v>Atlas BioLabs</v>
      </c>
      <c r="C18" s="3" t="str">
        <f aca="false">VLOOKUP(A18,Normalized_Accounts!$A$2:$Z$19,5,FALSE())</f>
        <v>Jordan Patel</v>
      </c>
      <c r="D18" s="3" t="str">
        <f aca="false">VLOOKUP(A18,Scoring!$A$2:$N$19,14,FALSE())</f>
        <v>Controlled exception/hold</v>
      </c>
      <c r="E18" s="3" t="str">
        <f aca="false">VLOOKUP(A18,Normalized_Accounts!$A$2:$Z$19,8,FALSE())</f>
        <v>Controlled exception</v>
      </c>
      <c r="F18" s="3" t="str">
        <f aca="false">VLOOKUP(A18,Raw_Approval!$A$2:$G$19,4,FALSE())</f>
        <v>Escalate to manager and legal owner; no rep commitment</v>
      </c>
      <c r="G18" s="3" t="str">
        <f aca="false">IF(VLOOKUP(A18,Normalized_Accounts!$A$2:$Z$19,21,FALSE())=0,"",VLOOKUP(A18,Normalized_Accounts!$A$2:$Z$19,21,FALSE()))</f>
        <v>MGR-REQ</v>
      </c>
      <c r="H18" s="9" t="s">
        <v>485</v>
      </c>
      <c r="I18" s="4" t="str">
        <f aca="false">IF(E18="Approved execution",IF(D18="Tier 1",DATE(2026,7,20),IF(D18="Tier 2",DATE(2026,7,22),DATE(2026,7,24))),"")</f>
        <v/>
      </c>
      <c r="J18" s="3" t="str">
        <f aca="false">IF(VLOOKUP(A18,Normalized_Accounts!$A$2:$Z$19,25,FALSE())=0,"",VLOOKUP(A18,Normalized_Accounts!$A$2:$Z$19,25,FALSE()))</f>
        <v>Contract terms outside local authority</v>
      </c>
      <c r="K18" s="9" t="s">
        <v>296</v>
      </c>
      <c r="L18" s="7" t="str">
        <f aca="false">IF(E18="Approved execution","Ready to schedule",IF(E18="Controlled exception","Controlled exception","No sprint outreach"))</f>
        <v>Controlled exception</v>
      </c>
    </row>
    <row r="19" customFormat="false" ht="15" hidden="false" customHeight="true" outlineLevel="0" collapsed="false">
      <c r="A19" s="9" t="s">
        <v>160</v>
      </c>
      <c r="B19" s="3" t="str">
        <f aca="false">VLOOKUP(A19,Normalized_Accounts!$A$2:$Z$19,2,FALSE())</f>
        <v>Pinyon Outdoor Media Buyers</v>
      </c>
      <c r="C19" s="3" t="str">
        <f aca="false">VLOOKUP(A19,Normalized_Accounts!$A$2:$Z$19,5,FALSE())</f>
        <v>Priya Nair</v>
      </c>
      <c r="D19" s="3" t="str">
        <f aca="false">VLOOKUP(A19,Scoring!$A$2:$N$19,14,FALSE())</f>
        <v>Controlled exception/hold</v>
      </c>
      <c r="E19" s="3" t="str">
        <f aca="false">VLOOKUP(A19,Normalized_Accounts!$A$2:$Z$19,8,FALSE())</f>
        <v>Excluded - no action</v>
      </c>
      <c r="F19" s="3" t="str">
        <f aca="false">VLOOKUP(A19,Raw_Approval!$A$2:$G$19,4,FALSE())</f>
        <v>Hold for September agency review</v>
      </c>
      <c r="G19" s="3" t="str">
        <f aca="false">IF(VLOOKUP(A19,Normalized_Accounts!$A$2:$Z$19,21,FALSE())=0,"",VLOOKUP(A19,Normalized_Accounts!$A$2:$Z$19,21,FALSE()))</f>
        <v/>
      </c>
      <c r="H19" s="9" t="s">
        <v>493</v>
      </c>
      <c r="I19" s="4" t="str">
        <f aca="false">IF(E19="Approved execution",IF(D19="Tier 1",DATE(2026,7,20),IF(D19="Tier 2",DATE(2026,7,22),DATE(2026,7,24))),"")</f>
        <v/>
      </c>
      <c r="J19" s="3" t="str">
        <f aca="false">IF(VLOOKUP(A19,Normalized_Accounts!$A$2:$Z$19,25,FALSE())=0,"",VLOOKUP(A19,Normalized_Accounts!$A$2:$Z$19,25,FALSE()))</f>
        <v>Customer requested September review</v>
      </c>
      <c r="K19" s="9" t="s">
        <v>307</v>
      </c>
      <c r="L19" s="7" t="str">
        <f aca="false">IF(E19="Approved execution","Ready to schedule",IF(E19="Controlled exception","Controlled exception","No sprint outreach"))</f>
        <v>No sprint outreach</v>
      </c>
    </row>
  </sheetData>
  <sheetProtection sheet="true" sort="false" autoFilter="false" selectUnlockedCells="true"/>
  <conditionalFormatting sqref="A2:L19">
    <cfRule type="expression" priority="2" aboveAverage="0" equalAverage="0" bottom="0" percent="0" rank="0" text="" dxfId="5">
      <formula>$E2="Controlled exception"</formula>
    </cfRule>
    <cfRule type="expression" priority="3" aboveAverage="0" equalAverage="0" bottom="0" percent="0" rank="0" text="" dxfId="5">
      <formula>$D2="Controlled exception/hold"</formula>
    </cfRule>
    <cfRule type="expression" priority="4" aboveAverage="0" equalAverage="0" bottom="0" percent="0" rank="0" text="" dxfId="3">
      <formula>$I2&lt;TODAY()</formula>
    </cfRule>
  </conditionalFormatting>
  <dataValidations count="5">
    <dataValidation allowBlank="true" error="Choose a controlled value from the approved list." errorStyle="stop" errorTitle="Controlled value required" operator="between" prompt="Priority tier values are controlled by the approved scoring model." promptTitle="Approved values" showDropDown="false" showErrorMessage="false" showInputMessage="false" sqref="D2:D100" type="list">
      <formula1>PriorityTierList</formula1>
      <formula2>0</formula2>
    </dataValidation>
    <dataValidation allowBlank="true" error="Choose a controlled value from the approved list." errorStyle="stop" errorTitle="Controlled value required" operator="between" prompt="Decision status must match approved execution, exception, or excluded state." promptTitle="Approved values" showDropDown="false" showErrorMessage="false" showInputMessage="false" sqref="E2:E100" type="list">
      <formula1>DecisionStatusList</formula1>
      <formula2>0</formula2>
    </dataValidation>
    <dataValidation allowBlank="true" error="Choose a controlled value from the approved list." errorStyle="stop" errorTitle="Controlled value required" operator="between" prompt="Approved action text must stay within the approved recovery authority." promptTitle="Approved values" showDropDown="false" showErrorMessage="false" showInputMessage="false" sqref="F2:F100" type="list">
      <formula1>DecisionActionList</formula1>
      <formula2>0</formula2>
    </dataValidation>
    <dataValidation allowBlank="true" error="Choose a controlled value from the approved list." errorStyle="stop" errorTitle="Controlled value required" operator="between" prompt="Exception route values preserve controlled holds and no-outreach states." promptTitle="Approved values" showDropDown="false" showErrorMessage="false" showInputMessage="false" sqref="J2:J100" type="list">
      <formula1>ExceptionRouteList</formula1>
      <formula2>0</formula2>
    </dataValidation>
    <dataValidation allowBlank="true" error="Choose a controlled value from the approved list." errorStyle="stop" errorTitle="Controlled value required" operator="between" prompt="Communication status must preserve controlled holds and no-outreach states." promptTitle="Approved values" showDropDown="false" showErrorMessage="false" showInputMessage="false" sqref="L2:L100" type="list">
      <formula1>ExceptionRouteList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1" width="42"/>
    <col collapsed="false" customWidth="true" hidden="false" outlineLevel="0" max="3" min="3" style="1" width="11"/>
    <col collapsed="false" customWidth="true" hidden="false" outlineLevel="0" max="4" min="4" style="1" width="41"/>
  </cols>
  <sheetData>
    <row r="1" customFormat="false" ht="15" hidden="false" customHeight="true" outlineLevel="0" collapsed="false">
      <c r="A1" s="2" t="s">
        <v>683</v>
      </c>
      <c r="B1" s="2" t="s">
        <v>684</v>
      </c>
      <c r="C1" s="2" t="s">
        <v>685</v>
      </c>
      <c r="D1" s="2" t="s">
        <v>27</v>
      </c>
    </row>
    <row r="2" customFormat="false" ht="15" hidden="false" customHeight="true" outlineLevel="0" collapsed="false">
      <c r="A2" s="9" t="s">
        <v>686</v>
      </c>
      <c r="B2" s="3" t="n">
        <f aca="false">COUNTA(Normalized_Accounts!$A$2:$A$19)</f>
        <v>18</v>
      </c>
      <c r="C2" s="9" t="n">
        <v>18</v>
      </c>
      <c r="D2" s="3" t="str">
        <f aca="false">IF(B2=C2,"Pass","Review")</f>
        <v>Pass</v>
      </c>
    </row>
    <row r="3" customFormat="false" ht="15" hidden="false" customHeight="true" outlineLevel="0" collapsed="false">
      <c r="A3" s="9" t="s">
        <v>687</v>
      </c>
      <c r="B3" s="3" t="n">
        <f aca="false">COUNTIF(Normalized_Accounts!$H$2:$H$19,"Approved execution")</f>
        <v>12</v>
      </c>
      <c r="C3" s="9" t="n">
        <v>12</v>
      </c>
      <c r="D3" s="3" t="str">
        <f aca="false">IF(B3=C3,"Pass","Review")</f>
        <v>Pass</v>
      </c>
    </row>
    <row r="4" customFormat="false" ht="15" hidden="false" customHeight="true" outlineLevel="0" collapsed="false">
      <c r="A4" s="9" t="s">
        <v>688</v>
      </c>
      <c r="B4" s="3" t="n">
        <f aca="false">COUNTIF(Normalized_Accounts!$H$2:$H$19,"Controlled exception")</f>
        <v>4</v>
      </c>
      <c r="C4" s="9" t="n">
        <v>4</v>
      </c>
      <c r="D4" s="3" t="str">
        <f aca="false">IF(B4=C4,"Pass","Review")</f>
        <v>Pass</v>
      </c>
    </row>
    <row r="5" customFormat="false" ht="15" hidden="false" customHeight="true" outlineLevel="0" collapsed="false">
      <c r="A5" s="9" t="s">
        <v>689</v>
      </c>
      <c r="B5" s="3" t="n">
        <f aca="false">COUNTIF(Normalized_Accounts!$H$2:$H$19,"Excluded*")</f>
        <v>2</v>
      </c>
      <c r="C5" s="9" t="n">
        <v>2</v>
      </c>
      <c r="D5" s="3" t="str">
        <f aca="false">IF(B5=C5,"Pass","Review")</f>
        <v>Pass</v>
      </c>
    </row>
    <row r="6" customFormat="false" ht="15" hidden="false" customHeight="true" outlineLevel="0" collapsed="false">
      <c r="A6" s="9" t="s">
        <v>690</v>
      </c>
      <c r="B6" s="3" t="n">
        <f aca="false">SUM(Assumptions!$B$2:$B$6)</f>
        <v>1</v>
      </c>
      <c r="C6" s="9" t="n">
        <v>1</v>
      </c>
      <c r="D6" s="3" t="str">
        <f aca="false">IF(ABS(B6-C6)&lt;0.0001,"Pass","Review")</f>
        <v>Pass</v>
      </c>
    </row>
    <row r="7" customFormat="false" ht="15" hidden="false" customHeight="true" outlineLevel="0" collapsed="false">
      <c r="A7" s="9" t="s">
        <v>691</v>
      </c>
      <c r="B7" s="3" t="n">
        <f aca="false">COUNTIFS(Normalized_Accounts!$X$2:$X$19,"Over limit")</f>
        <v>0</v>
      </c>
      <c r="C7" s="9" t="n">
        <v>0</v>
      </c>
      <c r="D7" s="3" t="str">
        <f aca="false">IF(B7=C7,"Pass","Review")</f>
        <v>Pass</v>
      </c>
    </row>
    <row r="8" customFormat="false" ht="15" hidden="false" customHeight="true" outlineLevel="0" collapsed="false">
      <c r="A8" s="9" t="s">
        <v>692</v>
      </c>
      <c r="B8" s="3" t="n">
        <f aca="false">SUMPRODUCT(1/COUNTIF(Scoring!$M$2:$M$19,Scoring!$M$2:$M$19))</f>
        <v>18</v>
      </c>
      <c r="C8" s="9" t="n">
        <v>18</v>
      </c>
      <c r="D8" s="3" t="str">
        <f aca="false">IF(B8=C8,"Pass","Review")</f>
        <v>Pass</v>
      </c>
    </row>
    <row r="9" customFormat="false" ht="15" hidden="false" customHeight="true" outlineLevel="0" collapsed="false">
      <c r="A9" s="9" t="s">
        <v>693</v>
      </c>
      <c r="B9" s="3" t="n">
        <f aca="false">SUMIFS(Normalized_Accounts!$I$2:$I$19,Normalized_Accounts!$H$2:$H$19,"Approved execution")</f>
        <v>2612000</v>
      </c>
      <c r="C9" s="9" t="n">
        <v>2612000</v>
      </c>
      <c r="D9" s="3" t="str">
        <f aca="false">IF(B9=C9,"Pass","Review")</f>
        <v>Pass</v>
      </c>
    </row>
    <row r="10" customFormat="false" ht="15" hidden="false" customHeight="true" outlineLevel="0" collapsed="false">
      <c r="A10" s="9" t="s">
        <v>694</v>
      </c>
      <c r="B10" s="7" t="n">
        <f aca="false">SUM(Normalized_Accounts!$L$2:$L$19)</f>
        <v>-557000</v>
      </c>
      <c r="C10" s="9" t="n">
        <v>-557000</v>
      </c>
      <c r="D10" s="3" t="str">
        <f aca="false">IF(B10=C10,"Pass","Review")</f>
        <v>Pass</v>
      </c>
    </row>
  </sheetData>
  <sheetProtection sheet="true" sort="false" autoFilter="false" selectUnlockedCells="true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4" min="3" style="1" width="18.8"/>
    <col collapsed="false" customWidth="true" hidden="false" outlineLevel="0" max="5" min="5" style="1" width="32.24"/>
    <col collapsed="false" customWidth="true" hidden="false" outlineLevel="0" max="6" min="6" style="1" width="13.2"/>
    <col collapsed="false" customWidth="true" hidden="false" outlineLevel="0" max="7" min="7" style="1" width="30"/>
    <col collapsed="false" customWidth="true" hidden="false" outlineLevel="0" max="8" min="8" style="1" width="15.44"/>
    <col collapsed="false" customWidth="true" hidden="false" outlineLevel="0" max="9" min="9" style="1" width="17.68"/>
    <col collapsed="false" customWidth="true" hidden="false" outlineLevel="0" max="10" min="10" style="1" width="22.16"/>
    <col collapsed="false" customWidth="true" hidden="false" outlineLevel="0" max="11" min="11" style="1" width="13.2"/>
  </cols>
  <sheetData>
    <row r="1" customFormat="false" ht="15" hidden="false" customHeight="true" outlineLevel="0" collapsed="false">
      <c r="A1" s="2" t="s">
        <v>677</v>
      </c>
      <c r="B1" s="2" t="s">
        <v>91</v>
      </c>
      <c r="C1" s="2" t="s">
        <v>98</v>
      </c>
      <c r="D1" s="2" t="s">
        <v>118</v>
      </c>
    </row>
    <row r="2" customFormat="false" ht="15" hidden="false" customHeight="true" outlineLevel="0" collapsed="false">
      <c r="A2" s="9" t="s">
        <v>41</v>
      </c>
      <c r="B2" s="9" t="n">
        <v>750000</v>
      </c>
      <c r="C2" s="9" t="n">
        <v>0</v>
      </c>
      <c r="D2" s="9" t="n">
        <v>0</v>
      </c>
      <c r="E2" s="12"/>
      <c r="F2" s="12"/>
      <c r="G2" s="12"/>
      <c r="H2" s="12"/>
      <c r="I2" s="12"/>
      <c r="J2" s="12"/>
      <c r="K2" s="12"/>
    </row>
    <row r="3" customFormat="false" ht="15" hidden="false" customHeight="true" outlineLevel="0" collapsed="false">
      <c r="A3" s="9" t="s">
        <v>45</v>
      </c>
      <c r="B3" s="9" t="n">
        <v>860000</v>
      </c>
      <c r="C3" s="9" t="n">
        <v>190000</v>
      </c>
      <c r="D3" s="9" t="n">
        <v>0</v>
      </c>
      <c r="E3" s="12"/>
      <c r="F3" s="12"/>
      <c r="G3" s="12"/>
      <c r="H3" s="12"/>
      <c r="I3" s="12"/>
      <c r="J3" s="12"/>
      <c r="K3" s="12"/>
    </row>
    <row r="4" customFormat="false" ht="15" hidden="false" customHeight="true" outlineLevel="0" collapsed="false">
      <c r="A4" s="9" t="s">
        <v>49</v>
      </c>
      <c r="B4" s="9" t="n">
        <v>0</v>
      </c>
      <c r="C4" s="9" t="n">
        <v>545000</v>
      </c>
      <c r="D4" s="9" t="n">
        <v>267000</v>
      </c>
      <c r="E4" s="12"/>
      <c r="F4" s="12"/>
      <c r="G4" s="12"/>
      <c r="H4" s="12"/>
      <c r="I4" s="12"/>
      <c r="J4" s="12"/>
      <c r="K4" s="12"/>
    </row>
    <row r="5" customFormat="false" ht="15" hidden="false" customHeight="true" outlineLevel="0" collapsed="false">
      <c r="A5" s="9" t="s">
        <v>53</v>
      </c>
      <c r="B5" s="9" t="n">
        <v>0</v>
      </c>
      <c r="C5" s="9" t="n">
        <v>0</v>
      </c>
      <c r="D5" s="9" t="n">
        <v>0</v>
      </c>
      <c r="E5" s="12"/>
      <c r="F5" s="12"/>
      <c r="G5" s="12"/>
      <c r="H5" s="12"/>
      <c r="I5" s="12"/>
      <c r="J5" s="12"/>
      <c r="K5" s="12"/>
    </row>
    <row r="6" customFormat="false" ht="1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customFormat="false" ht="15" hidden="false" customHeight="true" outlineLevel="0" collapsed="false">
      <c r="A8" s="13" t="s">
        <v>76</v>
      </c>
      <c r="B8" s="13" t="s">
        <v>661</v>
      </c>
      <c r="C8" s="14" t="s">
        <v>695</v>
      </c>
      <c r="D8" s="14" t="s">
        <v>696</v>
      </c>
      <c r="E8" s="13" t="s">
        <v>697</v>
      </c>
      <c r="F8" s="13" t="s">
        <v>698</v>
      </c>
      <c r="G8" s="13" t="s">
        <v>168</v>
      </c>
      <c r="H8" s="13" t="s">
        <v>699</v>
      </c>
      <c r="I8" s="12"/>
      <c r="J8" s="12"/>
      <c r="K8" s="12"/>
    </row>
    <row r="9" customFormat="false" ht="15" hidden="false" customHeight="true" outlineLevel="0" collapsed="false">
      <c r="A9" s="9" t="s">
        <v>162</v>
      </c>
      <c r="B9" s="3" t="n">
        <f aca="false">SUMIFS(Normalized_Accounts!$L$2:$L$19,Normalized_Accounts!$C$2:$C$19,A9)</f>
        <v>-6000</v>
      </c>
      <c r="C9" s="1" t="n">
        <f aca="false">IF($B9&lt;0,$B9,0)</f>
        <v>-6000</v>
      </c>
      <c r="D9" s="1" t="n">
        <f aca="false">IF($B9&gt;0,$B9,0)</f>
        <v>0</v>
      </c>
      <c r="E9" s="9" t="s">
        <v>87</v>
      </c>
      <c r="F9" s="9" t="n">
        <v>19</v>
      </c>
      <c r="G9" s="9" t="n">
        <v>4</v>
      </c>
      <c r="H9" s="9" t="n">
        <v>340000</v>
      </c>
      <c r="I9" s="12"/>
      <c r="J9" s="12"/>
      <c r="K9" s="12"/>
    </row>
    <row r="10" customFormat="false" ht="15" hidden="false" customHeight="true" outlineLevel="0" collapsed="false">
      <c r="A10" s="9" t="s">
        <v>125</v>
      </c>
      <c r="B10" s="3" t="n">
        <f aca="false">SUMIFS(Normalized_Accounts!$L$2:$L$19,Normalized_Accounts!$C$2:$C$19,A10)</f>
        <v>-10000</v>
      </c>
      <c r="C10" s="1" t="n">
        <f aca="false">IF($B10&lt;0,$B10,0)</f>
        <v>-10000</v>
      </c>
      <c r="D10" s="1" t="n">
        <f aca="false">IF($B10&gt;0,$B10,0)</f>
        <v>0</v>
      </c>
      <c r="E10" s="9" t="s">
        <v>94</v>
      </c>
      <c r="F10" s="9" t="n">
        <v>17</v>
      </c>
      <c r="G10" s="9" t="n">
        <v>4</v>
      </c>
      <c r="H10" s="9" t="n">
        <v>220000</v>
      </c>
      <c r="I10" s="12"/>
      <c r="J10" s="12"/>
      <c r="K10" s="12"/>
    </row>
    <row r="11" customFormat="false" ht="15" hidden="false" customHeight="true" outlineLevel="0" collapsed="false">
      <c r="A11" s="9" t="s">
        <v>137</v>
      </c>
      <c r="B11" s="3" t="n">
        <f aca="false">SUMIFS(Normalized_Accounts!$L$2:$L$19,Normalized_Accounts!$C$2:$C$19,A11)</f>
        <v>-20000</v>
      </c>
      <c r="C11" s="1" t="n">
        <f aca="false">IF($B11&lt;0,$B11,0)</f>
        <v>-20000</v>
      </c>
      <c r="D11" s="1" t="n">
        <f aca="false">IF($B11&gt;0,$B11,0)</f>
        <v>0</v>
      </c>
      <c r="E11" s="9" t="s">
        <v>101</v>
      </c>
      <c r="F11" s="9" t="n">
        <v>17</v>
      </c>
      <c r="G11" s="9" t="n">
        <v>4</v>
      </c>
      <c r="H11" s="9" t="n">
        <v>295000</v>
      </c>
      <c r="I11" s="12"/>
      <c r="J11" s="12"/>
      <c r="K11" s="12"/>
    </row>
    <row r="12" customFormat="false" ht="15" hidden="false" customHeight="true" outlineLevel="0" collapsed="false">
      <c r="A12" s="9" t="s">
        <v>95</v>
      </c>
      <c r="B12" s="3" t="n">
        <f aca="false">SUMIFS(Normalized_Accounts!$L$2:$L$19,Normalized_Accounts!$C$2:$C$19,A12)</f>
        <v>-121000</v>
      </c>
      <c r="C12" s="1" t="n">
        <f aca="false">IF($B12&lt;0,$B12,0)</f>
        <v>-121000</v>
      </c>
      <c r="D12" s="1" t="n">
        <f aca="false">IF($B12&gt;0,$B12,0)</f>
        <v>0</v>
      </c>
      <c r="E12" s="9" t="s">
        <v>106</v>
      </c>
      <c r="F12" s="9" t="n">
        <v>14</v>
      </c>
      <c r="G12" s="9" t="n">
        <v>3</v>
      </c>
      <c r="H12" s="9" t="n">
        <v>150000</v>
      </c>
      <c r="I12" s="12"/>
      <c r="J12" s="12"/>
      <c r="K12" s="12"/>
    </row>
    <row r="13" customFormat="false" ht="15" hidden="false" customHeight="true" outlineLevel="0" collapsed="false">
      <c r="A13" s="9" t="s">
        <v>88</v>
      </c>
      <c r="B13" s="3" t="n">
        <f aca="false">SUMIFS(Normalized_Accounts!$L$2:$L$19,Normalized_Accounts!$C$2:$C$19,A13)</f>
        <v>-160000</v>
      </c>
      <c r="C13" s="1" t="n">
        <f aca="false">IF($B13&lt;0,$B13,0)</f>
        <v>-160000</v>
      </c>
      <c r="D13" s="1" t="n">
        <f aca="false">IF($B13&gt;0,$B13,0)</f>
        <v>0</v>
      </c>
      <c r="E13" s="9" t="s">
        <v>111</v>
      </c>
      <c r="F13" s="9" t="n">
        <v>23</v>
      </c>
      <c r="G13" s="9" t="n">
        <v>5</v>
      </c>
      <c r="H13" s="9" t="n">
        <v>410000</v>
      </c>
      <c r="I13" s="12"/>
      <c r="J13" s="12"/>
      <c r="K13" s="12"/>
    </row>
    <row r="14" customFormat="false" ht="15" hidden="false" customHeight="true" outlineLevel="0" collapsed="false">
      <c r="A14" s="9" t="s">
        <v>112</v>
      </c>
      <c r="B14" s="3" t="n">
        <f aca="false">SUMIFS(Normalized_Accounts!$L$2:$L$19,Normalized_Accounts!$C$2:$C$19,A14)</f>
        <v>-110000</v>
      </c>
      <c r="C14" s="1" t="n">
        <f aca="false">IF($B14&lt;0,$B14,0)</f>
        <v>-110000</v>
      </c>
      <c r="D14" s="1" t="n">
        <f aca="false">IF($B14&gt;0,$B14,0)</f>
        <v>0</v>
      </c>
      <c r="E14" s="9" t="s">
        <v>116</v>
      </c>
      <c r="F14" s="9" t="n">
        <v>10</v>
      </c>
      <c r="G14" s="9" t="n">
        <v>3</v>
      </c>
      <c r="H14" s="9" t="n">
        <v>82000</v>
      </c>
      <c r="I14" s="12"/>
      <c r="J14" s="12"/>
      <c r="K14" s="12"/>
    </row>
    <row r="15" customFormat="false" ht="15" hidden="false" customHeight="true" outlineLevel="0" collapsed="false">
      <c r="A15" s="9" t="s">
        <v>152</v>
      </c>
      <c r="B15" s="3" t="n">
        <f aca="false">SUMIFS(Normalized_Accounts!$L$2:$L$19,Normalized_Accounts!$C$2:$C$19,A15)</f>
        <v>2000</v>
      </c>
      <c r="C15" s="1" t="n">
        <f aca="false">IF($B15&lt;0,$B15,0)</f>
        <v>0</v>
      </c>
      <c r="D15" s="1" t="n">
        <f aca="false">IF($B15&gt;0,$B15,0)</f>
        <v>2000</v>
      </c>
      <c r="E15" s="9" t="s">
        <v>121</v>
      </c>
      <c r="F15" s="9" t="n">
        <v>23</v>
      </c>
      <c r="G15" s="9" t="n">
        <v>4</v>
      </c>
      <c r="H15" s="9" t="n">
        <v>260000</v>
      </c>
      <c r="I15" s="12"/>
      <c r="J15" s="12"/>
      <c r="K15" s="12"/>
    </row>
    <row r="16" customFormat="false" ht="15" hidden="false" customHeight="true" outlineLevel="0" collapsed="false">
      <c r="A16" s="9" t="s">
        <v>133</v>
      </c>
      <c r="B16" s="3" t="n">
        <f aca="false">SUMIFS(Normalized_Accounts!$L$2:$L$19,Normalized_Accounts!$C$2:$C$19,A16)</f>
        <v>-2000</v>
      </c>
      <c r="C16" s="1" t="n">
        <f aca="false">IF($B16&lt;0,$B16,0)</f>
        <v>-2000</v>
      </c>
      <c r="D16" s="1" t="n">
        <f aca="false">IF($B16&gt;0,$B16,0)</f>
        <v>0</v>
      </c>
      <c r="E16" s="9" t="s">
        <v>124</v>
      </c>
      <c r="F16" s="9" t="n">
        <v>9</v>
      </c>
      <c r="G16" s="9" t="n">
        <v>3</v>
      </c>
      <c r="H16" s="9" t="n">
        <v>110000</v>
      </c>
      <c r="I16" s="12"/>
      <c r="J16" s="12"/>
      <c r="K16" s="12"/>
    </row>
    <row r="17" customFormat="false" ht="15" hidden="false" customHeight="true" outlineLevel="0" collapsed="false">
      <c r="A17" s="9" t="s">
        <v>107</v>
      </c>
      <c r="B17" s="3" t="n">
        <f aca="false">SUMIFS(Normalized_Accounts!$L$2:$L$19,Normalized_Accounts!$C$2:$C$19,A17)</f>
        <v>-70000</v>
      </c>
      <c r="C17" s="1" t="n">
        <f aca="false">IF($B17&lt;0,$B17,0)</f>
        <v>-70000</v>
      </c>
      <c r="D17" s="1" t="n">
        <f aca="false">IF($B17&gt;0,$B17,0)</f>
        <v>0</v>
      </c>
      <c r="E17" s="9" t="s">
        <v>128</v>
      </c>
      <c r="F17" s="9" t="n">
        <v>20</v>
      </c>
      <c r="G17" s="9" t="n">
        <v>4</v>
      </c>
      <c r="H17" s="9" t="n">
        <v>190000</v>
      </c>
      <c r="I17" s="12"/>
      <c r="J17" s="12"/>
      <c r="K17" s="12"/>
    </row>
    <row r="18" customFormat="false" ht="15" hidden="false" customHeight="true" outlineLevel="0" collapsed="false">
      <c r="A18" s="9" t="s">
        <v>102</v>
      </c>
      <c r="B18" s="3" t="n">
        <f aca="false">SUMIFS(Normalized_Accounts!$L$2:$L$19,Normalized_Accounts!$C$2:$C$19,A18)</f>
        <v>-35000</v>
      </c>
      <c r="C18" s="1" t="n">
        <f aca="false">IF($B18&lt;0,$B18,0)</f>
        <v>-35000</v>
      </c>
      <c r="D18" s="1" t="n">
        <f aca="false">IF($B18&gt;0,$B18,0)</f>
        <v>0</v>
      </c>
      <c r="E18" s="9" t="s">
        <v>132</v>
      </c>
      <c r="F18" s="9" t="n">
        <v>5</v>
      </c>
      <c r="G18" s="9" t="n">
        <v>2</v>
      </c>
      <c r="H18" s="9" t="n">
        <v>75000</v>
      </c>
      <c r="I18" s="12"/>
      <c r="J18" s="12"/>
      <c r="K18" s="12"/>
    </row>
    <row r="19" customFormat="false" ht="15" hidden="false" customHeight="true" outlineLevel="0" collapsed="false">
      <c r="A19" s="9" t="s">
        <v>129</v>
      </c>
      <c r="B19" s="3" t="n">
        <f aca="false">SUMIFS(Normalized_Accounts!$L$2:$L$19,Normalized_Accounts!$C$2:$C$19,A19)</f>
        <v>-25000</v>
      </c>
      <c r="C19" s="1" t="n">
        <f aca="false">IF($B19&lt;0,$B19,0)</f>
        <v>-25000</v>
      </c>
      <c r="D19" s="1" t="n">
        <f aca="false">IF($B19&gt;0,$B19,0)</f>
        <v>0</v>
      </c>
      <c r="E19" s="9" t="s">
        <v>136</v>
      </c>
      <c r="F19" s="9" t="n">
        <v>18</v>
      </c>
      <c r="G19" s="9" t="n">
        <v>4</v>
      </c>
      <c r="H19" s="9" t="n">
        <v>175000</v>
      </c>
      <c r="I19" s="12"/>
      <c r="J19" s="12"/>
      <c r="K19" s="12"/>
    </row>
    <row r="20" customFormat="false" ht="15" hidden="false" customHeight="true" outlineLevel="0" collapsed="false">
      <c r="A20" s="12"/>
      <c r="B20" s="12"/>
      <c r="C20" s="12"/>
      <c r="D20" s="12"/>
      <c r="E20" s="9" t="s">
        <v>139</v>
      </c>
      <c r="F20" s="9" t="n">
        <v>20</v>
      </c>
      <c r="G20" s="9" t="n">
        <v>5</v>
      </c>
      <c r="H20" s="9" t="n">
        <v>305000</v>
      </c>
      <c r="I20" s="12"/>
      <c r="J20" s="12"/>
      <c r="K20" s="12"/>
    </row>
    <row r="21" customFormat="false" ht="15" hidden="false" customHeight="true" outlineLevel="0" collapsed="false">
      <c r="A21" s="12"/>
      <c r="B21" s="12"/>
      <c r="C21" s="12"/>
      <c r="D21" s="12"/>
      <c r="E21" s="9" t="s">
        <v>142</v>
      </c>
      <c r="F21" s="9" t="n">
        <v>12</v>
      </c>
      <c r="G21" s="9" t="n">
        <v>3</v>
      </c>
      <c r="H21" s="9" t="n">
        <v>165000</v>
      </c>
      <c r="I21" s="12"/>
      <c r="J21" s="12"/>
      <c r="K21" s="12"/>
    </row>
    <row r="22" customFormat="false" ht="15" hidden="false" customHeight="true" outlineLevel="0" collapsed="false">
      <c r="A22" s="12"/>
      <c r="B22" s="12"/>
      <c r="C22" s="12"/>
      <c r="D22" s="12"/>
      <c r="E22" s="9" t="s">
        <v>145</v>
      </c>
      <c r="F22" s="9" t="n">
        <v>33</v>
      </c>
      <c r="G22" s="9" t="n">
        <v>5</v>
      </c>
      <c r="H22" s="9" t="n">
        <v>360000</v>
      </c>
      <c r="I22" s="12"/>
      <c r="J22" s="12"/>
      <c r="K22" s="12"/>
    </row>
    <row r="23" customFormat="false" ht="15" hidden="false" customHeight="true" outlineLevel="0" collapsed="false">
      <c r="A23" s="12"/>
      <c r="B23" s="12"/>
      <c r="C23" s="12"/>
      <c r="D23" s="12"/>
      <c r="E23" s="9" t="s">
        <v>148</v>
      </c>
      <c r="F23" s="9" t="n">
        <v>21</v>
      </c>
      <c r="G23" s="9" t="n">
        <v>4</v>
      </c>
      <c r="H23" s="9" t="n">
        <v>210000</v>
      </c>
      <c r="I23" s="12"/>
      <c r="J23" s="12"/>
      <c r="K23" s="12"/>
    </row>
    <row r="24" customFormat="false" ht="15" hidden="false" customHeight="true" outlineLevel="0" collapsed="false">
      <c r="A24" s="12"/>
      <c r="B24" s="12"/>
      <c r="C24" s="12"/>
      <c r="D24" s="12"/>
      <c r="E24" s="9" t="s">
        <v>151</v>
      </c>
      <c r="F24" s="9" t="n">
        <v>0</v>
      </c>
      <c r="G24" s="9" t="n">
        <v>0</v>
      </c>
      <c r="H24" s="9" t="n">
        <v>62000</v>
      </c>
      <c r="I24" s="12"/>
      <c r="J24" s="12"/>
      <c r="K24" s="12"/>
    </row>
    <row r="25" customFormat="false" ht="15" hidden="false" customHeight="true" outlineLevel="0" collapsed="false">
      <c r="A25" s="12"/>
      <c r="B25" s="12"/>
      <c r="C25" s="12"/>
      <c r="D25" s="12"/>
      <c r="E25" s="9" t="s">
        <v>157</v>
      </c>
      <c r="F25" s="9" t="n">
        <v>29.5</v>
      </c>
      <c r="G25" s="9" t="n">
        <v>5</v>
      </c>
      <c r="H25" s="9" t="n">
        <v>520000</v>
      </c>
      <c r="I25" s="12"/>
      <c r="J25" s="12"/>
      <c r="K25" s="12"/>
    </row>
    <row r="26" customFormat="false" ht="15" hidden="false" customHeight="true" outlineLevel="0" collapsed="false">
      <c r="A26" s="12"/>
      <c r="B26" s="12"/>
      <c r="C26" s="12"/>
      <c r="D26" s="12"/>
      <c r="E26" s="9" t="s">
        <v>161</v>
      </c>
      <c r="F26" s="9" t="n">
        <v>6</v>
      </c>
      <c r="G26" s="9" t="n">
        <v>2</v>
      </c>
      <c r="H26" s="9" t="n">
        <v>135000</v>
      </c>
      <c r="I26" s="12"/>
      <c r="J26" s="12"/>
      <c r="K26" s="12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customFormat="false" ht="1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customFormat="false" ht="1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customFormat="false" ht="15" hidden="false" customHeight="true" outlineLevel="0" collapsed="false">
      <c r="A31" s="9" t="s">
        <v>78</v>
      </c>
      <c r="B31" s="9" t="s">
        <v>700</v>
      </c>
      <c r="C31" s="9" t="s">
        <v>701</v>
      </c>
      <c r="D31" s="9" t="s">
        <v>702</v>
      </c>
      <c r="E31" s="12"/>
      <c r="F31" s="12"/>
      <c r="G31" s="9" t="s">
        <v>677</v>
      </c>
      <c r="H31" s="9" t="s">
        <v>703</v>
      </c>
      <c r="I31" s="9" t="s">
        <v>704</v>
      </c>
      <c r="J31" s="9" t="s">
        <v>705</v>
      </c>
      <c r="K31" s="12"/>
    </row>
    <row r="32" customFormat="false" ht="15" hidden="false" customHeight="true" outlineLevel="0" collapsed="false">
      <c r="A32" s="9" t="s">
        <v>113</v>
      </c>
      <c r="B32" s="9" t="n">
        <v>1</v>
      </c>
      <c r="C32" s="9" t="n">
        <v>4</v>
      </c>
      <c r="D32" s="9" t="n">
        <v>8</v>
      </c>
      <c r="E32" s="12"/>
      <c r="F32" s="12"/>
      <c r="G32" s="9" t="s">
        <v>41</v>
      </c>
      <c r="H32" s="9" t="n">
        <v>2</v>
      </c>
      <c r="I32" s="15" t="n">
        <v>0</v>
      </c>
      <c r="J32" s="15" t="n">
        <v>0</v>
      </c>
      <c r="K32" s="12"/>
    </row>
    <row r="33" customFormat="false" ht="15" hidden="false" customHeight="true" outlineLevel="0" collapsed="false">
      <c r="A33" s="9" t="s">
        <v>97</v>
      </c>
      <c r="B33" s="9" t="n">
        <v>0</v>
      </c>
      <c r="C33" s="9" t="n">
        <v>6</v>
      </c>
      <c r="D33" s="9" t="n">
        <v>8</v>
      </c>
      <c r="E33" s="12"/>
      <c r="F33" s="12"/>
      <c r="G33" s="9" t="s">
        <v>45</v>
      </c>
      <c r="H33" s="9" t="n">
        <v>4</v>
      </c>
      <c r="I33" s="15" t="n">
        <v>0</v>
      </c>
      <c r="J33" s="15" t="n">
        <v>0</v>
      </c>
      <c r="K33" s="12"/>
    </row>
    <row r="34" customFormat="false" ht="15" hidden="false" customHeight="true" outlineLevel="0" collapsed="false">
      <c r="A34" s="9" t="s">
        <v>108</v>
      </c>
      <c r="B34" s="9" t="n">
        <v>0</v>
      </c>
      <c r="C34" s="9" t="n">
        <v>4</v>
      </c>
      <c r="D34" s="9" t="n">
        <v>8</v>
      </c>
      <c r="E34" s="12"/>
      <c r="F34" s="12"/>
      <c r="G34" s="9" t="s">
        <v>49</v>
      </c>
      <c r="H34" s="9" t="n">
        <v>6</v>
      </c>
      <c r="I34" s="15" t="n">
        <v>0</v>
      </c>
      <c r="J34" s="15" t="n">
        <v>0</v>
      </c>
      <c r="K34" s="12"/>
    </row>
    <row r="35" customFormat="false" ht="15" hidden="false" customHeight="true" outlineLevel="0" collapsed="false">
      <c r="A35" s="9" t="s">
        <v>90</v>
      </c>
      <c r="B35" s="9" t="n">
        <v>1</v>
      </c>
      <c r="C35" s="9" t="n">
        <v>6</v>
      </c>
      <c r="D35" s="9" t="n">
        <v>8</v>
      </c>
      <c r="E35" s="12"/>
      <c r="F35" s="12"/>
      <c r="G35" s="9" t="s">
        <v>53</v>
      </c>
      <c r="H35" s="9" t="n">
        <v>3</v>
      </c>
      <c r="I35" s="15" t="n">
        <v>1</v>
      </c>
      <c r="J35" s="15" t="n">
        <v>2</v>
      </c>
      <c r="K35" s="12"/>
    </row>
    <row r="36" customFormat="false" ht="15" hidden="false" customHeight="true" outlineLevel="0" collapsed="false">
      <c r="A36" s="9" t="s">
        <v>103</v>
      </c>
      <c r="B36" s="9" t="n">
        <v>0</v>
      </c>
      <c r="C36" s="9" t="n">
        <v>4</v>
      </c>
      <c r="D36" s="9" t="n">
        <v>8</v>
      </c>
      <c r="E36" s="12"/>
      <c r="F36" s="12"/>
      <c r="G36" s="12"/>
      <c r="H36" s="12"/>
      <c r="I36" s="12"/>
      <c r="J36" s="12"/>
      <c r="K36" s="12"/>
    </row>
    <row r="37" customFormat="false" ht="15" hidden="false" customHeight="tru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customFormat="false" ht="1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customFormat="false" ht="15" hidden="false" customHeight="tru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customFormat="false" ht="1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customFormat="false" ht="1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customFormat="false" ht="1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customFormat="false" ht="15" hidden="false" customHeight="tru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customFormat="false" ht="1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customFormat="false" ht="15" hidden="false" customHeight="true" outlineLevel="0" collapsed="false">
      <c r="A45" s="9" t="s">
        <v>167</v>
      </c>
      <c r="B45" s="9" t="s">
        <v>706</v>
      </c>
      <c r="C45" s="9" t="s">
        <v>707</v>
      </c>
      <c r="D45" s="12"/>
      <c r="E45" s="12"/>
      <c r="F45" s="9" t="s">
        <v>708</v>
      </c>
      <c r="G45" s="9" t="s">
        <v>113</v>
      </c>
      <c r="H45" s="9" t="s">
        <v>97</v>
      </c>
      <c r="I45" s="9" t="s">
        <v>108</v>
      </c>
      <c r="J45" s="9" t="s">
        <v>90</v>
      </c>
      <c r="K45" s="9" t="s">
        <v>103</v>
      </c>
    </row>
    <row r="46" customFormat="false" ht="15" hidden="false" customHeight="true" outlineLevel="0" collapsed="false">
      <c r="A46" s="9" t="s">
        <v>309</v>
      </c>
      <c r="B46" s="9" t="n">
        <v>0</v>
      </c>
      <c r="C46" s="9" t="n">
        <v>1</v>
      </c>
      <c r="D46" s="12"/>
      <c r="E46" s="12"/>
      <c r="F46" s="9" t="s">
        <v>709</v>
      </c>
      <c r="G46" s="9" t="n">
        <v>1</v>
      </c>
      <c r="H46" s="9" t="n">
        <v>2</v>
      </c>
      <c r="I46" s="15" t="n">
        <v>2</v>
      </c>
      <c r="J46" s="15" t="n">
        <v>1</v>
      </c>
      <c r="K46" s="15" t="n">
        <v>0</v>
      </c>
    </row>
    <row r="47" customFormat="false" ht="15" hidden="false" customHeight="true" outlineLevel="0" collapsed="false">
      <c r="A47" s="9" t="s">
        <v>226</v>
      </c>
      <c r="B47" s="9" t="n">
        <v>1</v>
      </c>
      <c r="C47" s="9" t="n">
        <v>0</v>
      </c>
      <c r="D47" s="12"/>
      <c r="E47" s="12"/>
      <c r="F47" s="9" t="s">
        <v>710</v>
      </c>
      <c r="G47" s="9" t="n">
        <v>1</v>
      </c>
      <c r="H47" s="9" t="n">
        <v>0</v>
      </c>
      <c r="I47" s="15" t="n">
        <v>0</v>
      </c>
      <c r="J47" s="15" t="n">
        <v>0</v>
      </c>
      <c r="K47" s="15" t="n">
        <v>0</v>
      </c>
    </row>
    <row r="48" customFormat="false" ht="15" hidden="false" customHeight="true" outlineLevel="0" collapsed="false">
      <c r="A48" s="9" t="s">
        <v>205</v>
      </c>
      <c r="B48" s="9" t="n">
        <v>2</v>
      </c>
      <c r="C48" s="9" t="n">
        <v>1</v>
      </c>
      <c r="D48" s="12"/>
      <c r="E48" s="12"/>
      <c r="F48" s="9" t="s">
        <v>711</v>
      </c>
      <c r="G48" s="9" t="n">
        <v>0</v>
      </c>
      <c r="H48" s="9" t="n">
        <v>0</v>
      </c>
      <c r="I48" s="15" t="n">
        <v>0</v>
      </c>
      <c r="J48" s="15" t="n">
        <v>0</v>
      </c>
      <c r="K48" s="15" t="n">
        <v>0</v>
      </c>
    </row>
    <row r="49" customFormat="false" ht="15" hidden="false" customHeight="true" outlineLevel="0" collapsed="false">
      <c r="A49" s="9" t="s">
        <v>220</v>
      </c>
      <c r="B49" s="9" t="n">
        <v>2</v>
      </c>
      <c r="C49" s="9" t="n">
        <v>0</v>
      </c>
      <c r="D49" s="12"/>
      <c r="E49" s="12"/>
      <c r="F49" s="9" t="s">
        <v>712</v>
      </c>
      <c r="G49" s="9" t="n">
        <v>0</v>
      </c>
      <c r="H49" s="9" t="n">
        <v>0</v>
      </c>
      <c r="I49" s="15" t="n">
        <v>0</v>
      </c>
      <c r="J49" s="15" t="n">
        <v>0</v>
      </c>
      <c r="K49" s="15" t="n">
        <v>0</v>
      </c>
    </row>
    <row r="50" customFormat="false" ht="15" hidden="false" customHeight="true" outlineLevel="0" collapsed="false">
      <c r="A50" s="9" t="s">
        <v>298</v>
      </c>
      <c r="B50" s="9" t="n">
        <v>0</v>
      </c>
      <c r="C50" s="9" t="n">
        <v>1</v>
      </c>
      <c r="D50" s="12"/>
      <c r="E50" s="12"/>
      <c r="F50" s="12"/>
      <c r="G50" s="12"/>
      <c r="H50" s="12"/>
      <c r="I50" s="12"/>
      <c r="J50" s="12"/>
      <c r="K50" s="12"/>
    </row>
    <row r="51" customFormat="false" ht="15" hidden="false" customHeight="true" outlineLevel="0" collapsed="false">
      <c r="A51" s="9" t="s">
        <v>183</v>
      </c>
      <c r="B51" s="9" t="n">
        <v>3</v>
      </c>
      <c r="C51" s="9" t="n">
        <v>1</v>
      </c>
      <c r="D51" s="12"/>
      <c r="E51" s="12"/>
      <c r="F51" s="12"/>
      <c r="G51" s="12"/>
      <c r="H51" s="12"/>
      <c r="I51" s="12"/>
      <c r="J51" s="12"/>
      <c r="K51" s="12"/>
    </row>
    <row r="52" customFormat="false" ht="15" hidden="false" customHeight="true" outlineLevel="0" collapsed="false">
      <c r="A52" s="9" t="s">
        <v>287</v>
      </c>
      <c r="B52" s="9" t="n">
        <v>0</v>
      </c>
      <c r="C52" s="9" t="n">
        <v>1</v>
      </c>
      <c r="D52" s="12"/>
      <c r="E52" s="12"/>
      <c r="F52" s="12"/>
      <c r="G52" s="12"/>
      <c r="H52" s="12"/>
      <c r="I52" s="12"/>
      <c r="J52" s="12"/>
      <c r="K52" s="12"/>
    </row>
    <row r="53" customFormat="false" ht="15" hidden="false" customHeight="true" outlineLevel="0" collapsed="false">
      <c r="A53" s="9" t="s">
        <v>212</v>
      </c>
      <c r="B53" s="9" t="n">
        <v>1</v>
      </c>
      <c r="C53" s="9" t="n">
        <v>0</v>
      </c>
      <c r="D53" s="12"/>
      <c r="E53" s="12"/>
      <c r="F53" s="12"/>
      <c r="G53" s="12"/>
      <c r="H53" s="12"/>
      <c r="I53" s="12"/>
      <c r="J53" s="12"/>
      <c r="K53" s="12"/>
    </row>
    <row r="54" customFormat="false" ht="15" hidden="false" customHeight="true" outlineLevel="0" collapsed="false">
      <c r="A54" s="9" t="s">
        <v>192</v>
      </c>
      <c r="B54" s="9" t="n">
        <v>3</v>
      </c>
      <c r="C54" s="9" t="n">
        <v>0</v>
      </c>
      <c r="D54" s="12"/>
      <c r="E54" s="12"/>
      <c r="F54" s="12"/>
      <c r="G54" s="12"/>
      <c r="H54" s="12"/>
      <c r="I54" s="12"/>
      <c r="J54" s="12"/>
      <c r="K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customFormat="false" ht="1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customFormat="false" ht="1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customFormat="false" ht="15" hidden="false" customHeight="true" outlineLevel="0" collapsed="false">
      <c r="A58" s="13" t="s">
        <v>697</v>
      </c>
      <c r="B58" s="13" t="s">
        <v>317</v>
      </c>
      <c r="C58" s="13" t="s">
        <v>713</v>
      </c>
      <c r="D58" s="13" t="s">
        <v>675</v>
      </c>
      <c r="E58" s="14" t="s">
        <v>714</v>
      </c>
      <c r="F58" s="14" t="s">
        <v>76</v>
      </c>
      <c r="G58" s="12"/>
      <c r="H58" s="12"/>
      <c r="I58" s="12"/>
      <c r="J58" s="12"/>
      <c r="K58" s="12"/>
    </row>
    <row r="59" customFormat="false" ht="15" hidden="false" customHeight="true" outlineLevel="0" collapsed="false">
      <c r="A59" s="9" t="s">
        <v>86</v>
      </c>
      <c r="B59" s="7" t="n">
        <f aca="false">Normalized_Accounts!I2</f>
        <v>340000</v>
      </c>
      <c r="C59" s="11" t="n">
        <f aca="false">Scoring!K2</f>
        <v>58.64</v>
      </c>
      <c r="D59" s="11" t="n">
        <f aca="false">Scoring!L2</f>
        <v>77.924</v>
      </c>
      <c r="E59" s="1" t="str">
        <f aca="false">IF(Scoring!$N$2="Controlled exception/hold",IF(Normalized_Accounts!$H$2="Controlled exception","Controlled exception","Excluded/hold"),Scoring!$N$2)</f>
        <v>Tier 1</v>
      </c>
      <c r="F59" s="1" t="str">
        <f aca="false">Normalized_Accounts!$C$2</f>
        <v>Healthcare</v>
      </c>
      <c r="G59" s="12"/>
      <c r="H59" s="12"/>
      <c r="I59" s="12"/>
      <c r="J59" s="12"/>
      <c r="K59" s="12"/>
    </row>
    <row r="60" customFormat="false" ht="15" hidden="false" customHeight="true" outlineLevel="0" collapsed="false">
      <c r="A60" s="9" t="s">
        <v>93</v>
      </c>
      <c r="B60" s="7" t="n">
        <f aca="false">Normalized_Accounts!I3</f>
        <v>220000</v>
      </c>
      <c r="C60" s="11" t="n">
        <f aca="false">Scoring!K3</f>
        <v>46.22</v>
      </c>
      <c r="D60" s="11" t="n">
        <f aca="false">Scoring!L3</f>
        <v>58.727</v>
      </c>
      <c r="E60" s="1" t="str">
        <f aca="false">IF(Scoring!$N$3="Controlled exception/hold",IF(Normalized_Accounts!$H$3="Controlled exception","Controlled exception","Excluded/hold"),Scoring!$N$3)</f>
        <v>Tier 3</v>
      </c>
      <c r="F60" s="1" t="str">
        <f aca="false">Normalized_Accounts!$C$3</f>
        <v>Financial Services</v>
      </c>
      <c r="G60" s="12"/>
      <c r="H60" s="12"/>
      <c r="I60" s="12"/>
      <c r="J60" s="12"/>
      <c r="K60" s="12"/>
    </row>
    <row r="61" customFormat="false" ht="15" hidden="false" customHeight="true" outlineLevel="0" collapsed="false">
      <c r="A61" s="9" t="s">
        <v>100</v>
      </c>
      <c r="B61" s="7" t="n">
        <f aca="false">Normalized_Accounts!I4</f>
        <v>295000</v>
      </c>
      <c r="C61" s="11" t="n">
        <f aca="false">Scoring!K4</f>
        <v>49.12</v>
      </c>
      <c r="D61" s="11" t="n">
        <f aca="false">Scoring!L4</f>
        <v>66.067</v>
      </c>
      <c r="E61" s="1" t="str">
        <f aca="false">IF(Scoring!$N$4="Controlled exception/hold",IF(Normalized_Accounts!$H$4="Controlled exception","Controlled exception","Excluded/hold"),Scoring!$N$4)</f>
        <v>Tier 2</v>
      </c>
      <c r="F61" s="1" t="str">
        <f aca="false">Normalized_Accounts!$C$4</f>
        <v>Technology</v>
      </c>
      <c r="G61" s="12"/>
      <c r="H61" s="12"/>
      <c r="I61" s="12"/>
      <c r="J61" s="12"/>
      <c r="K61" s="12"/>
    </row>
    <row r="62" customFormat="false" ht="15" hidden="false" customHeight="true" outlineLevel="0" collapsed="false">
      <c r="A62" s="9" t="s">
        <v>105</v>
      </c>
      <c r="B62" s="7" t="n">
        <f aca="false">Normalized_Accounts!I5</f>
        <v>150000</v>
      </c>
      <c r="C62" s="11" t="n">
        <f aca="false">Scoring!K5</f>
        <v>45.99</v>
      </c>
      <c r="D62" s="11" t="n">
        <f aca="false">Scoring!L5</f>
        <v>57.9965</v>
      </c>
      <c r="E62" s="1" t="str">
        <f aca="false">IF(Scoring!$N$5="Controlled exception/hold",IF(Normalized_Accounts!$H$5="Controlled exception","Controlled exception","Excluded/hold"),Scoring!$N$5)</f>
        <v>Tier 3</v>
      </c>
      <c r="F62" s="1" t="str">
        <f aca="false">Normalized_Accounts!$C$5</f>
        <v>Retail</v>
      </c>
      <c r="G62" s="12"/>
      <c r="H62" s="12"/>
      <c r="I62" s="12"/>
      <c r="J62" s="12"/>
      <c r="K62" s="12"/>
    </row>
    <row r="63" customFormat="false" ht="15" hidden="false" customHeight="true" outlineLevel="0" collapsed="false">
      <c r="A63" s="9" t="s">
        <v>110</v>
      </c>
      <c r="B63" s="7" t="n">
        <f aca="false">Normalized_Accounts!I6</f>
        <v>410000</v>
      </c>
      <c r="C63" s="11" t="n">
        <f aca="false">Scoring!K6</f>
        <v>65.98</v>
      </c>
      <c r="D63" s="11" t="n">
        <f aca="false">Scoring!L6</f>
        <v>81.693</v>
      </c>
      <c r="E63" s="1" t="str">
        <f aca="false">IF(Scoring!$N$6="Controlled exception/hold",IF(Normalized_Accounts!$H$6="Controlled exception","Controlled exception","Excluded/hold"),Scoring!$N$6)</f>
        <v>Tier 1</v>
      </c>
      <c r="F63" s="1" t="str">
        <f aca="false">Normalized_Accounts!$C$6</f>
        <v>Industrial</v>
      </c>
      <c r="G63" s="12"/>
      <c r="H63" s="12"/>
      <c r="I63" s="12"/>
      <c r="J63" s="12"/>
      <c r="K63" s="12"/>
    </row>
    <row r="64" customFormat="false" ht="15" hidden="false" customHeight="true" outlineLevel="0" collapsed="false">
      <c r="A64" s="9" t="s">
        <v>115</v>
      </c>
      <c r="B64" s="7" t="n">
        <f aca="false">Normalized_Accounts!I7</f>
        <v>82000</v>
      </c>
      <c r="C64" s="11" t="n">
        <f aca="false">Scoring!K7</f>
        <v>32.6</v>
      </c>
      <c r="D64" s="11" t="n">
        <f aca="false">Scoring!L7</f>
        <v>47.81</v>
      </c>
      <c r="E64" s="1" t="str">
        <f aca="false">IF(Scoring!$N$7="Controlled exception/hold",IF(Normalized_Accounts!$H$7="Controlled exception","Controlled exception","Excluded/hold"),Scoring!$N$7)</f>
        <v>Tier 3</v>
      </c>
      <c r="F64" s="1" t="str">
        <f aca="false">Normalized_Accounts!$C$7</f>
        <v>Retail</v>
      </c>
      <c r="G64" s="12"/>
      <c r="H64" s="12"/>
      <c r="I64" s="12"/>
      <c r="J64" s="12"/>
      <c r="K64" s="12"/>
    </row>
    <row r="65" customFormat="false" ht="15" hidden="false" customHeight="true" outlineLevel="0" collapsed="false">
      <c r="A65" s="9" t="s">
        <v>120</v>
      </c>
      <c r="B65" s="7" t="n">
        <f aca="false">Normalized_Accounts!I8</f>
        <v>260000</v>
      </c>
      <c r="C65" s="11" t="n">
        <f aca="false">Scoring!K8</f>
        <v>56.58</v>
      </c>
      <c r="D65" s="11" t="n">
        <f aca="false">Scoring!L8</f>
        <v>66.303</v>
      </c>
      <c r="E65" s="1" t="str">
        <f aca="false">IF(Scoring!$N$8="Controlled exception/hold",IF(Normalized_Accounts!$H$8="Controlled exception","Controlled exception","Excluded/hold"),Scoring!$N$8)</f>
        <v>Tier 2</v>
      </c>
      <c r="F65" s="1" t="str">
        <f aca="false">Normalized_Accounts!$C$8</f>
        <v>Financial Services</v>
      </c>
      <c r="G65" s="12"/>
      <c r="H65" s="12"/>
      <c r="I65" s="12"/>
      <c r="J65" s="12"/>
      <c r="K65" s="12"/>
    </row>
    <row r="66" customFormat="false" ht="15" hidden="false" customHeight="true" outlineLevel="0" collapsed="false">
      <c r="A66" s="9" t="s">
        <v>123</v>
      </c>
      <c r="B66" s="7" t="n">
        <f aca="false">Normalized_Accounts!I9</f>
        <v>110000</v>
      </c>
      <c r="C66" s="11" t="n">
        <f aca="false">Scoring!K9</f>
        <v>34.49</v>
      </c>
      <c r="D66" s="11" t="n">
        <f aca="false">Scoring!L9</f>
        <v>40.8215</v>
      </c>
      <c r="E66" s="1" t="str">
        <f aca="false">IF(Scoring!$N$9="Controlled exception/hold",IF(Normalized_Accounts!$H$9="Controlled exception","Controlled exception","Excluded/hold"),Scoring!$N$9)</f>
        <v>Tier 3</v>
      </c>
      <c r="F66" s="1" t="str">
        <f aca="false">Normalized_Accounts!$C$9</f>
        <v>Education</v>
      </c>
      <c r="G66" s="12"/>
      <c r="H66" s="12"/>
      <c r="I66" s="12"/>
      <c r="J66" s="12"/>
      <c r="K66" s="12"/>
    </row>
    <row r="67" customFormat="false" ht="15" hidden="false" customHeight="true" outlineLevel="0" collapsed="false">
      <c r="A67" s="9" t="s">
        <v>127</v>
      </c>
      <c r="B67" s="7" t="n">
        <f aca="false">Normalized_Accounts!I10</f>
        <v>190000</v>
      </c>
      <c r="C67" s="11" t="n">
        <f aca="false">Scoring!K10</f>
        <v>53.2</v>
      </c>
      <c r="D67" s="11" t="n">
        <f aca="false">Scoring!L10</f>
        <v>64.12</v>
      </c>
      <c r="E67" s="1" t="str">
        <f aca="false">IF(Scoring!$N$10="Controlled exception/hold",IF(Normalized_Accounts!$H$10="Controlled exception","Controlled exception","Excluded/hold"),Scoring!$N$10)</f>
        <v>Tier 2</v>
      </c>
      <c r="F67" s="1" t="str">
        <f aca="false">Normalized_Accounts!$C$10</f>
        <v>Travel</v>
      </c>
      <c r="G67" s="12"/>
      <c r="H67" s="12"/>
      <c r="I67" s="12"/>
      <c r="J67" s="12"/>
      <c r="K67" s="12"/>
    </row>
    <row r="68" customFormat="false" ht="15" hidden="false" customHeight="true" outlineLevel="0" collapsed="false">
      <c r="A68" s="9" t="s">
        <v>131</v>
      </c>
      <c r="B68" s="7" t="n">
        <f aca="false">Normalized_Accounts!I11</f>
        <v>75000</v>
      </c>
      <c r="C68" s="11" t="n">
        <f aca="false">Scoring!K11</f>
        <v>25.6</v>
      </c>
      <c r="D68" s="11" t="n">
        <f aca="false">Scoring!L11</f>
        <v>34.685</v>
      </c>
      <c r="E68" s="1" t="str">
        <f aca="false">IF(Scoring!$N$11="Controlled exception/hold",IF(Normalized_Accounts!$H$11="Controlled exception","Controlled exception","Excluded/hold"),Scoring!$N$11)</f>
        <v>Tier 3</v>
      </c>
      <c r="F68" s="1" t="str">
        <f aca="false">Normalized_Accounts!$C$11</f>
        <v>Professional Services</v>
      </c>
      <c r="G68" s="12"/>
      <c r="H68" s="12"/>
      <c r="I68" s="12"/>
      <c r="J68" s="12"/>
      <c r="K68" s="12"/>
    </row>
    <row r="69" customFormat="false" ht="15" hidden="false" customHeight="true" outlineLevel="0" collapsed="false">
      <c r="A69" s="9" t="s">
        <v>135</v>
      </c>
      <c r="B69" s="7" t="n">
        <f aca="false">Normalized_Accounts!I12</f>
        <v>175000</v>
      </c>
      <c r="C69" s="11" t="n">
        <f aca="false">Scoring!K12</f>
        <v>45.53</v>
      </c>
      <c r="D69" s="11" t="n">
        <f aca="false">Scoring!L12</f>
        <v>55.0605</v>
      </c>
      <c r="E69" s="1" t="str">
        <f aca="false">IF(Scoring!$N$12="Controlled exception/hold",IF(Normalized_Accounts!$H$12="Controlled exception","Controlled exception","Excluded/hold"),Scoring!$N$12)</f>
        <v>Tier 3</v>
      </c>
      <c r="F69" s="1" t="str">
        <f aca="false">Normalized_Accounts!$C$12</f>
        <v>Energy</v>
      </c>
      <c r="G69" s="12"/>
      <c r="H69" s="12"/>
      <c r="I69" s="12"/>
      <c r="J69" s="12"/>
      <c r="K69" s="12"/>
    </row>
    <row r="70" customFormat="false" ht="15" hidden="false" customHeight="true" outlineLevel="0" collapsed="false">
      <c r="A70" s="9" t="s">
        <v>138</v>
      </c>
      <c r="B70" s="7" t="n">
        <f aca="false">Normalized_Accounts!I13</f>
        <v>305000</v>
      </c>
      <c r="C70" s="11" t="n">
        <f aca="false">Scoring!K13</f>
        <v>63.35</v>
      </c>
      <c r="D70" s="11" t="n">
        <f aca="false">Scoring!L13</f>
        <v>72.6475</v>
      </c>
      <c r="E70" s="1" t="str">
        <f aca="false">IF(Scoring!$N$13="Controlled exception/hold",IF(Normalized_Accounts!$H$13="Controlled exception","Controlled exception","Excluded/hold"),Scoring!$N$13)</f>
        <v>Tier 2</v>
      </c>
      <c r="F70" s="1" t="str">
        <f aca="false">Normalized_Accounts!$C$13</f>
        <v>Retail</v>
      </c>
      <c r="G70" s="12"/>
      <c r="H70" s="12"/>
      <c r="I70" s="12"/>
      <c r="J70" s="12"/>
      <c r="K70" s="12"/>
    </row>
    <row r="71" customFormat="false" ht="15" hidden="false" customHeight="true" outlineLevel="0" collapsed="false">
      <c r="A71" s="9" t="s">
        <v>141</v>
      </c>
      <c r="B71" s="7" t="n">
        <f aca="false">Normalized_Accounts!I14</f>
        <v>165000</v>
      </c>
      <c r="C71" s="11" t="n">
        <f aca="false">Scoring!K14</f>
        <v>37.47</v>
      </c>
      <c r="D71" s="11" t="n">
        <f aca="false">Scoring!L14</f>
        <v>42.0895</v>
      </c>
      <c r="E71" s="1" t="str">
        <f aca="false">IF(Scoring!$N$14="Controlled exception/hold",IF(Normalized_Accounts!$H$14="Controlled exception","Controlled exception","Excluded/hold"),Scoring!$N$14)</f>
        <v>Controlled exception</v>
      </c>
      <c r="F71" s="1" t="str">
        <f aca="false">Normalized_Accounts!$C$14</f>
        <v>Healthcare</v>
      </c>
      <c r="G71" s="12"/>
      <c r="H71" s="12"/>
      <c r="I71" s="12"/>
      <c r="J71" s="12"/>
      <c r="K71" s="12"/>
    </row>
    <row r="72" customFormat="false" ht="15" hidden="false" customHeight="true" outlineLevel="0" collapsed="false">
      <c r="A72" s="9" t="s">
        <v>144</v>
      </c>
      <c r="B72" s="7" t="n">
        <f aca="false">Normalized_Accounts!I15</f>
        <v>360000</v>
      </c>
      <c r="C72" s="11" t="n">
        <f aca="false">Scoring!K15</f>
        <v>57.48</v>
      </c>
      <c r="D72" s="11" t="n">
        <f aca="false">Scoring!L15</f>
        <v>75.118</v>
      </c>
      <c r="E72" s="1" t="str">
        <f aca="false">IF(Scoring!$N$15="Controlled exception/hold",IF(Normalized_Accounts!$H$15="Controlled exception","Controlled exception","Excluded/hold"),Scoring!$N$15)</f>
        <v>Controlled exception</v>
      </c>
      <c r="F72" s="1" t="str">
        <f aca="false">Normalized_Accounts!$C$15</f>
        <v>Financial Services</v>
      </c>
      <c r="G72" s="12"/>
      <c r="H72" s="12"/>
      <c r="I72" s="12"/>
      <c r="J72" s="12"/>
      <c r="K72" s="12"/>
    </row>
    <row r="73" customFormat="false" ht="15" hidden="false" customHeight="true" outlineLevel="0" collapsed="false">
      <c r="A73" s="9" t="s">
        <v>147</v>
      </c>
      <c r="B73" s="7" t="n">
        <f aca="false">Normalized_Accounts!I16</f>
        <v>210000</v>
      </c>
      <c r="C73" s="11" t="n">
        <f aca="false">Scoring!K16</f>
        <v>57.71</v>
      </c>
      <c r="D73" s="11" t="n">
        <f aca="false">Scoring!L16</f>
        <v>62.8485</v>
      </c>
      <c r="E73" s="1" t="str">
        <f aca="false">IF(Scoring!$N$16="Controlled exception/hold",IF(Normalized_Accounts!$H$16="Controlled exception","Controlled exception","Excluded/hold"),Scoring!$N$16)</f>
        <v>Controlled exception</v>
      </c>
      <c r="F73" s="1" t="str">
        <f aca="false">Normalized_Accounts!$C$16</f>
        <v>Industrial</v>
      </c>
      <c r="G73" s="12"/>
      <c r="H73" s="12"/>
      <c r="I73" s="12"/>
      <c r="J73" s="12"/>
      <c r="K73" s="12"/>
    </row>
    <row r="74" customFormat="false" ht="15" hidden="false" customHeight="true" outlineLevel="0" collapsed="false">
      <c r="A74" s="9" t="s">
        <v>150</v>
      </c>
      <c r="B74" s="7" t="n">
        <f aca="false">Normalized_Accounts!I17</f>
        <v>62000</v>
      </c>
      <c r="C74" s="11" t="n">
        <f aca="false">Scoring!K17</f>
        <v>10.4</v>
      </c>
      <c r="D74" s="11" t="n">
        <f aca="false">Scoring!L17</f>
        <v>38.39</v>
      </c>
      <c r="E74" s="1" t="str">
        <f aca="false">IF(Scoring!$N$17="Controlled exception/hold",IF(Normalized_Accounts!$H$17="Controlled exception","Controlled exception","Excluded/hold"),Scoring!$N$17)</f>
        <v>Excluded/hold</v>
      </c>
      <c r="F74" s="1" t="str">
        <f aca="false">Normalized_Accounts!$C$17</f>
        <v>Local Services</v>
      </c>
      <c r="G74" s="12"/>
      <c r="H74" s="12"/>
      <c r="I74" s="12"/>
      <c r="J74" s="12"/>
      <c r="K74" s="12"/>
    </row>
    <row r="75" customFormat="false" ht="15" hidden="false" customHeight="true" outlineLevel="0" collapsed="false">
      <c r="A75" s="9" t="s">
        <v>156</v>
      </c>
      <c r="B75" s="7" t="n">
        <f aca="false">Normalized_Accounts!I18</f>
        <v>520000</v>
      </c>
      <c r="C75" s="11" t="n">
        <f aca="false">Scoring!K18</f>
        <v>61.5</v>
      </c>
      <c r="D75" s="11" t="n">
        <f aca="false">Scoring!L18</f>
        <v>68.525</v>
      </c>
      <c r="E75" s="1" t="str">
        <f aca="false">IF(Scoring!$N$18="Controlled exception/hold",IF(Normalized_Accounts!$H$18="Controlled exception","Controlled exception","Excluded/hold"),Scoring!$N$18)</f>
        <v>Controlled exception</v>
      </c>
      <c r="F75" s="1" t="str">
        <f aca="false">Normalized_Accounts!$C$18</f>
        <v>Healthcare</v>
      </c>
      <c r="G75" s="12"/>
      <c r="H75" s="12"/>
      <c r="I75" s="12"/>
      <c r="J75" s="12"/>
      <c r="K75" s="12"/>
    </row>
    <row r="76" customFormat="false" ht="15" hidden="false" customHeight="true" outlineLevel="0" collapsed="false">
      <c r="A76" s="9" t="s">
        <v>160</v>
      </c>
      <c r="B76" s="7" t="n">
        <f aca="false">Normalized_Accounts!I19</f>
        <v>135000</v>
      </c>
      <c r="C76" s="11" t="n">
        <f aca="false">Scoring!K19</f>
        <v>27.36</v>
      </c>
      <c r="D76" s="11" t="n">
        <f aca="false">Scoring!L19</f>
        <v>25.001</v>
      </c>
      <c r="E76" s="1" t="str">
        <f aca="false">IF(Scoring!$N$19="Controlled exception/hold",IF(Normalized_Accounts!$H$19="Controlled exception","Controlled exception","Excluded/hold"),Scoring!$N$19)</f>
        <v>Excluded/hold</v>
      </c>
      <c r="F76" s="1" t="str">
        <f aca="false">Normalized_Accounts!$C$19</f>
        <v>Agency</v>
      </c>
      <c r="G76" s="12"/>
      <c r="H76" s="12"/>
      <c r="I76" s="12"/>
      <c r="J76" s="12"/>
      <c r="K76" s="12"/>
    </row>
    <row r="77" customFormat="false" ht="1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customFormat="false" ht="1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customFormat="false" ht="1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customFormat="false" ht="15" hidden="false" customHeight="true" outlineLevel="0" collapsed="false">
      <c r="A80" s="14" t="s">
        <v>715</v>
      </c>
      <c r="B80" s="14" t="s">
        <v>317</v>
      </c>
      <c r="C80" s="14" t="s">
        <v>713</v>
      </c>
      <c r="D80" s="14" t="s">
        <v>76</v>
      </c>
      <c r="E80" s="12"/>
      <c r="F80" s="12"/>
      <c r="G80" s="12"/>
      <c r="H80" s="12"/>
      <c r="I80" s="12"/>
      <c r="J80" s="12"/>
      <c r="K80" s="12"/>
    </row>
    <row r="81" customFormat="false" ht="15" hidden="false" customHeight="true" outlineLevel="0" collapsed="false">
      <c r="A81" s="1" t="str">
        <f aca="false">Chart_Data!$A$59</f>
        <v>A-1001</v>
      </c>
      <c r="B81" s="16" t="n">
        <f aca="false">Chart_Data!$B$59</f>
        <v>340000</v>
      </c>
      <c r="C81" s="17" t="n">
        <f aca="false">Chart_Data!$C$59</f>
        <v>58.64</v>
      </c>
      <c r="D81" s="1" t="str">
        <f aca="false">Chart_Data!$F$59</f>
        <v>Healthcare</v>
      </c>
      <c r="E81" s="12"/>
      <c r="F81" s="12"/>
      <c r="G81" s="12"/>
      <c r="H81" s="12"/>
      <c r="I81" s="12"/>
      <c r="J81" s="12"/>
      <c r="K81" s="12"/>
    </row>
    <row r="82" customFormat="false" ht="15" hidden="false" customHeight="true" outlineLevel="0" collapsed="false">
      <c r="A82" s="1" t="str">
        <f aca="false">Chart_Data!$A$63</f>
        <v>A-1005</v>
      </c>
      <c r="B82" s="16" t="n">
        <f aca="false">Chart_Data!$B$63</f>
        <v>410000</v>
      </c>
      <c r="C82" s="17" t="n">
        <f aca="false">Chart_Data!$C$63</f>
        <v>65.98</v>
      </c>
      <c r="D82" s="1" t="str">
        <f aca="false">Chart_Data!$F$63</f>
        <v>Industrial</v>
      </c>
      <c r="E82" s="12"/>
      <c r="F82" s="12"/>
      <c r="G82" s="12"/>
      <c r="H82" s="12"/>
      <c r="I82" s="12"/>
      <c r="J82" s="12"/>
      <c r="K82" s="12"/>
    </row>
    <row r="83" customFormat="false" ht="1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customFormat="false" ht="15" hidden="false" customHeight="true" outlineLevel="0" collapsed="false">
      <c r="A84" s="18" t="s">
        <v>716</v>
      </c>
      <c r="B84" s="18" t="s">
        <v>317</v>
      </c>
      <c r="C84" s="18" t="s">
        <v>713</v>
      </c>
      <c r="D84" s="18" t="s">
        <v>76</v>
      </c>
      <c r="E84" s="12"/>
      <c r="F84" s="12"/>
      <c r="G84" s="12"/>
      <c r="H84" s="12"/>
      <c r="I84" s="12"/>
      <c r="J84" s="12"/>
      <c r="K84" s="12"/>
    </row>
    <row r="85" customFormat="false" ht="15" hidden="false" customHeight="true" outlineLevel="0" collapsed="false">
      <c r="A85" s="1" t="str">
        <f aca="false">Chart_Data!$A$61</f>
        <v>A-1003</v>
      </c>
      <c r="B85" s="16" t="n">
        <f aca="false">Chart_Data!$B$61</f>
        <v>295000</v>
      </c>
      <c r="C85" s="17" t="n">
        <f aca="false">Chart_Data!$C$61</f>
        <v>49.12</v>
      </c>
      <c r="D85" s="1" t="str">
        <f aca="false">Chart_Data!$F$61</f>
        <v>Technology</v>
      </c>
      <c r="E85" s="12"/>
      <c r="F85" s="12"/>
      <c r="G85" s="12"/>
      <c r="H85" s="12"/>
      <c r="I85" s="12"/>
      <c r="J85" s="12"/>
      <c r="K85" s="12"/>
    </row>
    <row r="86" customFormat="false" ht="15" hidden="false" customHeight="true" outlineLevel="0" collapsed="false">
      <c r="A86" s="1" t="str">
        <f aca="false">Chart_Data!$A$65</f>
        <v>A-1007</v>
      </c>
      <c r="B86" s="16" t="n">
        <f aca="false">Chart_Data!$B$65</f>
        <v>260000</v>
      </c>
      <c r="C86" s="17" t="n">
        <f aca="false">Chart_Data!$C$65</f>
        <v>56.58</v>
      </c>
      <c r="D86" s="1" t="str">
        <f aca="false">Chart_Data!$F$65</f>
        <v>Financial Services</v>
      </c>
      <c r="E86" s="12"/>
      <c r="F86" s="12"/>
      <c r="G86" s="12"/>
      <c r="H86" s="12"/>
      <c r="I86" s="12"/>
      <c r="J86" s="12"/>
      <c r="K86" s="12"/>
    </row>
    <row r="87" customFormat="false" ht="15" hidden="false" customHeight="true" outlineLevel="0" collapsed="false">
      <c r="A87" s="1" t="str">
        <f aca="false">Chart_Data!$A$67</f>
        <v>A-1009</v>
      </c>
      <c r="B87" s="16" t="n">
        <f aca="false">Chart_Data!$B$67</f>
        <v>190000</v>
      </c>
      <c r="C87" s="17" t="n">
        <f aca="false">Chart_Data!$C$67</f>
        <v>53.2</v>
      </c>
      <c r="D87" s="1" t="str">
        <f aca="false">Chart_Data!$F$67</f>
        <v>Travel</v>
      </c>
      <c r="E87" s="12"/>
      <c r="F87" s="12"/>
      <c r="G87" s="12"/>
      <c r="H87" s="12"/>
      <c r="I87" s="12"/>
      <c r="J87" s="12"/>
      <c r="K87" s="12"/>
    </row>
    <row r="88" customFormat="false" ht="15" hidden="false" customHeight="true" outlineLevel="0" collapsed="false">
      <c r="A88" s="1" t="str">
        <f aca="false">Chart_Data!$A$70</f>
        <v>A-1012</v>
      </c>
      <c r="B88" s="16" t="n">
        <f aca="false">Chart_Data!$B$70</f>
        <v>305000</v>
      </c>
      <c r="C88" s="17" t="n">
        <f aca="false">Chart_Data!$C$70</f>
        <v>63.35</v>
      </c>
      <c r="D88" s="1" t="str">
        <f aca="false">Chart_Data!$F$70</f>
        <v>Retail</v>
      </c>
      <c r="E88" s="12"/>
      <c r="F88" s="12"/>
      <c r="G88" s="12"/>
      <c r="H88" s="12"/>
      <c r="I88" s="12"/>
      <c r="J88" s="12"/>
      <c r="K88" s="12"/>
    </row>
    <row r="89" customFormat="false" ht="1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customFormat="false" ht="15" hidden="false" customHeight="true" outlineLevel="0" collapsed="false">
      <c r="A90" s="19" t="s">
        <v>717</v>
      </c>
      <c r="B90" s="19" t="s">
        <v>317</v>
      </c>
      <c r="C90" s="19" t="s">
        <v>713</v>
      </c>
      <c r="D90" s="19" t="s">
        <v>76</v>
      </c>
      <c r="E90" s="12"/>
      <c r="F90" s="12"/>
      <c r="G90" s="12"/>
      <c r="H90" s="12"/>
      <c r="I90" s="12"/>
      <c r="J90" s="12"/>
      <c r="K90" s="12"/>
    </row>
    <row r="91" customFormat="false" ht="15" hidden="false" customHeight="true" outlineLevel="0" collapsed="false">
      <c r="A91" s="1" t="str">
        <f aca="false">Chart_Data!$A$60</f>
        <v>A-1002</v>
      </c>
      <c r="B91" s="16" t="n">
        <f aca="false">Chart_Data!$B$60</f>
        <v>220000</v>
      </c>
      <c r="C91" s="17" t="n">
        <f aca="false">Chart_Data!$C$60</f>
        <v>46.22</v>
      </c>
      <c r="D91" s="1" t="str">
        <f aca="false">Chart_Data!$F$60</f>
        <v>Financial Services</v>
      </c>
      <c r="E91" s="12"/>
      <c r="F91" s="12"/>
      <c r="G91" s="12"/>
      <c r="H91" s="12"/>
      <c r="I91" s="12"/>
      <c r="J91" s="12"/>
      <c r="K91" s="12"/>
    </row>
    <row r="92" customFormat="false" ht="15" hidden="false" customHeight="true" outlineLevel="0" collapsed="false">
      <c r="A92" s="1" t="str">
        <f aca="false">Chart_Data!$A$62</f>
        <v>A-1004</v>
      </c>
      <c r="B92" s="16" t="n">
        <f aca="false">Chart_Data!$B$62</f>
        <v>150000</v>
      </c>
      <c r="C92" s="17" t="n">
        <f aca="false">Chart_Data!$C$62</f>
        <v>45.99</v>
      </c>
      <c r="D92" s="1" t="str">
        <f aca="false">Chart_Data!$F$62</f>
        <v>Retail</v>
      </c>
      <c r="E92" s="12"/>
      <c r="F92" s="12"/>
      <c r="G92" s="12"/>
      <c r="H92" s="12"/>
      <c r="I92" s="12"/>
      <c r="J92" s="12"/>
      <c r="K92" s="12"/>
    </row>
    <row r="93" customFormat="false" ht="15" hidden="false" customHeight="true" outlineLevel="0" collapsed="false">
      <c r="A93" s="1" t="str">
        <f aca="false">Chart_Data!$A$64</f>
        <v>A-1006</v>
      </c>
      <c r="B93" s="16" t="n">
        <f aca="false">Chart_Data!$B$64</f>
        <v>82000</v>
      </c>
      <c r="C93" s="17" t="n">
        <f aca="false">Chart_Data!$C$64</f>
        <v>32.6</v>
      </c>
      <c r="D93" s="1" t="str">
        <f aca="false">Chart_Data!$F$64</f>
        <v>Retail</v>
      </c>
      <c r="E93" s="12"/>
      <c r="F93" s="12"/>
      <c r="G93" s="12"/>
      <c r="H93" s="12"/>
      <c r="I93" s="12"/>
      <c r="J93" s="12"/>
      <c r="K93" s="12"/>
    </row>
    <row r="94" customFormat="false" ht="15" hidden="false" customHeight="true" outlineLevel="0" collapsed="false">
      <c r="A94" s="1" t="str">
        <f aca="false">Chart_Data!$A$66</f>
        <v>A-1008</v>
      </c>
      <c r="B94" s="16" t="n">
        <f aca="false">Chart_Data!$B$66</f>
        <v>110000</v>
      </c>
      <c r="C94" s="17" t="n">
        <f aca="false">Chart_Data!$C$66</f>
        <v>34.49</v>
      </c>
      <c r="D94" s="1" t="str">
        <f aca="false">Chart_Data!$F$66</f>
        <v>Education</v>
      </c>
      <c r="E94" s="12"/>
      <c r="F94" s="12"/>
      <c r="G94" s="12"/>
      <c r="H94" s="12"/>
      <c r="I94" s="12"/>
      <c r="J94" s="12"/>
      <c r="K94" s="12"/>
    </row>
    <row r="95" customFormat="false" ht="15" hidden="false" customHeight="true" outlineLevel="0" collapsed="false">
      <c r="A95" s="1" t="str">
        <f aca="false">Chart_Data!$A$68</f>
        <v>A-1010</v>
      </c>
      <c r="B95" s="16" t="n">
        <f aca="false">Chart_Data!$B$68</f>
        <v>75000</v>
      </c>
      <c r="C95" s="17" t="n">
        <f aca="false">Chart_Data!$C$68</f>
        <v>25.6</v>
      </c>
      <c r="D95" s="1" t="str">
        <f aca="false">Chart_Data!$F$68</f>
        <v>Professional Services</v>
      </c>
      <c r="E95" s="12"/>
      <c r="F95" s="12"/>
      <c r="G95" s="12"/>
      <c r="H95" s="12"/>
      <c r="I95" s="12"/>
      <c r="J95" s="12"/>
      <c r="K95" s="12"/>
    </row>
    <row r="96" customFormat="false" ht="15" hidden="false" customHeight="true" outlineLevel="0" collapsed="false">
      <c r="A96" s="1" t="str">
        <f aca="false">Chart_Data!$A$69</f>
        <v>A-1011</v>
      </c>
      <c r="B96" s="16" t="n">
        <f aca="false">Chart_Data!$B$69</f>
        <v>175000</v>
      </c>
      <c r="C96" s="17" t="n">
        <f aca="false">Chart_Data!$C$69</f>
        <v>45.53</v>
      </c>
      <c r="D96" s="1" t="str">
        <f aca="false">Chart_Data!$F$69</f>
        <v>Energy</v>
      </c>
      <c r="E96" s="12"/>
      <c r="F96" s="12"/>
      <c r="G96" s="12"/>
      <c r="H96" s="12"/>
      <c r="I96" s="12"/>
      <c r="J96" s="12"/>
      <c r="K96" s="12"/>
    </row>
    <row r="97" customFormat="false" ht="1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customFormat="false" ht="15" hidden="false" customHeight="true" outlineLevel="0" collapsed="false">
      <c r="A98" s="20" t="s">
        <v>718</v>
      </c>
      <c r="B98" s="20" t="s">
        <v>317</v>
      </c>
      <c r="C98" s="20" t="s">
        <v>713</v>
      </c>
      <c r="D98" s="20" t="s">
        <v>76</v>
      </c>
      <c r="E98" s="12"/>
      <c r="F98" s="12"/>
      <c r="G98" s="12"/>
      <c r="H98" s="12"/>
      <c r="I98" s="12"/>
      <c r="J98" s="12"/>
      <c r="K98" s="12"/>
    </row>
    <row r="99" customFormat="false" ht="15" hidden="false" customHeight="true" outlineLevel="0" collapsed="false">
      <c r="A99" s="1" t="str">
        <f aca="false">Chart_Data!$A$71</f>
        <v>A-1013</v>
      </c>
      <c r="B99" s="16" t="n">
        <f aca="false">Chart_Data!$B$71</f>
        <v>165000</v>
      </c>
      <c r="C99" s="17" t="n">
        <f aca="false">Chart_Data!$C$71</f>
        <v>37.47</v>
      </c>
      <c r="D99" s="1" t="str">
        <f aca="false">Chart_Data!$F$71</f>
        <v>Healthcare</v>
      </c>
      <c r="E99" s="12"/>
      <c r="F99" s="12"/>
      <c r="G99" s="12"/>
      <c r="H99" s="12"/>
      <c r="I99" s="12"/>
      <c r="J99" s="12"/>
      <c r="K99" s="12"/>
    </row>
    <row r="100" customFormat="false" ht="15" hidden="false" customHeight="true" outlineLevel="0" collapsed="false">
      <c r="A100" s="1" t="str">
        <f aca="false">Chart_Data!$A$72</f>
        <v>A-1014</v>
      </c>
      <c r="B100" s="16" t="n">
        <f aca="false">Chart_Data!$B$72</f>
        <v>360000</v>
      </c>
      <c r="C100" s="17" t="n">
        <f aca="false">Chart_Data!$C$72</f>
        <v>57.48</v>
      </c>
      <c r="D100" s="1" t="str">
        <f aca="false">Chart_Data!$F$72</f>
        <v>Financial Services</v>
      </c>
      <c r="E100" s="12"/>
      <c r="F100" s="12"/>
      <c r="G100" s="12"/>
      <c r="H100" s="12"/>
      <c r="I100" s="12"/>
      <c r="J100" s="12"/>
      <c r="K100" s="12"/>
    </row>
    <row r="101" customFormat="false" ht="15" hidden="false" customHeight="true" outlineLevel="0" collapsed="false">
      <c r="A101" s="1" t="str">
        <f aca="false">Chart_Data!$A$73</f>
        <v>A-1015</v>
      </c>
      <c r="B101" s="16" t="n">
        <f aca="false">Chart_Data!$B$73</f>
        <v>210000</v>
      </c>
      <c r="C101" s="17" t="n">
        <f aca="false">Chart_Data!$C$73</f>
        <v>57.71</v>
      </c>
      <c r="D101" s="1" t="str">
        <f aca="false">Chart_Data!$F$73</f>
        <v>Industrial</v>
      </c>
      <c r="E101" s="12"/>
      <c r="F101" s="12"/>
      <c r="G101" s="12"/>
      <c r="H101" s="12"/>
      <c r="I101" s="12"/>
      <c r="J101" s="12"/>
      <c r="K101" s="12"/>
    </row>
    <row r="102" customFormat="false" ht="15" hidden="false" customHeight="true" outlineLevel="0" collapsed="false">
      <c r="A102" s="1" t="str">
        <f aca="false">Chart_Data!$A$75</f>
        <v>A-1017</v>
      </c>
      <c r="B102" s="16" t="n">
        <f aca="false">Chart_Data!$B$75</f>
        <v>520000</v>
      </c>
      <c r="C102" s="17" t="n">
        <f aca="false">Chart_Data!$C$75</f>
        <v>61.5</v>
      </c>
      <c r="D102" s="1" t="str">
        <f aca="false">Chart_Data!$F$75</f>
        <v>Healthcare</v>
      </c>
      <c r="E102" s="12"/>
      <c r="F102" s="12"/>
      <c r="G102" s="12"/>
      <c r="H102" s="12"/>
      <c r="I102" s="12"/>
      <c r="J102" s="12"/>
      <c r="K102" s="12"/>
    </row>
    <row r="103" customFormat="false" ht="1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customFormat="false" ht="15" hidden="false" customHeight="true" outlineLevel="0" collapsed="false">
      <c r="A104" s="21" t="s">
        <v>719</v>
      </c>
      <c r="B104" s="21" t="s">
        <v>317</v>
      </c>
      <c r="C104" s="21" t="s">
        <v>713</v>
      </c>
      <c r="D104" s="21" t="s">
        <v>76</v>
      </c>
      <c r="E104" s="12"/>
      <c r="F104" s="12"/>
      <c r="G104" s="12"/>
      <c r="H104" s="12"/>
      <c r="I104" s="12"/>
      <c r="J104" s="12"/>
      <c r="K104" s="12"/>
    </row>
    <row r="105" customFormat="false" ht="15" hidden="false" customHeight="true" outlineLevel="0" collapsed="false">
      <c r="A105" s="1" t="str">
        <f aca="false">Chart_Data!$A$74</f>
        <v>A-1016</v>
      </c>
      <c r="B105" s="16" t="n">
        <f aca="false">Chart_Data!$B$74</f>
        <v>62000</v>
      </c>
      <c r="C105" s="17" t="n">
        <f aca="false">Chart_Data!$C$74</f>
        <v>10.4</v>
      </c>
      <c r="D105" s="1" t="str">
        <f aca="false">Chart_Data!$F$74</f>
        <v>Local Services</v>
      </c>
      <c r="E105" s="12"/>
      <c r="F105" s="12"/>
      <c r="G105" s="12"/>
      <c r="H105" s="12"/>
      <c r="I105" s="12"/>
      <c r="J105" s="12"/>
      <c r="K105" s="12"/>
    </row>
    <row r="106" customFormat="false" ht="15" hidden="false" customHeight="true" outlineLevel="0" collapsed="false">
      <c r="A106" s="1" t="str">
        <f aca="false">Chart_Data!$A$76</f>
        <v>A-1018</v>
      </c>
      <c r="B106" s="16" t="n">
        <f aca="false">Chart_Data!$B$76</f>
        <v>135000</v>
      </c>
      <c r="C106" s="17" t="n">
        <f aca="false">Chart_Data!$C$76</f>
        <v>27.36</v>
      </c>
      <c r="D106" s="1" t="str">
        <f aca="false">Chart_Data!$F$76</f>
        <v>Agency</v>
      </c>
      <c r="E106" s="12"/>
      <c r="F106" s="12"/>
      <c r="G106" s="12"/>
      <c r="H106" s="12"/>
      <c r="I106" s="12"/>
      <c r="J106" s="12"/>
      <c r="K106" s="12"/>
    </row>
  </sheetData>
  <sheetProtection sheet="true" sort="false" autoFilter="false" selectUnlockedCells="true"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2.56"/>
  </cols>
  <sheetData>
    <row r="1" customFormat="false" ht="15" hidden="false" customHeight="true" outlineLevel="0" collapsed="false">
      <c r="A1" s="2" t="s">
        <v>720</v>
      </c>
    </row>
    <row r="2" customFormat="false" ht="15" hidden="false" customHeight="true" outlineLevel="0" collapsed="false">
      <c r="A2" s="3" t="s">
        <v>721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2" t="s">
        <v>722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Commerce operations</cp:category>
  <dcterms:created xsi:type="dcterms:W3CDTF">2026-07-17T03:07:38Z</dcterms:created>
  <dc:creator>Northstar Media Network Revenue Operations</dc:creator>
  <dc:description>Live prioritization model for the July 2026 escalated advertiser recovery sprint.</dc:description>
  <cp:keywords>advertising sales account recovery renewal supervisor</cp:keywords>
  <dc:language>en-US</dc:language>
  <cp:lastModifiedBy/>
  <dcterms:modified xsi:type="dcterms:W3CDTF">2026-07-17T04:10:45Z</dcterms:modified>
  <cp:revision>11</cp:revision>
  <dc:subject>Escalated advertiser account recovery</dc:subject>
  <dc:title>Account Prioritization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