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ability Board" sheetId="1" state="visible" r:id="rId1"/>
    <sheet xmlns:r="http://schemas.openxmlformats.org/officeDocument/2006/relationships" name="Sprint Control" sheetId="2" state="visible" r:id="rId2"/>
    <sheet xmlns:r="http://schemas.openxmlformats.org/officeDocument/2006/relationships" name="Approved Work Queue" sheetId="3" state="visible" r:id="rId3"/>
    <sheet xmlns:r="http://schemas.openxmlformats.org/officeDocument/2006/relationships" name="Cleared Contact Path" sheetId="4" state="visible" r:id="rId4"/>
    <sheet xmlns:r="http://schemas.openxmlformats.org/officeDocument/2006/relationships" name="Daily Runbook" sheetId="5" state="visible" r:id="rId5"/>
    <sheet xmlns:r="http://schemas.openxmlformats.org/officeDocument/2006/relationships" name="Controlled Exceptions" sheetId="6" state="visible" r:id="rId6"/>
    <sheet xmlns:r="http://schemas.openxmlformats.org/officeDocument/2006/relationships" name="Excluded and Holds" sheetId="7" state="visible" r:id="rId7"/>
    <sheet xmlns:r="http://schemas.openxmlformats.org/officeDocument/2006/relationships" name="Source Reconciliation" sheetId="8" state="visible" r:id="rId8"/>
    <sheet xmlns:r="http://schemas.openxmlformats.org/officeDocument/2006/relationships" name="Authority Reference" sheetId="9" state="visible" r:id="rId9"/>
    <sheet xmlns:r="http://schemas.openxmlformats.org/officeDocument/2006/relationships" name="Source Control" sheetId="10" state="visible" r:id="rId10"/>
  </sheets>
  <definedNames>
    <definedName name="_xlnm._FilterDatabase" localSheetId="2" hidden="1">'Approved Work Queue'!$A$4:$AN$16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d"/>
    <numFmt numFmtId="166" formatCode="$#,##0;[Red]-$#,##0"/>
    <numFmt numFmtId="167" formatCode="0.0"/>
    <numFmt numFmtId="168" formatCode="ddd, mmm d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</font>
    <font>
      <b val="1"/>
      <color rgb="0017365D"/>
    </font>
    <font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BF9000"/>
      </patternFill>
    </fill>
    <fill>
      <patternFill patternType="solid">
        <fgColor rgb="00E2F0D9"/>
      </patternFill>
    </fill>
    <fill>
      <patternFill patternType="solid">
        <fgColor rgb="00548235"/>
      </patternFill>
    </fill>
    <fill>
      <patternFill patternType="solid">
        <fgColor rgb="00666666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0" pivotButton="0" quotePrefix="0" xfId="0"/>
    <xf numFmtId="0" fontId="3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9" borderId="0" pivotButton="0" quotePrefix="0" xfId="0"/>
    <xf numFmtId="0" fontId="3" fillId="8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pprovedWorkQueue" displayName="ApprovedWorkQueue" ref="A4:AN16" headerRowCount="1">
  <autoFilter ref="A4:AN16"/>
  <tableColumns count="40">
    <tableColumn id="1" name="Desk Work Lane"/>
    <tableColumn id="2" name="Execution Rank"/>
    <tableColumn id="3" name="Conditional Contact Target"/>
    <tableColumn id="4" name="Account ID"/>
    <tableColumn id="5" name="Account Name"/>
    <tableColumn id="6" name="Owner Rep"/>
    <tableColumn id="7" name="Supervisor"/>
    <tableColumn id="8" name="Renewal Date"/>
    <tableColumn id="9" name="Days to Renewal"/>
    <tableColumn id="10" name="Renewal Exposure"/>
    <tableColumn id="11" name="Forecast Variance"/>
    <tableColumn id="12" name="Priority Score"/>
    <tableColumn id="13" name="Primary Issue"/>
    <tableColumn id="14" name="Case IDs"/>
    <tableColumn id="15" name="Operational Owner(s)"/>
    <tableColumn id="16" name="Expected Clearance"/>
    <tableColumn id="17" name="Required Evidence Gate"/>
    <tableColumn id="18" name="Approval Email Support"/>
    <tableColumn id="19" name="Contact Route Support"/>
    <tableColumn id="20" name="Case Evidence Support"/>
    <tableColumn id="21" name="Offer Authority Support"/>
    <tableColumn id="22" name="Release Status"/>
    <tableColumn id="23" name="Released Contact Date"/>
    <tableColumn id="24" name="Approved Offer"/>
    <tableColumn id="25" name="Authority Limit"/>
    <tableColumn id="26" name="Requested Value"/>
    <tableColumn id="27" name="Authority Check"/>
    <tableColumn id="28" name="Approved Contact"/>
    <tableColumn id="29" name="Contact Role"/>
    <tableColumn id="30" name="Preferred Channel"/>
    <tableColumn id="31" name="Timezone"/>
    <tableColumn id="32" name="Contact Restriction"/>
    <tableColumn id="33" name="Supervisor-Approved Customer Action"/>
    <tableColumn id="34" name="Customer Language Guardrail"/>
    <tableColumn id="35" name="Current Rep Commitment"/>
    <tableColumn id="36" name="Commitment Due"/>
    <tableColumn id="37" name="Outreach Status"/>
    <tableColumn id="38" name="Checkpoint Note"/>
    <tableColumn id="39" name="Next Step"/>
    <tableColumn id="40" name="Next Step D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Runbook" displayName="DailyRunbook" ref="A4:H10" headerRowCount="1">
  <autoFilter ref="A4:H10"/>
  <tableColumns count="8">
    <tableColumn id="1" name="Date"/>
    <tableColumn id="2" name="Supervisor Focus"/>
    <tableColumn id="3" name="Pre-contact Clearance Work"/>
    <tableColumn id="4" name="Cleared Customer Contacts Only"/>
    <tableColumn id="5" name="Exception / Hold Check"/>
    <tableColumn id="6" name="16:00 ET Checkpoint Deliverable"/>
    <tableColumn id="7" name="Completion Status"/>
    <tableColumn id="8" name="Supervisor No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ExceptionQueue" displayName="ExceptionQueue" ref="A4:Q8" headerRowCount="1">
  <autoFilter ref="A4:Q8"/>
  <tableColumns count="17">
    <tableColumn id="1" name="Control Lane"/>
    <tableColumn id="2" name="Account ID"/>
    <tableColumn id="3" name="Account Name"/>
    <tableColumn id="4" name="Owner Rep"/>
    <tableColumn id="5" name="Supervisor"/>
    <tableColumn id="6" name="Renewal Date"/>
    <tableColumn id="7" name="Renewal Exposure"/>
    <tableColumn id="8" name="Forecast Variance"/>
    <tableColumn id="9" name="Primary Issue"/>
    <tableColumn id="10" name="Exception Reason"/>
    <tableColumn id="11" name="Escalation Owner"/>
    <tableColumn id="12" name="Decision Due"/>
    <tableColumn id="13" name="Required Route"/>
    <tableColumn id="14" name="Customer Contact Rule"/>
    <tableColumn id="15" name="Exception Status"/>
    <tableColumn id="16" name="Checkpoint Note"/>
    <tableColumn id="17" name="Next Step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HoldQueue" displayName="HoldQueue" ref="A4:H6" headerRowCount="1">
  <autoFilter ref="A4:H6"/>
  <tableColumns count="8">
    <tableColumn id="1" name="Account ID"/>
    <tableColumn id="2" name="Account Name"/>
    <tableColumn id="3" name="Owner Rep"/>
    <tableColumn id="4" name="Status"/>
    <tableColumn id="5" name="Reason"/>
    <tableColumn id="6" name="Permitted Supervisor Action"/>
    <tableColumn id="7" name="Review Date"/>
    <tableColumn id="8" name="Note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id="5" name="SourceReconciliation" displayName="SourceReconciliation" ref="A4:Y22" headerRowCount="1">
  <autoFilter ref="A4:Y22"/>
  <tableColumns count="25">
    <tableColumn id="1" name="Account ID"/>
    <tableColumn id="2" name="Account Name"/>
    <tableColumn id="3" name="July 15 Approval Scope"/>
    <tableColumn id="4" name="Package Control Lane"/>
    <tableColumn id="5" name="Scope Match"/>
    <tableColumn id="6" name="CRM Lifecycle State"/>
    <tableColumn id="7" name="CRM Opportunity Approval"/>
    <tableColumn id="8" name="Owner Match"/>
    <tableColumn id="9" name="Renewal Date Match"/>
    <tableColumn id="10" name="Exposure Match"/>
    <tableColumn id="11" name="Requested Value Match"/>
    <tableColumn id="12" name="Watchlist Risk Rank"/>
    <tableColumn id="13" name="Watchlist Offer"/>
    <tableColumn id="14" name="Offer / Authority Check"/>
    <tableColumn id="15" name="Ops Case Count"/>
    <tableColumn id="16" name="Ops Max Severity"/>
    <tableColumn id="17" name="Ops Average Age"/>
    <tableColumn id="18" name="Ops Status and Dependencies"/>
    <tableColumn id="19" name="Contact Route"/>
    <tableColumn id="20" name="Contact Control Check"/>
    <tableColumn id="21" name="Conditional Contact Target"/>
    <tableColumn id="22" name="Initial Release State"/>
    <tableColumn id="23" name="Overall Reconciliation"/>
    <tableColumn id="24" name="Required Supervisor Disposition"/>
    <tableColumn id="25" name="Correction / Control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uthorityReference" displayName="AuthorityReference" ref="A4:G10" headerRowCount="1">
  <autoFilter ref="A4:G10"/>
  <tableColumns count="7">
    <tableColumn id="1" name="Offer Code"/>
    <tableColumn id="2" name="Issue Basis"/>
    <tableColumn id="3" name="Eligible Tiers"/>
    <tableColumn id="4" name="Authority Limit"/>
    <tableColumn id="5" name="Approval"/>
    <tableColumn id="6" name="Permitted Use"/>
    <tableColumn id="7" name="If Evidence Is Missing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SourceControl" displayName="SourceControl" ref="A4:D12" headerRowCount="1">
  <autoFilter ref="A4:D12"/>
  <tableColumns count="4">
    <tableColumn id="1" name="Source"/>
    <tableColumn id="2" name="As-of / Effective Date"/>
    <tableColumn id="3" name="Use in Package"/>
    <tableColumn id="4" name="Control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55" customWidth="1" min="3" max="3"/>
    <col width="48" customWidth="1" min="4" max="4"/>
    <col width="48" customWidth="1" min="5" max="5"/>
    <col width="55" customWidth="1" min="6" max="6"/>
    <col width="18" customWidth="1" min="7" max="7"/>
    <col width="52" customWidth="1" min="8" max="8"/>
  </cols>
  <sheetData>
    <row r="1" ht="28" customHeight="1">
      <c r="A1" s="1" t="inlineStr">
        <is>
          <t>Northstar Sprint Workability Board</t>
        </is>
      </c>
    </row>
    <row r="2" ht="30" customHeight="1">
      <c r="A2" s="2" t="inlineStr">
        <is>
          <t>The control decision comes before risk priority: approved desk work, customer release, controlled exceptions, and holds are separate lanes.</t>
        </is>
      </c>
    </row>
    <row r="4" ht="32" customHeight="1">
      <c r="A4" s="3" t="inlineStr">
        <is>
          <t>Control Lane</t>
        </is>
      </c>
      <c r="B4" s="3" t="inlineStr">
        <is>
          <t>Current Count</t>
        </is>
      </c>
      <c r="C4" s="3" t="inlineStr">
        <is>
          <t>Account IDs</t>
        </is>
      </c>
      <c r="D4" s="3" t="inlineStr">
        <is>
          <t>Can the Desk Work It Now?</t>
        </is>
      </c>
      <c r="E4" s="3" t="inlineStr">
        <is>
          <t>Can the Rep Contact the Customer Now?</t>
        </is>
      </c>
      <c r="F4" s="3" t="inlineStr">
        <is>
          <t>Release Rule</t>
        </is>
      </c>
      <c r="G4" s="3" t="inlineStr">
        <is>
          <t>Owner</t>
        </is>
      </c>
      <c r="H4" s="3" t="inlineStr">
        <is>
          <t>Control Note</t>
        </is>
      </c>
    </row>
    <row r="5" ht="48" customHeight="1">
      <c r="A5" s="4" t="inlineStr">
        <is>
          <t>WORK NOW — CLEAR / PREPARE</t>
        </is>
      </c>
      <c r="B5" s="5" t="n">
        <v>12</v>
      </c>
      <c r="C5" s="5" t="inlineStr">
        <is>
          <t>A-1001, A-1002, A-1003, A-1004, A-1005, A-1006, A-1007, A-1008, A-1009, A-1010, A-1011, A-1012</t>
        </is>
      </c>
      <c r="D5" s="5" t="inlineStr">
        <is>
          <t>Yes — supervisor and owner rep may complete the named evidence and prepare the approved action.</t>
        </is>
      </c>
      <c r="E5" s="5" t="inlineStr">
        <is>
          <t>No accounts are customer-ready in the supplied evidence snapshot.</t>
        </is>
      </c>
      <c r="F5" s="5" t="inlineStr">
        <is>
          <t>Customer contact only after all four row-level source controls calculate a Cleared release.</t>
        </is>
      </c>
      <c r="G5" s="5" t="inlineStr">
        <is>
          <t>Dana Morales</t>
        </is>
      </c>
      <c r="H5" s="5" t="inlineStr">
        <is>
          <t>These accounts are approved for local execution; rank applies only inside this lane.</t>
        </is>
      </c>
    </row>
    <row r="6" ht="48" customHeight="1">
      <c r="A6" s="6" t="inlineStr">
        <is>
          <t>CUSTOMER-READY NOW</t>
        </is>
      </c>
      <c r="B6" s="7">
        <f>COUNTIF('Approved Work Queue'!V5:V16,"Cleared")</f>
        <v/>
      </c>
      <c r="C6" s="7" t="inlineStr">
        <is>
          <t>See Cleared Contact Path</t>
        </is>
      </c>
      <c r="D6" s="7" t="inlineStr">
        <is>
          <t>Only accounts displayed on Cleared Contact Path are released for dated contact.</t>
        </is>
      </c>
      <c r="E6" s="7" t="inlineStr">
        <is>
          <t>Only after Release Status calculates Cleared</t>
        </is>
      </c>
      <c r="F6" s="7" t="inlineStr">
        <is>
          <t>Current case exports show an open dependency, missing confirmation, or required deliverable for every approved row at package creation.</t>
        </is>
      </c>
      <c r="G6" s="7" t="inlineStr">
        <is>
          <t>Dana Morales</t>
        </is>
      </c>
      <c r="H6" s="7" t="inlineStr">
        <is>
          <t>Reassess from current owner evidence at sprint launch; do not infer clearance from an expected date.</t>
        </is>
      </c>
    </row>
    <row r="7" ht="48" customHeight="1">
      <c r="A7" s="8" t="inlineStr">
        <is>
          <t>CONTROLLED EXCEPTION</t>
        </is>
      </c>
      <c r="B7" s="9" t="n">
        <v>4</v>
      </c>
      <c r="C7" s="9" t="inlineStr">
        <is>
          <t>A-1013, A-1014, A-1015, A-1017</t>
        </is>
      </c>
      <c r="D7" s="9" t="inlineStr">
        <is>
          <t>Internal escalation only.</t>
        </is>
      </c>
      <c r="E7" s="9" t="inlineStr">
        <is>
          <t>No local commitment</t>
        </is>
      </c>
      <c r="F7" s="9" t="inlineStr">
        <is>
          <t>Named manager, legal, contact-route, or operational owner must approve a route.</t>
        </is>
      </c>
      <c r="G7" s="9" t="inlineStr">
        <is>
          <t>Dana Morales</t>
        </is>
      </c>
      <c r="H7" s="9" t="inlineStr">
        <is>
          <t>These accounts are physically separated from the work-now queue and carry no execution rank.</t>
        </is>
      </c>
    </row>
    <row r="8" ht="48" customHeight="1">
      <c r="A8" s="10" t="inlineStr">
        <is>
          <t>EXCLUDED / HOLD</t>
        </is>
      </c>
      <c r="B8" s="11" t="n">
        <v>2</v>
      </c>
      <c r="C8" s="11" t="inlineStr">
        <is>
          <t>A-1016, A-1018</t>
        </is>
      </c>
      <c r="D8" s="11" t="inlineStr">
        <is>
          <t>Recordkeeping or future scheduling only.</t>
        </is>
      </c>
      <c r="E8" s="11" t="inlineStr">
        <is>
          <t>No</t>
        </is>
      </c>
      <c r="F8" s="11" t="inlineStr">
        <is>
          <t>A-1016 remains closed; A-1018 remains held for the September agency review.</t>
        </is>
      </c>
      <c r="G8" s="11" t="inlineStr">
        <is>
          <t>Dana Morales</t>
        </is>
      </c>
      <c r="H8" s="11" t="inlineStr">
        <is>
          <t>No July recovery outreach.</t>
        </is>
      </c>
    </row>
    <row r="11">
      <c r="A11" s="12" t="inlineStr">
        <is>
          <t>How an account becomes customer-ready</t>
        </is>
      </c>
    </row>
    <row r="12" ht="28" customHeight="1">
      <c r="A12" s="13" t="inlineStr">
        <is>
          <t>1. The July 15 email must name the account for local execution and support the package lane.</t>
        </is>
      </c>
    </row>
    <row r="13" ht="28" customHeight="1">
      <c r="A13" s="13" t="inlineStr">
        <is>
          <t>2. The directory must show an approved contact route, and the authority matrix must support the exact offer, tier, and value.</t>
        </is>
      </c>
    </row>
    <row r="14" ht="28" customHeight="1">
      <c r="A14" s="13" t="inlineStr">
        <is>
          <t>3. The operational or billing owner supplies the exact evidence named in Required Evidence Gate; Dana marks only Case Evidence Support.</t>
        </is>
      </c>
    </row>
    <row r="15" ht="28" customHeight="1">
      <c r="A15" s="13" t="inlineStr">
        <is>
          <t>4. Release Status calculates Cleared only when all four source controls are Supported; only then may the rep make customer contact.</t>
        </is>
      </c>
    </row>
    <row r="16" ht="28" customHeight="1">
      <c r="A16" s="13" t="inlineStr">
        <is>
          <t>5. A failed control moves to Controlled Exceptions with a named owner and decision date—it is never pushed down the ranking.</t>
        </is>
      </c>
    </row>
  </sheetData>
  <mergeCells count="8">
    <mergeCell ref="A12:H12"/>
    <mergeCell ref="A15:H15"/>
    <mergeCell ref="A2:H2"/>
    <mergeCell ref="A16:H16"/>
    <mergeCell ref="A13:H13"/>
    <mergeCell ref="A11:H11"/>
    <mergeCell ref="A14:H14"/>
    <mergeCell ref="A1:H1"/>
  </mergeCells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85"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8" customWidth="1" min="3" max="3"/>
    <col width="42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Northstar July Recovery Sprint — Supervisor Work Package</t>
        </is>
      </c>
    </row>
    <row r="2" ht="30" customHeight="1">
      <c r="A2" s="2" t="inlineStr">
        <is>
          <t>One controlled package for local execution, exceptions, holds, daily checkpoints, and closeout.</t>
        </is>
      </c>
    </row>
    <row r="4">
      <c r="A4" s="14" t="inlineStr">
        <is>
          <t>Supervisor owner</t>
        </is>
      </c>
      <c r="B4" s="5" t="inlineStr">
        <is>
          <t>Dana Morales</t>
        </is>
      </c>
      <c r="C4" s="14" t="inlineStr">
        <is>
          <t>Approval source</t>
        </is>
      </c>
      <c r="D4" s="5" t="inlineStr">
        <is>
          <t>Elena Whitaker — July 15 approval</t>
        </is>
      </c>
    </row>
    <row r="5">
      <c r="A5" s="14" t="inlineStr">
        <is>
          <t>Execution window</t>
        </is>
      </c>
      <c r="B5" s="5" t="inlineStr">
        <is>
          <t>2026-07-17 through 2026-07-24</t>
        </is>
      </c>
      <c r="C5" s="14" t="inlineStr">
        <is>
          <t>Daily checkpoint</t>
        </is>
      </c>
      <c r="D5" s="5" t="inlineStr">
        <is>
          <t>16:00 Eastern</t>
        </is>
      </c>
    </row>
    <row r="6">
      <c r="A6" s="14" t="inlineStr">
        <is>
          <t>Approved local execution</t>
        </is>
      </c>
      <c r="B6" s="5" t="n">
        <v>12</v>
      </c>
      <c r="C6" s="14" t="inlineStr">
        <is>
          <t>Controlled exceptions</t>
        </is>
      </c>
      <c r="D6" s="5" t="n">
        <v>4</v>
      </c>
    </row>
    <row r="7">
      <c r="A7" s="14" t="inlineStr">
        <is>
          <t>Excluded / hold</t>
        </is>
      </c>
      <c r="B7" s="5" t="n">
        <v>2</v>
      </c>
      <c r="C7" s="14" t="inlineStr">
        <is>
          <t>Operating rule</t>
        </is>
      </c>
      <c r="D7" s="5" t="inlineStr">
        <is>
          <t>A planned date never overrides an uncleared evidence gate.</t>
        </is>
      </c>
    </row>
    <row r="10">
      <c r="A10" s="15" t="inlineStr">
        <is>
          <t>Supervisor operating sequence</t>
        </is>
      </c>
    </row>
    <row r="11">
      <c r="A11" s="16" t="n">
        <v>1</v>
      </c>
      <c r="B11" s="14" t="inlineStr">
        <is>
          <t>Gate</t>
        </is>
      </c>
      <c r="C11" s="13" t="inlineStr">
        <is>
          <t>Confirm the required case evidence is attached; update only Case Evidence Support.</t>
        </is>
      </c>
      <c r="D11" s="17" t="n"/>
      <c r="E11" s="17" t="n"/>
      <c r="F11" s="17" t="n"/>
      <c r="G11" s="17" t="n"/>
      <c r="H11" s="18" t="n"/>
    </row>
    <row r="12">
      <c r="A12" s="16" t="n">
        <v>2</v>
      </c>
      <c r="B12" s="14" t="inlineStr">
        <is>
          <t>Authorize</t>
        </is>
      </c>
      <c r="C12" s="13" t="inlineStr">
        <is>
          <t>Confirm offer code, tier, requested value, contact route, and customer language.</t>
        </is>
      </c>
      <c r="D12" s="17" t="n"/>
      <c r="E12" s="17" t="n"/>
      <c r="F12" s="17" t="n"/>
      <c r="G12" s="17" t="n"/>
      <c r="H12" s="18" t="n"/>
    </row>
    <row r="13">
      <c r="A13" s="16" t="n">
        <v>3</v>
      </c>
      <c r="B13" s="14" t="inlineStr">
        <is>
          <t>Assign</t>
        </is>
      </c>
      <c r="C13" s="13" t="inlineStr">
        <is>
          <t>Release the row to the owner rep only after the first two checks pass.</t>
        </is>
      </c>
      <c r="D13" s="17" t="n"/>
      <c r="E13" s="17" t="n"/>
      <c r="F13" s="17" t="n"/>
      <c r="G13" s="17" t="n"/>
      <c r="H13" s="18" t="n"/>
    </row>
    <row r="14">
      <c r="A14" s="16" t="n">
        <v>4</v>
      </c>
      <c r="B14" s="14" t="inlineStr">
        <is>
          <t>Checkpoint</t>
        </is>
      </c>
      <c r="C14" s="13" t="inlineStr">
        <is>
          <t>Update outreach status, note, next step, and next-step due date by 16:00 Eastern.</t>
        </is>
      </c>
      <c r="D14" s="17" t="n"/>
      <c r="E14" s="17" t="n"/>
      <c r="F14" s="17" t="n"/>
      <c r="G14" s="17" t="n"/>
      <c r="H14" s="18" t="n"/>
    </row>
    <row r="15">
      <c r="A15" s="16" t="n">
        <v>5</v>
      </c>
      <c r="B15" s="14" t="inlineStr">
        <is>
          <t>Escalate</t>
        </is>
      </c>
      <c r="C15" s="13" t="inlineStr">
        <is>
          <t>Move any failed gate to the exception lane; do not improvise a customer promise.</t>
        </is>
      </c>
      <c r="D15" s="17" t="n"/>
      <c r="E15" s="17" t="n"/>
      <c r="F15" s="17" t="n"/>
      <c r="G15" s="17" t="n"/>
      <c r="H15" s="18" t="n"/>
    </row>
    <row r="16">
      <c r="A16" s="16" t="n">
        <v>6</v>
      </c>
      <c r="B16" s="14" t="inlineStr">
        <is>
          <t>Close</t>
        </is>
      </c>
      <c r="C16" s="13" t="inlineStr">
        <is>
          <t>On July 24 reconcile model decision, outreach result, open exceptions, and forecast-risk change.</t>
        </is>
      </c>
      <c r="D16" s="17" t="n"/>
      <c r="E16" s="17" t="n"/>
      <c r="F16" s="17" t="n"/>
      <c r="G16" s="17" t="n"/>
      <c r="H16" s="18" t="n"/>
    </row>
    <row r="19">
      <c r="A19" s="19" t="inlineStr">
        <is>
          <t>Scope and authority guardrails</t>
        </is>
      </c>
    </row>
    <row r="20" ht="30" customHeight="1">
      <c r="A20" s="13" t="inlineStr">
        <is>
          <t>• Use only MG-15, CR-10K, RH-60, SW-PKG, or RPT-COMP where the account row passes its authority check.</t>
        </is>
      </c>
    </row>
    <row r="21" ht="30" customHeight="1">
      <c r="A21" s="13" t="inlineStr">
        <is>
          <t>• Do not promise future performance, unverified credits, new product terms, legal terms, or an uncleared operational action.</t>
        </is>
      </c>
    </row>
    <row r="22" ht="30" customHeight="1">
      <c r="A22" s="13" t="inlineStr">
        <is>
          <t>• MGR-REQ is an escalation route, not a customer offer.</t>
        </is>
      </c>
    </row>
    <row r="23" ht="30" customHeight="1">
      <c r="A23" s="13" t="inlineStr">
        <is>
          <t>• Cobalt Cloud (A-1003): local authority covers the verified CR-10K credit only; RH-60 is not eligible for Key Growth.</t>
        </is>
      </c>
    </row>
  </sheetData>
  <mergeCells count="14">
    <mergeCell ref="C11:H11"/>
    <mergeCell ref="C16:H16"/>
    <mergeCell ref="A21:H21"/>
    <mergeCell ref="A23:H23"/>
    <mergeCell ref="C14:H14"/>
    <mergeCell ref="A20:H20"/>
    <mergeCell ref="C13:H13"/>
    <mergeCell ref="A2:H2"/>
    <mergeCell ref="A10:H10"/>
    <mergeCell ref="A19:H19"/>
    <mergeCell ref="A1:H1"/>
    <mergeCell ref="C12:H12"/>
    <mergeCell ref="A22:H22"/>
    <mergeCell ref="C15:H15"/>
  </mergeCells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16"/>
  <sheetViews>
    <sheetView showGridLines="0" zoomScale="85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13" customWidth="1" min="3" max="3"/>
    <col width="11" customWidth="1" min="4" max="4"/>
    <col width="27" customWidth="1" min="5" max="5"/>
    <col width="16" customWidth="1" min="6" max="6"/>
    <col width="16" customWidth="1" min="7" max="7"/>
    <col width="12" customWidth="1" min="8" max="8"/>
    <col width="11" customWidth="1" min="9" max="9"/>
    <col width="16" customWidth="1" min="10" max="10"/>
    <col width="15" customWidth="1" min="11" max="11"/>
    <col width="12" customWidth="1" min="12" max="12"/>
    <col width="22" customWidth="1" min="13" max="13"/>
    <col width="20" customWidth="1" min="14" max="14"/>
    <col width="30" customWidth="1" min="15" max="15"/>
    <col width="14" customWidth="1" min="16" max="16"/>
    <col width="48" customWidth="1" min="17" max="17"/>
    <col width="29" customWidth="1" min="18" max="18"/>
    <col width="34" customWidth="1" min="19" max="19"/>
    <col width="34" customWidth="1" min="20" max="20"/>
    <col width="38" customWidth="1" min="21" max="21"/>
    <col width="16" customWidth="1" min="22" max="22"/>
    <col width="18" customWidth="1" min="23" max="23"/>
    <col width="14" customWidth="1" min="24" max="24"/>
    <col width="32" customWidth="1" min="25" max="25"/>
    <col width="15" customWidth="1" min="26" max="26"/>
    <col width="40" customWidth="1" min="27" max="27"/>
    <col width="24" customWidth="1" min="28" max="28"/>
    <col width="23" customWidth="1" min="29" max="29"/>
    <col width="18" customWidth="1" min="30" max="30"/>
    <col width="12" customWidth="1" min="31" max="31"/>
    <col width="43" customWidth="1" min="32" max="32"/>
    <col width="45" customWidth="1" min="33" max="33"/>
    <col width="55" customWidth="1" min="34" max="34"/>
    <col width="38" customWidth="1" min="35" max="35"/>
    <col width="13" customWidth="1" min="36" max="36"/>
    <col width="16" customWidth="1" min="37" max="37"/>
    <col width="38" customWidth="1" min="38" max="38"/>
    <col width="42" customWidth="1" min="39" max="39"/>
    <col width="13" customWidth="1" min="40" max="40"/>
  </cols>
  <sheetData>
    <row r="1" ht="28" customHeight="1">
      <c r="A1" s="1" t="inlineStr">
        <is>
          <t>Approved Local Execution Queue</t>
        </is>
      </c>
    </row>
    <row r="2" ht="30" customHeight="1">
      <c r="A2" s="2" t="inlineStr">
        <is>
          <t>Release is formula-controlled: approval email + contact route + case evidence + offer authority must all support the exact action.</t>
        </is>
      </c>
    </row>
    <row r="4" ht="32" customHeight="1">
      <c r="A4" s="20" t="inlineStr">
        <is>
          <t>Desk Work Lane</t>
        </is>
      </c>
      <c r="B4" s="20" t="inlineStr">
        <is>
          <t>Execution Rank</t>
        </is>
      </c>
      <c r="C4" s="20" t="inlineStr">
        <is>
          <t>Conditional Contact Target</t>
        </is>
      </c>
      <c r="D4" s="20" t="inlineStr">
        <is>
          <t>Account ID</t>
        </is>
      </c>
      <c r="E4" s="20" t="inlineStr">
        <is>
          <t>Account Name</t>
        </is>
      </c>
      <c r="F4" s="20" t="inlineStr">
        <is>
          <t>Owner Rep</t>
        </is>
      </c>
      <c r="G4" s="20" t="inlineStr">
        <is>
          <t>Supervisor</t>
        </is>
      </c>
      <c r="H4" s="20" t="inlineStr">
        <is>
          <t>Renewal Date</t>
        </is>
      </c>
      <c r="I4" s="20" t="inlineStr">
        <is>
          <t>Days to Renewal</t>
        </is>
      </c>
      <c r="J4" s="20" t="inlineStr">
        <is>
          <t>Renewal Exposure</t>
        </is>
      </c>
      <c r="K4" s="20" t="inlineStr">
        <is>
          <t>Forecast Variance</t>
        </is>
      </c>
      <c r="L4" s="20" t="inlineStr">
        <is>
          <t>Priority Score</t>
        </is>
      </c>
      <c r="M4" s="20" t="inlineStr">
        <is>
          <t>Primary Issue</t>
        </is>
      </c>
      <c r="N4" s="20" t="inlineStr">
        <is>
          <t>Case IDs</t>
        </is>
      </c>
      <c r="O4" s="20" t="inlineStr">
        <is>
          <t>Operational Owner(s)</t>
        </is>
      </c>
      <c r="P4" s="20" t="inlineStr">
        <is>
          <t>Expected Clearance</t>
        </is>
      </c>
      <c r="Q4" s="20" t="inlineStr">
        <is>
          <t>Required Evidence Gate</t>
        </is>
      </c>
      <c r="R4" s="20" t="inlineStr">
        <is>
          <t>Approval Email Support</t>
        </is>
      </c>
      <c r="S4" s="20" t="inlineStr">
        <is>
          <t>Contact Route Support</t>
        </is>
      </c>
      <c r="T4" s="20" t="inlineStr">
        <is>
          <t>Case Evidence Support</t>
        </is>
      </c>
      <c r="U4" s="20" t="inlineStr">
        <is>
          <t>Offer Authority Support</t>
        </is>
      </c>
      <c r="V4" s="20" t="inlineStr">
        <is>
          <t>Release Status</t>
        </is>
      </c>
      <c r="W4" s="20" t="inlineStr">
        <is>
          <t>Released Contact Date</t>
        </is>
      </c>
      <c r="X4" s="20" t="inlineStr">
        <is>
          <t>Approved Offer</t>
        </is>
      </c>
      <c r="Y4" s="20" t="inlineStr">
        <is>
          <t>Authority Limit</t>
        </is>
      </c>
      <c r="Z4" s="20" t="inlineStr">
        <is>
          <t>Requested Value</t>
        </is>
      </c>
      <c r="AA4" s="20" t="inlineStr">
        <is>
          <t>Authority Check</t>
        </is>
      </c>
      <c r="AB4" s="20" t="inlineStr">
        <is>
          <t>Approved Contact</t>
        </is>
      </c>
      <c r="AC4" s="20" t="inlineStr">
        <is>
          <t>Contact Role</t>
        </is>
      </c>
      <c r="AD4" s="20" t="inlineStr">
        <is>
          <t>Preferred Channel</t>
        </is>
      </c>
      <c r="AE4" s="20" t="inlineStr">
        <is>
          <t>Timezone</t>
        </is>
      </c>
      <c r="AF4" s="20" t="inlineStr">
        <is>
          <t>Contact Restriction</t>
        </is>
      </c>
      <c r="AG4" s="20" t="inlineStr">
        <is>
          <t>Supervisor-Approved Customer Action</t>
        </is>
      </c>
      <c r="AH4" s="20" t="inlineStr">
        <is>
          <t>Customer Language Guardrail</t>
        </is>
      </c>
      <c r="AI4" s="20" t="inlineStr">
        <is>
          <t>Current Rep Commitment</t>
        </is>
      </c>
      <c r="AJ4" s="20" t="inlineStr">
        <is>
          <t>Commitment Due</t>
        </is>
      </c>
      <c r="AK4" s="20" t="inlineStr">
        <is>
          <t>Outreach Status</t>
        </is>
      </c>
      <c r="AL4" s="20" t="inlineStr">
        <is>
          <t>Checkpoint Note</t>
        </is>
      </c>
      <c r="AM4" s="20" t="inlineStr">
        <is>
          <t>Next Step</t>
        </is>
      </c>
      <c r="AN4" s="20" t="inlineStr">
        <is>
          <t>Next Step Due</t>
        </is>
      </c>
    </row>
    <row r="5" ht="48" customHeight="1">
      <c r="A5" s="5" t="inlineStr">
        <is>
          <t>WORK NOW — CLEAR / PREPARE</t>
        </is>
      </c>
      <c r="B5" s="13" t="n">
        <v>1</v>
      </c>
      <c r="C5" s="21" t="n">
        <v>46223</v>
      </c>
      <c r="D5" s="13" t="inlineStr">
        <is>
          <t>A-1005</t>
        </is>
      </c>
      <c r="E5" s="13" t="inlineStr">
        <is>
          <t>Axion Robotics</t>
        </is>
      </c>
      <c r="F5" s="13" t="inlineStr">
        <is>
          <t>Devon Brooks</t>
        </is>
      </c>
      <c r="G5" s="13" t="inlineStr">
        <is>
          <t>Dana Morales</t>
        </is>
      </c>
      <c r="H5" s="21" t="n">
        <v>46246</v>
      </c>
      <c r="I5" s="13">
        <f>H5-C5</f>
        <v/>
      </c>
      <c r="J5" s="22" t="n">
        <v>410000</v>
      </c>
      <c r="K5" s="22" t="n">
        <v>-72000</v>
      </c>
      <c r="L5" s="23" t="n">
        <v>81.7</v>
      </c>
      <c r="M5" s="13" t="inlineStr">
        <is>
          <t>Audience Mismatch</t>
        </is>
      </c>
      <c r="N5" s="13" t="inlineStr">
        <is>
          <t>CASE-7207, CASE-7208</t>
        </is>
      </c>
      <c r="O5" s="13" t="inlineStr">
        <is>
          <t>Product Support - Ravi Mehta, Ad Ops - Lena Ortiz</t>
        </is>
      </c>
      <c r="P5" s="21" t="n">
        <v>46221</v>
      </c>
      <c r="Q5" s="13" t="inlineStr">
        <is>
          <t>Audience rebuild proof and package-swap feasibility confirmed by Product Support / Ad Ops.</t>
        </is>
      </c>
      <c r="R5" s="13" t="inlineStr">
        <is>
          <t>Supported — July 15 approval</t>
        </is>
      </c>
      <c r="S5" s="13" t="inlineStr">
        <is>
          <t>Supported — Mark Feld / Approved</t>
        </is>
      </c>
      <c r="T5" s="7" t="inlineStr">
        <is>
          <t>Pending — evidence not yet confirmed</t>
        </is>
      </c>
      <c r="U5" s="13" t="inlineStr">
        <is>
          <t>Supported — SW-PKG / Key Growth / $18,000</t>
        </is>
      </c>
      <c r="V5" s="9">
        <f>IF(COUNTIF(R5:U5,"Supported*")=4,"Cleared","Blocked")</f>
        <v/>
      </c>
      <c r="W5" s="24">
        <f>IF(V5="Cleared",C5,"")</f>
        <v/>
      </c>
      <c r="X5" s="13" t="inlineStr">
        <is>
          <t>SW-PKG</t>
        </is>
      </c>
      <c r="Y5" s="13" t="inlineStr">
        <is>
          <t>$18,000 equivalent-value package swap</t>
        </is>
      </c>
      <c r="Z5" s="22" t="n">
        <v>18000</v>
      </c>
      <c r="AA5" s="25" t="inlineStr">
        <is>
          <t>Within local authority after gate clears</t>
        </is>
      </c>
      <c r="AB5" s="13" t="inlineStr">
        <is>
          <t>Mark Feld</t>
        </is>
      </c>
      <c r="AC5" s="13" t="inlineStr">
        <is>
          <t>Final Renewal Approver</t>
        </is>
      </c>
      <c r="AD5" s="13" t="inlineStr">
        <is>
          <t>Call</t>
        </is>
      </c>
      <c r="AE5" s="13" t="inlineStr">
        <is>
          <t>Central</t>
        </is>
      </c>
      <c r="AF5" s="13" t="inlineStr">
        <is>
          <t>Approved; Needs audience proof; Unavailable July 19</t>
        </is>
      </c>
      <c r="AG5" s="13" t="inlineStr">
        <is>
          <t>Swap misaligned audience package and reset delivery proof</t>
        </is>
      </c>
      <c r="AH5" s="13" t="inlineStr">
        <is>
          <t>Describe the equivalent-value package swap only after feasibility is documented; do not guarantee future performance.</t>
        </is>
      </c>
      <c r="AI5" s="13" t="inlineStr">
        <is>
          <t>Share audience rebuild proof</t>
        </is>
      </c>
      <c r="AJ5" s="21" t="n">
        <v>46214</v>
      </c>
      <c r="AK5" s="5" t="inlineStr">
        <is>
          <t>Not started</t>
        </is>
      </c>
      <c r="AL5" s="13" t="inlineStr"/>
      <c r="AM5" s="13" t="inlineStr">
        <is>
          <t>Swap misaligned audience package and reset delivery proof</t>
        </is>
      </c>
      <c r="AN5" s="21" t="n">
        <v>46223</v>
      </c>
    </row>
    <row r="6" ht="48" customHeight="1">
      <c r="A6" s="5" t="inlineStr">
        <is>
          <t>WORK NOW — CLEAR / PREPARE</t>
        </is>
      </c>
      <c r="B6" s="13" t="n">
        <v>2</v>
      </c>
      <c r="C6" s="21" t="n">
        <v>46220</v>
      </c>
      <c r="D6" s="13" t="inlineStr">
        <is>
          <t>A-1001</t>
        </is>
      </c>
      <c r="E6" s="13" t="inlineStr">
        <is>
          <t>Meridian Health Partners</t>
        </is>
      </c>
      <c r="F6" s="13" t="inlineStr">
        <is>
          <t>Maya Chen</t>
        </is>
      </c>
      <c r="G6" s="13" t="inlineStr">
        <is>
          <t>Dana Morales</t>
        </is>
      </c>
      <c r="H6" s="21" t="n">
        <v>46227</v>
      </c>
      <c r="I6" s="13">
        <f>H6-C6</f>
        <v/>
      </c>
      <c r="J6" s="22" t="n">
        <v>340000</v>
      </c>
      <c r="K6" s="22" t="n">
        <v>-38000</v>
      </c>
      <c r="L6" s="23" t="n">
        <v>77.90000000000001</v>
      </c>
      <c r="M6" s="13" t="inlineStr">
        <is>
          <t>Delivery Underpacing</t>
        </is>
      </c>
      <c r="N6" s="13" t="inlineStr">
        <is>
          <t>CASE-7201, CASE-7202</t>
        </is>
      </c>
      <c r="O6" s="13" t="inlineStr">
        <is>
          <t>Ad Ops - Lena Ortiz, Reporting - Eli Park</t>
        </is>
      </c>
      <c r="P6" s="21" t="n">
        <v>46219</v>
      </c>
      <c r="Q6" s="13" t="inlineStr">
        <is>
          <t>Traffic pacing confirmation and makegood inventory validation attached to CASE-7201.</t>
        </is>
      </c>
      <c r="R6" s="13" t="inlineStr">
        <is>
          <t>Supported — July 15 approval</t>
        </is>
      </c>
      <c r="S6" s="13" t="inlineStr">
        <is>
          <t>Supported — Dr. Lena Morris / Approved</t>
        </is>
      </c>
      <c r="T6" s="7" t="inlineStr">
        <is>
          <t>Pending — evidence not yet confirmed</t>
        </is>
      </c>
      <c r="U6" s="13" t="inlineStr">
        <is>
          <t>Supported — MG-15 / Key Growth / $21,000</t>
        </is>
      </c>
      <c r="V6" s="9">
        <f>IF(COUNTIF(R6:U6,"Supported*")=4,"Cleared","Blocked")</f>
        <v/>
      </c>
      <c r="W6" s="24">
        <f>IF(V6="Cleared",C6,"")</f>
        <v/>
      </c>
      <c r="X6" s="13" t="inlineStr">
        <is>
          <t>MG-15</t>
        </is>
      </c>
      <c r="Y6" s="13" t="inlineStr">
        <is>
          <t>$25,000 / up to 15% of affected booked impressions</t>
        </is>
      </c>
      <c r="Z6" s="22" t="n">
        <v>21000</v>
      </c>
      <c r="AA6" s="25" t="inlineStr">
        <is>
          <t>Within local authority after gate clears</t>
        </is>
      </c>
      <c r="AB6" s="13" t="inlineStr">
        <is>
          <t>Dr. Lena Morris</t>
        </is>
      </c>
      <c r="AC6" s="13" t="inlineStr">
        <is>
          <t>Final Renewal Approver</t>
        </is>
      </c>
      <c r="AD6" s="13" t="inlineStr">
        <is>
          <t>Email then call</t>
        </is>
      </c>
      <c r="AE6" s="13" t="inlineStr">
        <is>
          <t>Eastern</t>
        </is>
      </c>
      <c r="AF6" s="13" t="inlineStr">
        <is>
          <t>Approved; Executive expects delivery plan; None</t>
        </is>
      </c>
      <c r="AG6" s="13" t="inlineStr">
        <is>
          <t>Confirm makegood inventory and delivery recovery plan</t>
        </is>
      </c>
      <c r="AH6" s="13" t="inlineStr">
        <is>
          <t>Describe the validated makegood inventory and revised delivery plan; do not promise unvalidated impressions.</t>
        </is>
      </c>
      <c r="AI6" s="13" t="inlineStr">
        <is>
          <t>Send corrected pacing plan</t>
        </is>
      </c>
      <c r="AJ6" s="21" t="n">
        <v>46217</v>
      </c>
      <c r="AK6" s="5" t="inlineStr">
        <is>
          <t>Not started</t>
        </is>
      </c>
      <c r="AL6" s="13" t="inlineStr"/>
      <c r="AM6" s="13" t="inlineStr">
        <is>
          <t>Confirm makegood inventory and delivery recovery plan</t>
        </is>
      </c>
      <c r="AN6" s="21" t="n">
        <v>46220</v>
      </c>
    </row>
    <row r="7" ht="48" customHeight="1">
      <c r="A7" s="5" t="inlineStr">
        <is>
          <t>WORK NOW — CLEAR / PREPARE</t>
        </is>
      </c>
      <c r="B7" s="13" t="n">
        <v>3</v>
      </c>
      <c r="C7" s="21" t="n">
        <v>46223</v>
      </c>
      <c r="D7" s="13" t="inlineStr">
        <is>
          <t>A-1012</t>
        </is>
      </c>
      <c r="E7" s="13" t="inlineStr">
        <is>
          <t>Vesta Apparel Collective</t>
        </is>
      </c>
      <c r="F7" s="13" t="inlineStr">
        <is>
          <t>Jordan Patel</t>
        </is>
      </c>
      <c r="G7" s="13" t="inlineStr">
        <is>
          <t>Dana Morales</t>
        </is>
      </c>
      <c r="H7" s="21" t="n">
        <v>46235</v>
      </c>
      <c r="I7" s="13">
        <f>H7-C7</f>
        <v/>
      </c>
      <c r="J7" s="22" t="n">
        <v>305000</v>
      </c>
      <c r="K7" s="22" t="n">
        <v>-52000</v>
      </c>
      <c r="L7" s="23" t="n">
        <v>72.59999999999999</v>
      </c>
      <c r="M7" s="13" t="inlineStr">
        <is>
          <t>Delivery Underpacing</t>
        </is>
      </c>
      <c r="N7" s="13" t="inlineStr">
        <is>
          <t>CASE-7215, CASE-7216</t>
        </is>
      </c>
      <c r="O7" s="13" t="inlineStr">
        <is>
          <t>Ad Ops - Lena Ortiz, Billing - Nora Vale</t>
        </is>
      </c>
      <c r="P7" s="21" t="n">
        <v>46221</v>
      </c>
      <c r="Q7" s="13" t="inlineStr">
        <is>
          <t>Makegood placement validated and invoice PO correction route documented.</t>
        </is>
      </c>
      <c r="R7" s="13" t="inlineStr">
        <is>
          <t>Supported — July 15 approval</t>
        </is>
      </c>
      <c r="S7" s="13" t="inlineStr">
        <is>
          <t>Supported — Marta Ruiz / Approved</t>
        </is>
      </c>
      <c r="T7" s="7" t="inlineStr">
        <is>
          <t>Pending — evidence not yet confirmed</t>
        </is>
      </c>
      <c r="U7" s="13" t="inlineStr">
        <is>
          <t>Supported — MG-15 / Key Growth / $24,000</t>
        </is>
      </c>
      <c r="V7" s="9">
        <f>IF(COUNTIF(R7:U7,"Supported*")=4,"Cleared","Blocked")</f>
        <v/>
      </c>
      <c r="W7" s="24">
        <f>IF(V7="Cleared",C7,"")</f>
        <v/>
      </c>
      <c r="X7" s="13" t="inlineStr">
        <is>
          <t>MG-15</t>
        </is>
      </c>
      <c r="Y7" s="13" t="inlineStr">
        <is>
          <t>$25,000 / up to 15% of affected booked impressions</t>
        </is>
      </c>
      <c r="Z7" s="22" t="n">
        <v>24000</v>
      </c>
      <c r="AA7" s="25" t="inlineStr">
        <is>
          <t>Within local authority after gate clears</t>
        </is>
      </c>
      <c r="AB7" s="13" t="inlineStr">
        <is>
          <t>Marta Ruiz</t>
        </is>
      </c>
      <c r="AC7" s="13" t="inlineStr">
        <is>
          <t>Final Renewal Approver</t>
        </is>
      </c>
      <c r="AD7" s="13" t="inlineStr">
        <is>
          <t>Call</t>
        </is>
      </c>
      <c r="AE7" s="13" t="inlineStr">
        <is>
          <t>Eastern</t>
        </is>
      </c>
      <c r="AF7" s="13" t="inlineStr">
        <is>
          <t>Approved; Finance asks for PO note; Unavailable July 18</t>
        </is>
      </c>
      <c r="AG7" s="13" t="inlineStr">
        <is>
          <t>Confirm makegood placement and invoice correction route</t>
        </is>
      </c>
      <c r="AH7" s="13" t="inlineStr">
        <is>
          <t>Describe the validated makegood placement and invoice-correction process; do not combine this with an unapproved credit.</t>
        </is>
      </c>
      <c r="AI7" s="13" t="inlineStr">
        <is>
          <t>Send makegood and PO correction note</t>
        </is>
      </c>
      <c r="AJ7" s="21" t="n">
        <v>46215</v>
      </c>
      <c r="AK7" s="5" t="inlineStr">
        <is>
          <t>Not started</t>
        </is>
      </c>
      <c r="AL7" s="13" t="inlineStr"/>
      <c r="AM7" s="13" t="inlineStr">
        <is>
          <t>Confirm makegood placement and invoice correction route</t>
        </is>
      </c>
      <c r="AN7" s="21" t="n">
        <v>46223</v>
      </c>
    </row>
    <row r="8" ht="48" customHeight="1">
      <c r="A8" s="5" t="inlineStr">
        <is>
          <t>WORK NOW — CLEAR / PREPARE</t>
        </is>
      </c>
      <c r="B8" s="13" t="n">
        <v>4</v>
      </c>
      <c r="C8" s="21" t="n">
        <v>46223</v>
      </c>
      <c r="D8" s="13" t="inlineStr">
        <is>
          <t>A-1007</t>
        </is>
      </c>
      <c r="E8" s="13" t="inlineStr">
        <is>
          <t>Northline Insurance</t>
        </is>
      </c>
      <c r="F8" s="13" t="inlineStr">
        <is>
          <t>Jordan Patel</t>
        </is>
      </c>
      <c r="G8" s="13" t="inlineStr">
        <is>
          <t>Dana Morales</t>
        </is>
      </c>
      <c r="H8" s="21" t="n">
        <v>46237</v>
      </c>
      <c r="I8" s="13">
        <f>H8-C8</f>
        <v/>
      </c>
      <c r="J8" s="22" t="n">
        <v>260000</v>
      </c>
      <c r="K8" s="22" t="n">
        <v>-40000</v>
      </c>
      <c r="L8" s="23" t="n">
        <v>66.3</v>
      </c>
      <c r="M8" s="13" t="inlineStr">
        <is>
          <t>Delivery Underpacing</t>
        </is>
      </c>
      <c r="N8" s="13" t="inlineStr">
        <is>
          <t>CASE-7210</t>
        </is>
      </c>
      <c r="O8" s="13" t="inlineStr">
        <is>
          <t>Ad Ops - Lena Ortiz</t>
        </is>
      </c>
      <c r="P8" s="21" t="n">
        <v>46220</v>
      </c>
      <c r="Q8" s="13" t="inlineStr">
        <is>
          <t>Makegood placement and revised delivery dates confirmed by Ad Ops.</t>
        </is>
      </c>
      <c r="R8" s="13" t="inlineStr">
        <is>
          <t>Supported — July 15 approval</t>
        </is>
      </c>
      <c r="S8" s="13" t="inlineStr">
        <is>
          <t>Supported — Samira Ahmad / Approved</t>
        </is>
      </c>
      <c r="T8" s="7" t="inlineStr">
        <is>
          <t>Pending — evidence not yet confirmed</t>
        </is>
      </c>
      <c r="U8" s="13" t="inlineStr">
        <is>
          <t>Supported — MG-15 / Core / $22,000</t>
        </is>
      </c>
      <c r="V8" s="9">
        <f>IF(COUNTIF(R8:U8,"Supported*")=4,"Cleared","Blocked")</f>
        <v/>
      </c>
      <c r="W8" s="24">
        <f>IF(V8="Cleared",C8,"")</f>
        <v/>
      </c>
      <c r="X8" s="13" t="inlineStr">
        <is>
          <t>MG-15</t>
        </is>
      </c>
      <c r="Y8" s="13" t="inlineStr">
        <is>
          <t>$25,000 / up to 15% of affected booked impressions</t>
        </is>
      </c>
      <c r="Z8" s="22" t="n">
        <v>22000</v>
      </c>
      <c r="AA8" s="25" t="inlineStr">
        <is>
          <t>Within local authority after gate clears</t>
        </is>
      </c>
      <c r="AB8" s="13" t="inlineStr">
        <is>
          <t>Samira Ahmad</t>
        </is>
      </c>
      <c r="AC8" s="13" t="inlineStr">
        <is>
          <t>Final Renewal Approver</t>
        </is>
      </c>
      <c r="AD8" s="13" t="inlineStr">
        <is>
          <t>Email</t>
        </is>
      </c>
      <c r="AE8" s="13" t="inlineStr">
        <is>
          <t>Eastern</t>
        </is>
      </c>
      <c r="AF8" s="13" t="inlineStr">
        <is>
          <t>Approved; Legal observer on copy; None</t>
        </is>
      </c>
      <c r="AG8" s="13" t="inlineStr">
        <is>
          <t>Confirm makegood placement and revised delivery dates</t>
        </is>
      </c>
      <c r="AH8" s="13" t="inlineStr">
        <is>
          <t>Describe the validated underdelivery remedy and dates; do not guarantee future delivery.</t>
        </is>
      </c>
      <c r="AI8" s="13" t="inlineStr">
        <is>
          <t>Provide underdelivery remedy</t>
        </is>
      </c>
      <c r="AJ8" s="21" t="n">
        <v>46217</v>
      </c>
      <c r="AK8" s="5" t="inlineStr">
        <is>
          <t>Not started</t>
        </is>
      </c>
      <c r="AL8" s="13" t="inlineStr"/>
      <c r="AM8" s="13" t="inlineStr">
        <is>
          <t>Confirm makegood placement and revised delivery dates</t>
        </is>
      </c>
      <c r="AN8" s="21" t="n">
        <v>46223</v>
      </c>
    </row>
    <row r="9" ht="48" customHeight="1">
      <c r="A9" s="5" t="inlineStr">
        <is>
          <t>WORK NOW — CLEAR / PREPARE</t>
        </is>
      </c>
      <c r="B9" s="13" t="n">
        <v>5</v>
      </c>
      <c r="C9" s="21" t="n">
        <v>46220</v>
      </c>
      <c r="D9" s="13" t="inlineStr">
        <is>
          <t>A-1003</t>
        </is>
      </c>
      <c r="E9" s="13" t="inlineStr">
        <is>
          <t>Cobalt Cloud Systems</t>
        </is>
      </c>
      <c r="F9" s="13" t="inlineStr">
        <is>
          <t>Priya Nair</t>
        </is>
      </c>
      <c r="G9" s="13" t="inlineStr">
        <is>
          <t>Dana Morales</t>
        </is>
      </c>
      <c r="H9" s="21" t="n">
        <v>46239</v>
      </c>
      <c r="I9" s="13">
        <f>H9-C9</f>
        <v/>
      </c>
      <c r="J9" s="22" t="n">
        <v>295000</v>
      </c>
      <c r="K9" s="22" t="n">
        <v>-35000</v>
      </c>
      <c r="L9" s="23" t="n">
        <v>66.09999999999999</v>
      </c>
      <c r="M9" s="13" t="inlineStr">
        <is>
          <t>Billing Error</t>
        </is>
      </c>
      <c r="N9" s="13" t="inlineStr">
        <is>
          <t>CASE-7204, CASE-7205</t>
        </is>
      </c>
      <c r="O9" s="13" t="inlineStr">
        <is>
          <t>Billing - Nora Vale, Sales Ops - Aaron Kim</t>
        </is>
      </c>
      <c r="P9" s="21" t="n">
        <v>46219</v>
      </c>
      <c r="Q9" s="13" t="inlineStr">
        <is>
          <t>Verified credit memo up to $9,500 attached; any rate-hold request removed or separately escalated.</t>
        </is>
      </c>
      <c r="R9" s="13" t="inlineStr">
        <is>
          <t>Supported — July 15 approval</t>
        </is>
      </c>
      <c r="S9" s="13" t="inlineStr">
        <is>
          <t>Supported — Rafael Soto / Approved</t>
        </is>
      </c>
      <c r="T9" s="7" t="inlineStr">
        <is>
          <t>Pending — evidence not yet confirmed</t>
        </is>
      </c>
      <c r="U9" s="13" t="inlineStr">
        <is>
          <t>Supported — CR-10K / Key Growth / $9,500</t>
        </is>
      </c>
      <c r="V9" s="9">
        <f>IF(COUNTIF(R9:U9,"Supported*")=4,"Cleared","Blocked")</f>
        <v/>
      </c>
      <c r="W9" s="24">
        <f>IF(V9="Cleared",C9,"")</f>
        <v/>
      </c>
      <c r="X9" s="13" t="inlineStr">
        <is>
          <t>CR-10K</t>
        </is>
      </c>
      <c r="Y9" s="13" t="inlineStr">
        <is>
          <t>$10,000 verified invoice credit</t>
        </is>
      </c>
      <c r="Z9" s="22" t="n">
        <v>9500</v>
      </c>
      <c r="AA9" s="7" t="inlineStr">
        <is>
          <t>CR-10K only; RH-60 is not eligible for Key Growth</t>
        </is>
      </c>
      <c r="AB9" s="13" t="inlineStr">
        <is>
          <t>Rafael Soto</t>
        </is>
      </c>
      <c r="AC9" s="13" t="inlineStr">
        <is>
          <t>Final Renewal Approver</t>
        </is>
      </c>
      <c r="AD9" s="13" t="inlineStr">
        <is>
          <t>Call</t>
        </is>
      </c>
      <c r="AE9" s="13" t="inlineStr">
        <is>
          <t>Pacific</t>
        </is>
      </c>
      <c r="AF9" s="13" t="inlineStr">
        <is>
          <t>Approved; Wants billing proof first; Unavailable July 22 AM</t>
        </is>
      </c>
      <c r="AG9" s="13" t="inlineStr">
        <is>
          <t>Confirm verified invoice credit only; escalate any rate-hold request</t>
        </is>
      </c>
      <c r="AH9" s="13" t="inlineStr">
        <is>
          <t>Discuss only the verified invoice credit under CR-10K. Do not offer a local rate hold because Key Growth is not RH-60 eligible.</t>
        </is>
      </c>
      <c r="AI9" s="13" t="inlineStr">
        <is>
          <t>Confirm billing investigation opened</t>
        </is>
      </c>
      <c r="AJ9" s="21" t="n">
        <v>46215</v>
      </c>
      <c r="AK9" s="5" t="inlineStr">
        <is>
          <t>Not started</t>
        </is>
      </c>
      <c r="AL9" s="13" t="inlineStr"/>
      <c r="AM9" s="13" t="inlineStr">
        <is>
          <t>Confirm verified invoice credit only; escalate any rate-hold request</t>
        </is>
      </c>
      <c r="AN9" s="21" t="n">
        <v>46220</v>
      </c>
    </row>
    <row r="10" ht="48" customHeight="1">
      <c r="A10" s="5" t="inlineStr">
        <is>
          <t>WORK NOW — CLEAR / PREPARE</t>
        </is>
      </c>
      <c r="B10" s="13" t="n">
        <v>6</v>
      </c>
      <c r="C10" s="21" t="n">
        <v>46220</v>
      </c>
      <c r="D10" s="13" t="inlineStr">
        <is>
          <t>A-1009</t>
        </is>
      </c>
      <c r="E10" s="13" t="inlineStr">
        <is>
          <t>Copper Trail Hospitality</t>
        </is>
      </c>
      <c r="F10" s="13" t="inlineStr">
        <is>
          <t>Luis Romero</t>
        </is>
      </c>
      <c r="G10" s="13" t="inlineStr">
        <is>
          <t>Dana Morales</t>
        </is>
      </c>
      <c r="H10" s="21" t="n">
        <v>46232</v>
      </c>
      <c r="I10" s="13">
        <f>H10-C10</f>
        <v/>
      </c>
      <c r="J10" s="22" t="n">
        <v>190000</v>
      </c>
      <c r="K10" s="22" t="n">
        <v>-25000</v>
      </c>
      <c r="L10" s="23" t="n">
        <v>64.09999999999999</v>
      </c>
      <c r="M10" s="13" t="inlineStr">
        <is>
          <t>Creative Trafficking</t>
        </is>
      </c>
      <c r="N10" s="13" t="inlineStr">
        <is>
          <t>CASE-7212</t>
        </is>
      </c>
      <c r="O10" s="13" t="inlineStr">
        <is>
          <t>Ad Ops - Lena Ortiz</t>
        </is>
      </c>
      <c r="P10" s="21" t="n">
        <v>46219</v>
      </c>
      <c r="Q10" s="13" t="inlineStr">
        <is>
          <t>Creative approval proof and equivalent package-swap feasibility confirmed by Ad Ops.</t>
        </is>
      </c>
      <c r="R10" s="13" t="inlineStr">
        <is>
          <t>Supported — July 15 approval</t>
        </is>
      </c>
      <c r="S10" s="13" t="inlineStr">
        <is>
          <t>Supported — Cora Lind / Approved</t>
        </is>
      </c>
      <c r="T10" s="7" t="inlineStr">
        <is>
          <t>Pending — evidence not yet confirmed</t>
        </is>
      </c>
      <c r="U10" s="13" t="inlineStr">
        <is>
          <t>Supported — SW-PKG / Core / $15,000</t>
        </is>
      </c>
      <c r="V10" s="9">
        <f>IF(COUNTIF(R10:U10,"Supported*")=4,"Cleared","Blocked")</f>
        <v/>
      </c>
      <c r="W10" s="24">
        <f>IF(V10="Cleared",C10,"")</f>
        <v/>
      </c>
      <c r="X10" s="13" t="inlineStr">
        <is>
          <t>SW-PKG</t>
        </is>
      </c>
      <c r="Y10" s="13" t="inlineStr">
        <is>
          <t>$18,000 equivalent-value package swap</t>
        </is>
      </c>
      <c r="Z10" s="22" t="n">
        <v>15000</v>
      </c>
      <c r="AA10" s="25" t="inlineStr">
        <is>
          <t>Within local authority after gate clears</t>
        </is>
      </c>
      <c r="AB10" s="13" t="inlineStr">
        <is>
          <t>Cora Lind</t>
        </is>
      </c>
      <c r="AC10" s="13" t="inlineStr">
        <is>
          <t>Final Renewal Approver</t>
        </is>
      </c>
      <c r="AD10" s="13" t="inlineStr">
        <is>
          <t>Call</t>
        </is>
      </c>
      <c r="AE10" s="13" t="inlineStr">
        <is>
          <t>Pacific</t>
        </is>
      </c>
      <c r="AF10" s="13" t="inlineStr">
        <is>
          <t>Approved; Sensitive to launch dates; Unavailable July 20 PM</t>
        </is>
      </c>
      <c r="AG10" s="13" t="inlineStr">
        <is>
          <t>Confirm package swap and creative approval timeline</t>
        </is>
      </c>
      <c r="AH10" s="13" t="inlineStr">
        <is>
          <t>Describe the approved equivalent-value swap and confirmed timeline; do not promise launch timing before validation.</t>
        </is>
      </c>
      <c r="AI10" s="13" t="inlineStr">
        <is>
          <t>Send brand safety approval path</t>
        </is>
      </c>
      <c r="AJ10" s="21" t="n">
        <v>46216</v>
      </c>
      <c r="AK10" s="5" t="inlineStr">
        <is>
          <t>Not started</t>
        </is>
      </c>
      <c r="AL10" s="13" t="inlineStr"/>
      <c r="AM10" s="13" t="inlineStr">
        <is>
          <t>Confirm package swap and creative approval timeline</t>
        </is>
      </c>
      <c r="AN10" s="21" t="n">
        <v>46220</v>
      </c>
    </row>
    <row r="11" ht="48" customHeight="1">
      <c r="A11" s="5" t="inlineStr">
        <is>
          <t>WORK NOW — CLEAR / PREPARE</t>
        </is>
      </c>
      <c r="B11" s="13" t="n">
        <v>7</v>
      </c>
      <c r="C11" s="21" t="n">
        <v>46224</v>
      </c>
      <c r="D11" s="13" t="inlineStr">
        <is>
          <t>A-1002</t>
        </is>
      </c>
      <c r="E11" s="13" t="inlineStr">
        <is>
          <t>Larkspur Credit Union</t>
        </is>
      </c>
      <c r="F11" s="13" t="inlineStr">
        <is>
          <t>Jordan Patel</t>
        </is>
      </c>
      <c r="G11" s="13" t="inlineStr">
        <is>
          <t>Dana Morales</t>
        </is>
      </c>
      <c r="H11" s="21" t="n">
        <v>46234</v>
      </c>
      <c r="I11" s="13">
        <f>H11-C11</f>
        <v/>
      </c>
      <c r="J11" s="22" t="n">
        <v>220000</v>
      </c>
      <c r="K11" s="22" t="n">
        <v>-21000</v>
      </c>
      <c r="L11" s="23" t="n">
        <v>58.7</v>
      </c>
      <c r="M11" s="13" t="inlineStr">
        <is>
          <t>Reporting Discrepancy</t>
        </is>
      </c>
      <c r="N11" s="13" t="inlineStr">
        <is>
          <t>CASE-7203</t>
        </is>
      </c>
      <c r="O11" s="13" t="inlineStr">
        <is>
          <t>Reporting - Eli Park</t>
        </is>
      </c>
      <c r="P11" s="21" t="n">
        <v>46220</v>
      </c>
      <c r="Q11" s="13" t="inlineStr">
        <is>
          <t>Corrected reach report and customer-facing reconciliation summary attached.</t>
        </is>
      </c>
      <c r="R11" s="13" t="inlineStr">
        <is>
          <t>Supported — July 15 approval</t>
        </is>
      </c>
      <c r="S11" s="13" t="inlineStr">
        <is>
          <t>Supported — Tanya Wells / Approved</t>
        </is>
      </c>
      <c r="T11" s="7" t="inlineStr">
        <is>
          <t>Pending — evidence not yet confirmed</t>
        </is>
      </c>
      <c r="U11" s="13" t="inlineStr">
        <is>
          <t>Supported — RPT-COMP / Core / $0</t>
        </is>
      </c>
      <c r="V11" s="9">
        <f>IF(COUNTIF(R11:U11,"Supported*")=4,"Cleared","Blocked")</f>
        <v/>
      </c>
      <c r="W11" s="24">
        <f>IF(V11="Cleared",C11,"")</f>
        <v/>
      </c>
      <c r="X11" s="13" t="inlineStr">
        <is>
          <t>RPT-COMP</t>
        </is>
      </c>
      <c r="Y11" s="13" t="inlineStr">
        <is>
          <t>No credit; reporting reconciliation package</t>
        </is>
      </c>
      <c r="Z11" s="22" t="n">
        <v>0</v>
      </c>
      <c r="AA11" s="25" t="inlineStr">
        <is>
          <t>Within local authority after gate clears</t>
        </is>
      </c>
      <c r="AB11" s="13" t="inlineStr">
        <is>
          <t>Tanya Wells</t>
        </is>
      </c>
      <c r="AC11" s="13" t="inlineStr">
        <is>
          <t>Final Renewal Approver</t>
        </is>
      </c>
      <c r="AD11" s="13" t="inlineStr">
        <is>
          <t>Email</t>
        </is>
      </c>
      <c r="AE11" s="13" t="inlineStr">
        <is>
          <t>Central</t>
        </is>
      </c>
      <c r="AF11" s="13" t="inlineStr">
        <is>
          <t>Approved; Compliance copy required; Avoid Friday after 12:00</t>
        </is>
      </c>
      <c r="AG11" s="13" t="inlineStr">
        <is>
          <t>Deliver reconciled reporting package and executive summary</t>
        </is>
      </c>
      <c r="AH11" s="13" t="inlineStr">
        <is>
          <t>Provide the reconciled reporting package; make no commercial or performance promise.</t>
        </is>
      </c>
      <c r="AI11" s="13" t="inlineStr">
        <is>
          <t>Provide reconciled reach report</t>
        </is>
      </c>
      <c r="AJ11" s="21" t="n">
        <v>46220</v>
      </c>
      <c r="AK11" s="5" t="inlineStr">
        <is>
          <t>Not started</t>
        </is>
      </c>
      <c r="AL11" s="13" t="inlineStr"/>
      <c r="AM11" s="13" t="inlineStr">
        <is>
          <t>Deliver reconciled reporting package and executive summary</t>
        </is>
      </c>
      <c r="AN11" s="21" t="n">
        <v>46224</v>
      </c>
    </row>
    <row r="12" ht="48" customHeight="1">
      <c r="A12" s="5" t="inlineStr">
        <is>
          <t>WORK NOW — CLEAR / PREPARE</t>
        </is>
      </c>
      <c r="B12" s="13" t="n">
        <v>8</v>
      </c>
      <c r="C12" s="21" t="n">
        <v>46220</v>
      </c>
      <c r="D12" s="13" t="inlineStr">
        <is>
          <t>A-1004</t>
        </is>
      </c>
      <c r="E12" s="13" t="inlineStr">
        <is>
          <t>Harborview Furnishings</t>
        </is>
      </c>
      <c r="F12" s="13" t="inlineStr">
        <is>
          <t>Luis Romero</t>
        </is>
      </c>
      <c r="G12" s="13" t="inlineStr">
        <is>
          <t>Dana Morales</t>
        </is>
      </c>
      <c r="H12" s="21" t="n">
        <v>46231</v>
      </c>
      <c r="I12" s="13">
        <f>H12-C12</f>
        <v/>
      </c>
      <c r="J12" s="22" t="n">
        <v>150000</v>
      </c>
      <c r="K12" s="22" t="n">
        <v>-13000</v>
      </c>
      <c r="L12" s="23" t="n">
        <v>58</v>
      </c>
      <c r="M12" s="13" t="inlineStr">
        <is>
          <t>Creative Trafficking</t>
        </is>
      </c>
      <c r="N12" s="13" t="inlineStr">
        <is>
          <t>CASE-7206</t>
        </is>
      </c>
      <c r="O12" s="13" t="inlineStr">
        <is>
          <t>Ad Ops - Lena Ortiz</t>
        </is>
      </c>
      <c r="P12" s="21" t="n">
        <v>46219</v>
      </c>
      <c r="Q12" s="13" t="inlineStr">
        <is>
          <t>Creative retagging confirmation and package-swap feasibility documented by Ad Ops.</t>
        </is>
      </c>
      <c r="R12" s="13" t="inlineStr">
        <is>
          <t>Supported — July 15 approval</t>
        </is>
      </c>
      <c r="S12" s="13" t="inlineStr">
        <is>
          <t>Supported — Nina Cho / Approved</t>
        </is>
      </c>
      <c r="T12" s="7" t="inlineStr">
        <is>
          <t>Pending — evidence not yet confirmed</t>
        </is>
      </c>
      <c r="U12" s="13" t="inlineStr">
        <is>
          <t>Supported — SW-PKG / Core / $12,000</t>
        </is>
      </c>
      <c r="V12" s="9">
        <f>IF(COUNTIF(R12:U12,"Supported*")=4,"Cleared","Blocked")</f>
        <v/>
      </c>
      <c r="W12" s="24">
        <f>IF(V12="Cleared",C12,"")</f>
        <v/>
      </c>
      <c r="X12" s="13" t="inlineStr">
        <is>
          <t>SW-PKG</t>
        </is>
      </c>
      <c r="Y12" s="13" t="inlineStr">
        <is>
          <t>$18,000 equivalent-value package swap</t>
        </is>
      </c>
      <c r="Z12" s="22" t="n">
        <v>12000</v>
      </c>
      <c r="AA12" s="25" t="inlineStr">
        <is>
          <t>Within local authority after gate clears</t>
        </is>
      </c>
      <c r="AB12" s="13" t="inlineStr">
        <is>
          <t>Nina Cho</t>
        </is>
      </c>
      <c r="AC12" s="13" t="inlineStr">
        <is>
          <t>Final Renewal Approver</t>
        </is>
      </c>
      <c r="AD12" s="13" t="inlineStr">
        <is>
          <t>Email</t>
        </is>
      </c>
      <c r="AE12" s="13" t="inlineStr">
        <is>
          <t>Pacific</t>
        </is>
      </c>
      <c r="AF12" s="13" t="inlineStr">
        <is>
          <t>Approved; Creative team must be copied; None</t>
        </is>
      </c>
      <c r="AG12" s="13" t="inlineStr">
        <is>
          <t>Offer equivalent package swap after trafficking confirmation</t>
        </is>
      </c>
      <c r="AH12" s="13" t="inlineStr">
        <is>
          <t>Describe the approved equivalent-value swap after trafficking confirmation; do not promise timing before validation.</t>
        </is>
      </c>
      <c r="AI12" s="13" t="inlineStr">
        <is>
          <t>Send creative retagging ETA</t>
        </is>
      </c>
      <c r="AJ12" s="21" t="n">
        <v>46215</v>
      </c>
      <c r="AK12" s="5" t="inlineStr">
        <is>
          <t>Not started</t>
        </is>
      </c>
      <c r="AL12" s="13" t="inlineStr"/>
      <c r="AM12" s="13" t="inlineStr">
        <is>
          <t>Offer equivalent package swap after trafficking confirmation</t>
        </is>
      </c>
      <c r="AN12" s="21" t="n">
        <v>46220</v>
      </c>
    </row>
    <row r="13" ht="48" customHeight="1">
      <c r="A13" s="5" t="inlineStr">
        <is>
          <t>WORK NOW — CLEAR / PREPARE</t>
        </is>
      </c>
      <c r="B13" s="13" t="n">
        <v>9</v>
      </c>
      <c r="C13" s="21" t="n">
        <v>46224</v>
      </c>
      <c r="D13" s="13" t="inlineStr">
        <is>
          <t>A-1011</t>
        </is>
      </c>
      <c r="E13" s="13" t="inlineStr">
        <is>
          <t>Solstice Energy Co-op</t>
        </is>
      </c>
      <c r="F13" s="13" t="inlineStr">
        <is>
          <t>Maya Chen</t>
        </is>
      </c>
      <c r="G13" s="13" t="inlineStr">
        <is>
          <t>Dana Morales</t>
        </is>
      </c>
      <c r="H13" s="21" t="n">
        <v>46243</v>
      </c>
      <c r="I13" s="13">
        <f>H13-C13</f>
        <v/>
      </c>
      <c r="J13" s="22" t="n">
        <v>175000</v>
      </c>
      <c r="K13" s="22" t="n">
        <v>-20000</v>
      </c>
      <c r="L13" s="23" t="n">
        <v>55.1</v>
      </c>
      <c r="M13" s="13" t="inlineStr">
        <is>
          <t>Reporting Discrepancy</t>
        </is>
      </c>
      <c r="N13" s="13" t="inlineStr">
        <is>
          <t>CASE-7214</t>
        </is>
      </c>
      <c r="O13" s="13" t="inlineStr">
        <is>
          <t>Reporting - Eli Park</t>
        </is>
      </c>
      <c r="P13" s="21" t="n">
        <v>46221</v>
      </c>
      <c r="Q13" s="13" t="inlineStr">
        <is>
          <t>Corrected lift model and customer-facing summary attached.</t>
        </is>
      </c>
      <c r="R13" s="13" t="inlineStr">
        <is>
          <t>Supported — July 15 approval</t>
        </is>
      </c>
      <c r="S13" s="13" t="inlineStr">
        <is>
          <t>Supported — Imani Hart / Approved</t>
        </is>
      </c>
      <c r="T13" s="7" t="inlineStr">
        <is>
          <t>Pending — evidence not yet confirmed</t>
        </is>
      </c>
      <c r="U13" s="13" t="inlineStr">
        <is>
          <t>Supported — RPT-COMP / Core / $0</t>
        </is>
      </c>
      <c r="V13" s="9">
        <f>IF(COUNTIF(R13:U13,"Supported*")=4,"Cleared","Blocked")</f>
        <v/>
      </c>
      <c r="W13" s="24">
        <f>IF(V13="Cleared",C13,"")</f>
        <v/>
      </c>
      <c r="X13" s="13" t="inlineStr">
        <is>
          <t>RPT-COMP</t>
        </is>
      </c>
      <c r="Y13" s="13" t="inlineStr">
        <is>
          <t>No credit; reporting reconciliation package</t>
        </is>
      </c>
      <c r="Z13" s="22" t="n">
        <v>0</v>
      </c>
      <c r="AA13" s="25" t="inlineStr">
        <is>
          <t>Within local authority after gate clears</t>
        </is>
      </c>
      <c r="AB13" s="13" t="inlineStr">
        <is>
          <t>Imani Hart</t>
        </is>
      </c>
      <c r="AC13" s="13" t="inlineStr">
        <is>
          <t>Final Renewal Approver</t>
        </is>
      </c>
      <c r="AD13" s="13" t="inlineStr">
        <is>
          <t>Email</t>
        </is>
      </c>
      <c r="AE13" s="13" t="inlineStr">
        <is>
          <t>Central</t>
        </is>
      </c>
      <c r="AF13" s="13" t="inlineStr">
        <is>
          <t>Approved; Procurement copied; None</t>
        </is>
      </c>
      <c r="AG13" s="13" t="inlineStr">
        <is>
          <t>Send corrected lift summary and renewal confidence note</t>
        </is>
      </c>
      <c r="AH13" s="13" t="inlineStr">
        <is>
          <t>Provide the corrected reporting package; make no commercial or performance promise.</t>
        </is>
      </c>
      <c r="AI13" s="13" t="inlineStr">
        <is>
          <t>Send corrected lift summary</t>
        </is>
      </c>
      <c r="AJ13" s="21" t="n">
        <v>46221</v>
      </c>
      <c r="AK13" s="5" t="inlineStr">
        <is>
          <t>Not started</t>
        </is>
      </c>
      <c r="AL13" s="13" t="inlineStr"/>
      <c r="AM13" s="13" t="inlineStr">
        <is>
          <t>Send corrected lift summary and renewal confidence note</t>
        </is>
      </c>
      <c r="AN13" s="21" t="n">
        <v>46224</v>
      </c>
    </row>
    <row r="14" ht="48" customHeight="1">
      <c r="A14" s="5" t="inlineStr">
        <is>
          <t>WORK NOW — CLEAR / PREPARE</t>
        </is>
      </c>
      <c r="B14" s="13" t="n">
        <v>10</v>
      </c>
      <c r="C14" s="21" t="n">
        <v>46223</v>
      </c>
      <c r="D14" s="13" t="inlineStr">
        <is>
          <t>A-1006</t>
        </is>
      </c>
      <c r="E14" s="13" t="inlineStr">
        <is>
          <t>Greenway Kitchens</t>
        </is>
      </c>
      <c r="F14" s="13" t="inlineStr">
        <is>
          <t>Maya Chen</t>
        </is>
      </c>
      <c r="G14" s="13" t="inlineStr">
        <is>
          <t>Dana Morales</t>
        </is>
      </c>
      <c r="H14" s="21" t="n">
        <v>46229</v>
      </c>
      <c r="I14" s="13">
        <f>H14-C14</f>
        <v/>
      </c>
      <c r="J14" s="22" t="n">
        <v>82000</v>
      </c>
      <c r="K14" s="22" t="n">
        <v>-5000</v>
      </c>
      <c r="L14" s="23" t="n">
        <v>47.8</v>
      </c>
      <c r="M14" s="13" t="inlineStr">
        <is>
          <t>Billing Error</t>
        </is>
      </c>
      <c r="N14" s="13" t="inlineStr">
        <is>
          <t>CASE-7209</t>
        </is>
      </c>
      <c r="O14" s="13" t="inlineStr">
        <is>
          <t>Billing - Nora Vale</t>
        </is>
      </c>
      <c r="P14" s="21" t="n">
        <v>46220</v>
      </c>
      <c r="Q14" s="13" t="inlineStr">
        <is>
          <t>Verified credit memo up to $4,800 and corrected bill date attached.</t>
        </is>
      </c>
      <c r="R14" s="13" t="inlineStr">
        <is>
          <t>Supported — July 15 approval</t>
        </is>
      </c>
      <c r="S14" s="13" t="inlineStr">
        <is>
          <t>Supported — Gloria Kim / Approved</t>
        </is>
      </c>
      <c r="T14" s="7" t="inlineStr">
        <is>
          <t>Pending — evidence not yet confirmed</t>
        </is>
      </c>
      <c r="U14" s="13" t="inlineStr">
        <is>
          <t>Supported — CR-10K / Emerging / $4,800</t>
        </is>
      </c>
      <c r="V14" s="9">
        <f>IF(COUNTIF(R14:U14,"Supported*")=4,"Cleared","Blocked")</f>
        <v/>
      </c>
      <c r="W14" s="24">
        <f>IF(V14="Cleared",C14,"")</f>
        <v/>
      </c>
      <c r="X14" s="13" t="inlineStr">
        <is>
          <t>CR-10K</t>
        </is>
      </c>
      <c r="Y14" s="13" t="inlineStr">
        <is>
          <t>$10,000 verified invoice credit</t>
        </is>
      </c>
      <c r="Z14" s="22" t="n">
        <v>4800</v>
      </c>
      <c r="AA14" s="25" t="inlineStr">
        <is>
          <t>Within local authority after gate clears</t>
        </is>
      </c>
      <c r="AB14" s="13" t="inlineStr">
        <is>
          <t>Gloria Kim</t>
        </is>
      </c>
      <c r="AC14" s="13" t="inlineStr">
        <is>
          <t>Final Renewal Approver</t>
        </is>
      </c>
      <c r="AD14" s="13" t="inlineStr">
        <is>
          <t>SMS then email</t>
        </is>
      </c>
      <c r="AE14" s="13" t="inlineStr">
        <is>
          <t>Eastern</t>
        </is>
      </c>
      <c r="AF14" s="13" t="inlineStr">
        <is>
          <t>Approved; Prefers concise invoice note; None</t>
        </is>
      </c>
      <c r="AG14" s="13" t="inlineStr">
        <is>
          <t>Confirm verified invoice credit and corrected bill date</t>
        </is>
      </c>
      <c r="AH14" s="13" t="inlineStr">
        <is>
          <t>Discuss only the verified invoice correction under CR-10K; do not exceed $4,800.</t>
        </is>
      </c>
      <c r="AI14" s="13" t="inlineStr">
        <is>
          <t>Send credit memo note</t>
        </is>
      </c>
      <c r="AJ14" s="21" t="n">
        <v>46220</v>
      </c>
      <c r="AK14" s="5" t="inlineStr">
        <is>
          <t>Not started</t>
        </is>
      </c>
      <c r="AL14" s="13" t="inlineStr"/>
      <c r="AM14" s="13" t="inlineStr">
        <is>
          <t>Confirm verified invoice credit and corrected bill date</t>
        </is>
      </c>
      <c r="AN14" s="21" t="n">
        <v>46223</v>
      </c>
    </row>
    <row r="15" ht="48" customHeight="1">
      <c r="A15" s="5" t="inlineStr">
        <is>
          <t>WORK NOW — CLEAR / PREPARE</t>
        </is>
      </c>
      <c r="B15" s="13" t="n">
        <v>11</v>
      </c>
      <c r="C15" s="21" t="n">
        <v>46224</v>
      </c>
      <c r="D15" s="13" t="inlineStr">
        <is>
          <t>A-1008</t>
        </is>
      </c>
      <c r="E15" s="13" t="inlineStr">
        <is>
          <t>Veridian Charter Schools</t>
        </is>
      </c>
      <c r="F15" s="13" t="inlineStr">
        <is>
          <t>Priya Nair</t>
        </is>
      </c>
      <c r="G15" s="13" t="inlineStr">
        <is>
          <t>Dana Morales</t>
        </is>
      </c>
      <c r="H15" s="21" t="n">
        <v>46249</v>
      </c>
      <c r="I15" s="13">
        <f>H15-C15</f>
        <v/>
      </c>
      <c r="J15" s="22" t="n">
        <v>110000</v>
      </c>
      <c r="K15" s="22" t="n">
        <v>-10000</v>
      </c>
      <c r="L15" s="23" t="n">
        <v>40.8</v>
      </c>
      <c r="M15" s="13" t="inlineStr">
        <is>
          <t>Reporting Discrepancy</t>
        </is>
      </c>
      <c r="N15" s="13" t="inlineStr">
        <is>
          <t>CASE-7211</t>
        </is>
      </c>
      <c r="O15" s="13" t="inlineStr">
        <is>
          <t>Reporting - Eli Park</t>
        </is>
      </c>
      <c r="P15" s="21" t="n">
        <v>46223</v>
      </c>
      <c r="Q15" s="13" t="inlineStr">
        <is>
          <t>Corrected district reach report and renewal summary attached.</t>
        </is>
      </c>
      <c r="R15" s="13" t="inlineStr">
        <is>
          <t>Supported — July 15 approval</t>
        </is>
      </c>
      <c r="S15" s="13" t="inlineStr">
        <is>
          <t>Supported — Julian Pierce / Approved</t>
        </is>
      </c>
      <c r="T15" s="7" t="inlineStr">
        <is>
          <t>Pending — evidence not yet confirmed</t>
        </is>
      </c>
      <c r="U15" s="13" t="inlineStr">
        <is>
          <t>Supported — RPT-COMP / Emerging / $0</t>
        </is>
      </c>
      <c r="V15" s="9">
        <f>IF(COUNTIF(R15:U15,"Supported*")=4,"Cleared","Blocked")</f>
        <v/>
      </c>
      <c r="W15" s="24">
        <f>IF(V15="Cleared",C15,"")</f>
        <v/>
      </c>
      <c r="X15" s="13" t="inlineStr">
        <is>
          <t>RPT-COMP</t>
        </is>
      </c>
      <c r="Y15" s="13" t="inlineStr">
        <is>
          <t>No credit; reporting reconciliation package</t>
        </is>
      </c>
      <c r="Z15" s="22" t="n">
        <v>0</v>
      </c>
      <c r="AA15" s="25" t="inlineStr">
        <is>
          <t>Within local authority after gate clears</t>
        </is>
      </c>
      <c r="AB15" s="13" t="inlineStr">
        <is>
          <t>Julian Pierce</t>
        </is>
      </c>
      <c r="AC15" s="13" t="inlineStr">
        <is>
          <t>Final Renewal Approver</t>
        </is>
      </c>
      <c r="AD15" s="13" t="inlineStr">
        <is>
          <t>Email</t>
        </is>
      </c>
      <c r="AE15" s="13" t="inlineStr">
        <is>
          <t>Mountain</t>
        </is>
      </c>
      <c r="AF15" s="13" t="inlineStr">
        <is>
          <t>Approved; No vendor calls before report; School board meeting July 23</t>
        </is>
      </c>
      <c r="AG15" s="13" t="inlineStr">
        <is>
          <t>Send reconciled district reach report and renewal summary</t>
        </is>
      </c>
      <c r="AH15" s="13" t="inlineStr">
        <is>
          <t>Provide the reconciled district report; make no commercial or performance promise.</t>
        </is>
      </c>
      <c r="AI15" s="13" t="inlineStr">
        <is>
          <t>Share district reach report</t>
        </is>
      </c>
      <c r="AJ15" s="21" t="n">
        <v>46223</v>
      </c>
      <c r="AK15" s="5" t="inlineStr">
        <is>
          <t>Not started</t>
        </is>
      </c>
      <c r="AL15" s="13" t="inlineStr"/>
      <c r="AM15" s="13" t="inlineStr">
        <is>
          <t>Send reconciled district reach report and renewal summary</t>
        </is>
      </c>
      <c r="AN15" s="21" t="n">
        <v>46224</v>
      </c>
    </row>
    <row r="16" ht="48" customHeight="1">
      <c r="A16" s="5" t="inlineStr">
        <is>
          <t>WORK NOW — CLEAR / PREPARE</t>
        </is>
      </c>
      <c r="B16" s="13" t="n">
        <v>12</v>
      </c>
      <c r="C16" s="21" t="n">
        <v>46225</v>
      </c>
      <c r="D16" s="13" t="inlineStr">
        <is>
          <t>A-1010</t>
        </is>
      </c>
      <c r="E16" s="13" t="inlineStr">
        <is>
          <t>Finch Legal Group</t>
        </is>
      </c>
      <c r="F16" s="13" t="inlineStr">
        <is>
          <t>Devon Brooks</t>
        </is>
      </c>
      <c r="G16" s="13" t="inlineStr">
        <is>
          <t>Dana Morales</t>
        </is>
      </c>
      <c r="H16" s="21" t="n">
        <v>46254</v>
      </c>
      <c r="I16" s="13">
        <f>H16-C16</f>
        <v/>
      </c>
      <c r="J16" s="22" t="n">
        <v>75000</v>
      </c>
      <c r="K16" s="22" t="n">
        <v>-2000</v>
      </c>
      <c r="L16" s="23" t="n">
        <v>34.7</v>
      </c>
      <c r="M16" s="13" t="inlineStr">
        <is>
          <t>Renewal Rate Objection</t>
        </is>
      </c>
      <c r="N16" s="13" t="inlineStr">
        <is>
          <t>CASE-7213</t>
        </is>
      </c>
      <c r="O16" s="13" t="inlineStr">
        <is>
          <t>Sales Ops - Aaron Kim</t>
        </is>
      </c>
      <c r="P16" s="21" t="n">
        <v>46224</v>
      </c>
      <c r="Q16" s="13" t="inlineStr">
        <is>
          <t>60-day CPM hold language documented with no additional credit.</t>
        </is>
      </c>
      <c r="R16" s="13" t="inlineStr">
        <is>
          <t>Supported — July 15 approval</t>
        </is>
      </c>
      <c r="S16" s="13" t="inlineStr">
        <is>
          <t>Supported — Evan Finch / Approved</t>
        </is>
      </c>
      <c r="T16" s="7" t="inlineStr">
        <is>
          <t>Pending — evidence not yet confirmed</t>
        </is>
      </c>
      <c r="U16" s="13" t="inlineStr">
        <is>
          <t>Supported — RH-60 / Emerging / $0</t>
        </is>
      </c>
      <c r="V16" s="9">
        <f>IF(COUNTIF(R16:U16,"Supported*")=4,"Cleared","Blocked")</f>
        <v/>
      </c>
      <c r="W16" s="24">
        <f>IF(V16="Cleared",C16,"")</f>
        <v/>
      </c>
      <c r="X16" s="13" t="inlineStr">
        <is>
          <t>RH-60</t>
        </is>
      </c>
      <c r="Y16" s="13" t="inlineStr">
        <is>
          <t>No credit; current CPM held for 60 days</t>
        </is>
      </c>
      <c r="Z16" s="22" t="n">
        <v>0</v>
      </c>
      <c r="AA16" s="25" t="inlineStr">
        <is>
          <t>Within local authority after gate clears</t>
        </is>
      </c>
      <c r="AB16" s="13" t="inlineStr">
        <is>
          <t>Evan Finch</t>
        </is>
      </c>
      <c r="AC16" s="13" t="inlineStr">
        <is>
          <t>Final Renewal Approver</t>
        </is>
      </c>
      <c r="AD16" s="13" t="inlineStr">
        <is>
          <t>Email</t>
        </is>
      </c>
      <c r="AE16" s="13" t="inlineStr">
        <is>
          <t>Eastern</t>
        </is>
      </c>
      <c r="AF16" s="13" t="inlineStr">
        <is>
          <t>Approved; Rate hold only; Court calendar mornings</t>
        </is>
      </c>
      <c r="AG16" s="13" t="inlineStr">
        <is>
          <t>Offer 60-day rate hold without additional credit</t>
        </is>
      </c>
      <c r="AH16" s="13" t="inlineStr">
        <is>
          <t>Offer only the 60-day current-CPM hold under RH-60; do not add a credit.</t>
        </is>
      </c>
      <c r="AI16" s="13" t="inlineStr">
        <is>
          <t>Confirm 60-day rate hold</t>
        </is>
      </c>
      <c r="AJ16" s="21" t="n">
        <v>46224</v>
      </c>
      <c r="AK16" s="5" t="inlineStr">
        <is>
          <t>Not started</t>
        </is>
      </c>
      <c r="AL16" s="13" t="inlineStr"/>
      <c r="AM16" s="13" t="inlineStr">
        <is>
          <t>Offer 60-day rate hold without additional credit</t>
        </is>
      </c>
      <c r="AN16" s="21" t="n">
        <v>46225</v>
      </c>
    </row>
  </sheetData>
  <autoFilter ref="A4:AN16"/>
  <mergeCells count="2">
    <mergeCell ref="A2:AN2"/>
    <mergeCell ref="A1:AN1"/>
  </mergeCells>
  <conditionalFormatting sqref="V5:V16">
    <cfRule type="expression" priority="1" dxfId="0">
      <formula>V5="Cleared"</formula>
    </cfRule>
    <cfRule type="expression" priority="2" dxfId="1">
      <formula>V5="Blocked"</formula>
    </cfRule>
  </conditionalFormatting>
  <conditionalFormatting sqref="W5:W16">
    <cfRule type="expression" priority="3" dxfId="1">
      <formula>AND(W5&lt;&gt;"",V5&lt;&gt;"Cleared")</formula>
    </cfRule>
  </conditionalFormatting>
  <conditionalFormatting sqref="AK5:AK16">
    <cfRule type="expression" priority="4" dxfId="0">
      <formula>AK5="Completed"</formula>
    </cfRule>
  </conditionalFormatting>
  <dataValidations count="2">
    <dataValidation sqref="T5:T16" showDropDown="0" showInputMessage="0" showErrorMessage="0" allowBlank="0" type="list">
      <formula1>"Pending — evidence not yet confirmed,Supported — evidence attached,Not supported — escalate"</formula1>
    </dataValidation>
    <dataValidation sqref="AK5:AK16" showDropDown="0" showInputMessage="0" showErrorMessage="0" allowBlank="0" type="list">
      <formula1>"Not started,Prepared,Sent,Meeting booked,Completed,Hold"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9" customWidth="1" min="3" max="3"/>
    <col width="17" customWidth="1" min="4" max="4"/>
    <col width="25" customWidth="1" min="5" max="5"/>
    <col width="20" customWidth="1" min="6" max="6"/>
    <col width="52" customWidth="1" min="7" max="7"/>
    <col width="16" customWidth="1" min="8" max="8"/>
    <col width="16" customWidth="1" min="9" max="9"/>
  </cols>
  <sheetData>
    <row r="1" ht="28" customHeight="1">
      <c r="A1" s="1" t="inlineStr">
        <is>
          <t>Cleared-Only Dated Contact Path</t>
        </is>
      </c>
    </row>
    <row r="2" ht="30" customHeight="1">
      <c r="A2" s="2" t="inlineStr">
        <is>
          <t>This view populates only when all four source controls calculate Release Status = Cleared. Blocked, controlled, and held accounts cannot appear here.</t>
        </is>
      </c>
    </row>
    <row r="4" ht="32" customHeight="1">
      <c r="A4" s="26" t="inlineStr">
        <is>
          <t>Released Contact Date</t>
        </is>
      </c>
      <c r="B4" s="26" t="inlineStr">
        <is>
          <t>Account ID</t>
        </is>
      </c>
      <c r="C4" s="26" t="inlineStr">
        <is>
          <t>Account Name</t>
        </is>
      </c>
      <c r="D4" s="26" t="inlineStr">
        <is>
          <t>Owner Rep</t>
        </is>
      </c>
      <c r="E4" s="26" t="inlineStr">
        <is>
          <t>Approved Contact</t>
        </is>
      </c>
      <c r="F4" s="26" t="inlineStr">
        <is>
          <t>Preferred Channel</t>
        </is>
      </c>
      <c r="G4" s="26" t="inlineStr">
        <is>
          <t>Supervisor-Approved Customer Action</t>
        </is>
      </c>
      <c r="H4" s="26" t="inlineStr">
        <is>
          <t>Release Status</t>
        </is>
      </c>
      <c r="I4" s="26" t="inlineStr">
        <is>
          <t>Outreach Status</t>
        </is>
      </c>
    </row>
    <row r="5" ht="32" customHeight="1">
      <c r="A5" s="27">
        <f>IF('Approved Work Queue'!$V$5="Cleared",'Approved Work Queue'!$W$5,"")</f>
        <v/>
      </c>
      <c r="B5" s="13">
        <f>IF('Approved Work Queue'!$V$5="Cleared",'Approved Work Queue'!$D$5,"")</f>
        <v/>
      </c>
      <c r="C5" s="13">
        <f>IF('Approved Work Queue'!$V$5="Cleared",'Approved Work Queue'!$E$5,"")</f>
        <v/>
      </c>
      <c r="D5" s="13">
        <f>IF('Approved Work Queue'!$V$5="Cleared",'Approved Work Queue'!$F$5,"")</f>
        <v/>
      </c>
      <c r="E5" s="13">
        <f>IF('Approved Work Queue'!$V$5="Cleared",'Approved Work Queue'!$AB$5,"")</f>
        <v/>
      </c>
      <c r="F5" s="13">
        <f>IF('Approved Work Queue'!$V$5="Cleared",'Approved Work Queue'!$AD$5,"")</f>
        <v/>
      </c>
      <c r="G5" s="13">
        <f>IF('Approved Work Queue'!$V$5="Cleared",'Approved Work Queue'!$AG$5,"")</f>
        <v/>
      </c>
      <c r="H5" s="13">
        <f>IF('Approved Work Queue'!$V$5="Cleared",'Approved Work Queue'!$V$5,"")</f>
        <v/>
      </c>
      <c r="I5" s="13">
        <f>IF('Approved Work Queue'!$V$5="Cleared",'Approved Work Queue'!$AK$5,"")</f>
        <v/>
      </c>
    </row>
    <row r="6" ht="32" customHeight="1">
      <c r="A6" s="27">
        <f>IF('Approved Work Queue'!$V$6="Cleared",'Approved Work Queue'!$W$6,"")</f>
        <v/>
      </c>
      <c r="B6" s="13">
        <f>IF('Approved Work Queue'!$V$6="Cleared",'Approved Work Queue'!$D$6,"")</f>
        <v/>
      </c>
      <c r="C6" s="13">
        <f>IF('Approved Work Queue'!$V$6="Cleared",'Approved Work Queue'!$E$6,"")</f>
        <v/>
      </c>
      <c r="D6" s="13">
        <f>IF('Approved Work Queue'!$V$6="Cleared",'Approved Work Queue'!$F$6,"")</f>
        <v/>
      </c>
      <c r="E6" s="13">
        <f>IF('Approved Work Queue'!$V$6="Cleared",'Approved Work Queue'!$AB$6,"")</f>
        <v/>
      </c>
      <c r="F6" s="13">
        <f>IF('Approved Work Queue'!$V$6="Cleared",'Approved Work Queue'!$AD$6,"")</f>
        <v/>
      </c>
      <c r="G6" s="13">
        <f>IF('Approved Work Queue'!$V$6="Cleared",'Approved Work Queue'!$AG$6,"")</f>
        <v/>
      </c>
      <c r="H6" s="13">
        <f>IF('Approved Work Queue'!$V$6="Cleared",'Approved Work Queue'!$V$6,"")</f>
        <v/>
      </c>
      <c r="I6" s="13">
        <f>IF('Approved Work Queue'!$V$6="Cleared",'Approved Work Queue'!$AK$6,"")</f>
        <v/>
      </c>
    </row>
    <row r="7" ht="32" customHeight="1">
      <c r="A7" s="27">
        <f>IF('Approved Work Queue'!$V$7="Cleared",'Approved Work Queue'!$W$7,"")</f>
        <v/>
      </c>
      <c r="B7" s="13">
        <f>IF('Approved Work Queue'!$V$7="Cleared",'Approved Work Queue'!$D$7,"")</f>
        <v/>
      </c>
      <c r="C7" s="13">
        <f>IF('Approved Work Queue'!$V$7="Cleared",'Approved Work Queue'!$E$7,"")</f>
        <v/>
      </c>
      <c r="D7" s="13">
        <f>IF('Approved Work Queue'!$V$7="Cleared",'Approved Work Queue'!$F$7,"")</f>
        <v/>
      </c>
      <c r="E7" s="13">
        <f>IF('Approved Work Queue'!$V$7="Cleared",'Approved Work Queue'!$AB$7,"")</f>
        <v/>
      </c>
      <c r="F7" s="13">
        <f>IF('Approved Work Queue'!$V$7="Cleared",'Approved Work Queue'!$AD$7,"")</f>
        <v/>
      </c>
      <c r="G7" s="13">
        <f>IF('Approved Work Queue'!$V$7="Cleared",'Approved Work Queue'!$AG$7,"")</f>
        <v/>
      </c>
      <c r="H7" s="13">
        <f>IF('Approved Work Queue'!$V$7="Cleared",'Approved Work Queue'!$V$7,"")</f>
        <v/>
      </c>
      <c r="I7" s="13">
        <f>IF('Approved Work Queue'!$V$7="Cleared",'Approved Work Queue'!$AK$7,"")</f>
        <v/>
      </c>
    </row>
    <row r="8" ht="32" customHeight="1">
      <c r="A8" s="27">
        <f>IF('Approved Work Queue'!$V$8="Cleared",'Approved Work Queue'!$W$8,"")</f>
        <v/>
      </c>
      <c r="B8" s="13">
        <f>IF('Approved Work Queue'!$V$8="Cleared",'Approved Work Queue'!$D$8,"")</f>
        <v/>
      </c>
      <c r="C8" s="13">
        <f>IF('Approved Work Queue'!$V$8="Cleared",'Approved Work Queue'!$E$8,"")</f>
        <v/>
      </c>
      <c r="D8" s="13">
        <f>IF('Approved Work Queue'!$V$8="Cleared",'Approved Work Queue'!$F$8,"")</f>
        <v/>
      </c>
      <c r="E8" s="13">
        <f>IF('Approved Work Queue'!$V$8="Cleared",'Approved Work Queue'!$AB$8,"")</f>
        <v/>
      </c>
      <c r="F8" s="13">
        <f>IF('Approved Work Queue'!$V$8="Cleared",'Approved Work Queue'!$AD$8,"")</f>
        <v/>
      </c>
      <c r="G8" s="13">
        <f>IF('Approved Work Queue'!$V$8="Cleared",'Approved Work Queue'!$AG$8,"")</f>
        <v/>
      </c>
      <c r="H8" s="13">
        <f>IF('Approved Work Queue'!$V$8="Cleared",'Approved Work Queue'!$V$8,"")</f>
        <v/>
      </c>
      <c r="I8" s="13">
        <f>IF('Approved Work Queue'!$V$8="Cleared",'Approved Work Queue'!$AK$8,"")</f>
        <v/>
      </c>
    </row>
    <row r="9" ht="32" customHeight="1">
      <c r="A9" s="27">
        <f>IF('Approved Work Queue'!$V$9="Cleared",'Approved Work Queue'!$W$9,"")</f>
        <v/>
      </c>
      <c r="B9" s="13">
        <f>IF('Approved Work Queue'!$V$9="Cleared",'Approved Work Queue'!$D$9,"")</f>
        <v/>
      </c>
      <c r="C9" s="13">
        <f>IF('Approved Work Queue'!$V$9="Cleared",'Approved Work Queue'!$E$9,"")</f>
        <v/>
      </c>
      <c r="D9" s="13">
        <f>IF('Approved Work Queue'!$V$9="Cleared",'Approved Work Queue'!$F$9,"")</f>
        <v/>
      </c>
      <c r="E9" s="13">
        <f>IF('Approved Work Queue'!$V$9="Cleared",'Approved Work Queue'!$AB$9,"")</f>
        <v/>
      </c>
      <c r="F9" s="13">
        <f>IF('Approved Work Queue'!$V$9="Cleared",'Approved Work Queue'!$AD$9,"")</f>
        <v/>
      </c>
      <c r="G9" s="13">
        <f>IF('Approved Work Queue'!$V$9="Cleared",'Approved Work Queue'!$AG$9,"")</f>
        <v/>
      </c>
      <c r="H9" s="13">
        <f>IF('Approved Work Queue'!$V$9="Cleared",'Approved Work Queue'!$V$9,"")</f>
        <v/>
      </c>
      <c r="I9" s="13">
        <f>IF('Approved Work Queue'!$V$9="Cleared",'Approved Work Queue'!$AK$9,"")</f>
        <v/>
      </c>
    </row>
    <row r="10" ht="32" customHeight="1">
      <c r="A10" s="27">
        <f>IF('Approved Work Queue'!$V$10="Cleared",'Approved Work Queue'!$W$10,"")</f>
        <v/>
      </c>
      <c r="B10" s="13">
        <f>IF('Approved Work Queue'!$V$10="Cleared",'Approved Work Queue'!$D$10,"")</f>
        <v/>
      </c>
      <c r="C10" s="13">
        <f>IF('Approved Work Queue'!$V$10="Cleared",'Approved Work Queue'!$E$10,"")</f>
        <v/>
      </c>
      <c r="D10" s="13">
        <f>IF('Approved Work Queue'!$V$10="Cleared",'Approved Work Queue'!$F$10,"")</f>
        <v/>
      </c>
      <c r="E10" s="13">
        <f>IF('Approved Work Queue'!$V$10="Cleared",'Approved Work Queue'!$AB$10,"")</f>
        <v/>
      </c>
      <c r="F10" s="13">
        <f>IF('Approved Work Queue'!$V$10="Cleared",'Approved Work Queue'!$AD$10,"")</f>
        <v/>
      </c>
      <c r="G10" s="13">
        <f>IF('Approved Work Queue'!$V$10="Cleared",'Approved Work Queue'!$AG$10,"")</f>
        <v/>
      </c>
      <c r="H10" s="13">
        <f>IF('Approved Work Queue'!$V$10="Cleared",'Approved Work Queue'!$V$10,"")</f>
        <v/>
      </c>
      <c r="I10" s="13">
        <f>IF('Approved Work Queue'!$V$10="Cleared",'Approved Work Queue'!$AK$10,"")</f>
        <v/>
      </c>
    </row>
    <row r="11" ht="32" customHeight="1">
      <c r="A11" s="27">
        <f>IF('Approved Work Queue'!$V$11="Cleared",'Approved Work Queue'!$W$11,"")</f>
        <v/>
      </c>
      <c r="B11" s="13">
        <f>IF('Approved Work Queue'!$V$11="Cleared",'Approved Work Queue'!$D$11,"")</f>
        <v/>
      </c>
      <c r="C11" s="13">
        <f>IF('Approved Work Queue'!$V$11="Cleared",'Approved Work Queue'!$E$11,"")</f>
        <v/>
      </c>
      <c r="D11" s="13">
        <f>IF('Approved Work Queue'!$V$11="Cleared",'Approved Work Queue'!$F$11,"")</f>
        <v/>
      </c>
      <c r="E11" s="13">
        <f>IF('Approved Work Queue'!$V$11="Cleared",'Approved Work Queue'!$AB$11,"")</f>
        <v/>
      </c>
      <c r="F11" s="13">
        <f>IF('Approved Work Queue'!$V$11="Cleared",'Approved Work Queue'!$AD$11,"")</f>
        <v/>
      </c>
      <c r="G11" s="13">
        <f>IF('Approved Work Queue'!$V$11="Cleared",'Approved Work Queue'!$AG$11,"")</f>
        <v/>
      </c>
      <c r="H11" s="13">
        <f>IF('Approved Work Queue'!$V$11="Cleared",'Approved Work Queue'!$V$11,"")</f>
        <v/>
      </c>
      <c r="I11" s="13">
        <f>IF('Approved Work Queue'!$V$11="Cleared",'Approved Work Queue'!$AK$11,"")</f>
        <v/>
      </c>
    </row>
    <row r="12" ht="32" customHeight="1">
      <c r="A12" s="27">
        <f>IF('Approved Work Queue'!$V$12="Cleared",'Approved Work Queue'!$W$12,"")</f>
        <v/>
      </c>
      <c r="B12" s="13">
        <f>IF('Approved Work Queue'!$V$12="Cleared",'Approved Work Queue'!$D$12,"")</f>
        <v/>
      </c>
      <c r="C12" s="13">
        <f>IF('Approved Work Queue'!$V$12="Cleared",'Approved Work Queue'!$E$12,"")</f>
        <v/>
      </c>
      <c r="D12" s="13">
        <f>IF('Approved Work Queue'!$V$12="Cleared",'Approved Work Queue'!$F$12,"")</f>
        <v/>
      </c>
      <c r="E12" s="13">
        <f>IF('Approved Work Queue'!$V$12="Cleared",'Approved Work Queue'!$AB$12,"")</f>
        <v/>
      </c>
      <c r="F12" s="13">
        <f>IF('Approved Work Queue'!$V$12="Cleared",'Approved Work Queue'!$AD$12,"")</f>
        <v/>
      </c>
      <c r="G12" s="13">
        <f>IF('Approved Work Queue'!$V$12="Cleared",'Approved Work Queue'!$AG$12,"")</f>
        <v/>
      </c>
      <c r="H12" s="13">
        <f>IF('Approved Work Queue'!$V$12="Cleared",'Approved Work Queue'!$V$12,"")</f>
        <v/>
      </c>
      <c r="I12" s="13">
        <f>IF('Approved Work Queue'!$V$12="Cleared",'Approved Work Queue'!$AK$12,"")</f>
        <v/>
      </c>
    </row>
    <row r="13" ht="32" customHeight="1">
      <c r="A13" s="27">
        <f>IF('Approved Work Queue'!$V$13="Cleared",'Approved Work Queue'!$W$13,"")</f>
        <v/>
      </c>
      <c r="B13" s="13">
        <f>IF('Approved Work Queue'!$V$13="Cleared",'Approved Work Queue'!$D$13,"")</f>
        <v/>
      </c>
      <c r="C13" s="13">
        <f>IF('Approved Work Queue'!$V$13="Cleared",'Approved Work Queue'!$E$13,"")</f>
        <v/>
      </c>
      <c r="D13" s="13">
        <f>IF('Approved Work Queue'!$V$13="Cleared",'Approved Work Queue'!$F$13,"")</f>
        <v/>
      </c>
      <c r="E13" s="13">
        <f>IF('Approved Work Queue'!$V$13="Cleared",'Approved Work Queue'!$AB$13,"")</f>
        <v/>
      </c>
      <c r="F13" s="13">
        <f>IF('Approved Work Queue'!$V$13="Cleared",'Approved Work Queue'!$AD$13,"")</f>
        <v/>
      </c>
      <c r="G13" s="13">
        <f>IF('Approved Work Queue'!$V$13="Cleared",'Approved Work Queue'!$AG$13,"")</f>
        <v/>
      </c>
      <c r="H13" s="13">
        <f>IF('Approved Work Queue'!$V$13="Cleared",'Approved Work Queue'!$V$13,"")</f>
        <v/>
      </c>
      <c r="I13" s="13">
        <f>IF('Approved Work Queue'!$V$13="Cleared",'Approved Work Queue'!$AK$13,"")</f>
        <v/>
      </c>
    </row>
    <row r="14" ht="32" customHeight="1">
      <c r="A14" s="27">
        <f>IF('Approved Work Queue'!$V$14="Cleared",'Approved Work Queue'!$W$14,"")</f>
        <v/>
      </c>
      <c r="B14" s="13">
        <f>IF('Approved Work Queue'!$V$14="Cleared",'Approved Work Queue'!$D$14,"")</f>
        <v/>
      </c>
      <c r="C14" s="13">
        <f>IF('Approved Work Queue'!$V$14="Cleared",'Approved Work Queue'!$E$14,"")</f>
        <v/>
      </c>
      <c r="D14" s="13">
        <f>IF('Approved Work Queue'!$V$14="Cleared",'Approved Work Queue'!$F$14,"")</f>
        <v/>
      </c>
      <c r="E14" s="13">
        <f>IF('Approved Work Queue'!$V$14="Cleared",'Approved Work Queue'!$AB$14,"")</f>
        <v/>
      </c>
      <c r="F14" s="13">
        <f>IF('Approved Work Queue'!$V$14="Cleared",'Approved Work Queue'!$AD$14,"")</f>
        <v/>
      </c>
      <c r="G14" s="13">
        <f>IF('Approved Work Queue'!$V$14="Cleared",'Approved Work Queue'!$AG$14,"")</f>
        <v/>
      </c>
      <c r="H14" s="13">
        <f>IF('Approved Work Queue'!$V$14="Cleared",'Approved Work Queue'!$V$14,"")</f>
        <v/>
      </c>
      <c r="I14" s="13">
        <f>IF('Approved Work Queue'!$V$14="Cleared",'Approved Work Queue'!$AK$14,"")</f>
        <v/>
      </c>
    </row>
    <row r="15" ht="32" customHeight="1">
      <c r="A15" s="27">
        <f>IF('Approved Work Queue'!$V$15="Cleared",'Approved Work Queue'!$W$15,"")</f>
        <v/>
      </c>
      <c r="B15" s="13">
        <f>IF('Approved Work Queue'!$V$15="Cleared",'Approved Work Queue'!$D$15,"")</f>
        <v/>
      </c>
      <c r="C15" s="13">
        <f>IF('Approved Work Queue'!$V$15="Cleared",'Approved Work Queue'!$E$15,"")</f>
        <v/>
      </c>
      <c r="D15" s="13">
        <f>IF('Approved Work Queue'!$V$15="Cleared",'Approved Work Queue'!$F$15,"")</f>
        <v/>
      </c>
      <c r="E15" s="13">
        <f>IF('Approved Work Queue'!$V$15="Cleared",'Approved Work Queue'!$AB$15,"")</f>
        <v/>
      </c>
      <c r="F15" s="13">
        <f>IF('Approved Work Queue'!$V$15="Cleared",'Approved Work Queue'!$AD$15,"")</f>
        <v/>
      </c>
      <c r="G15" s="13">
        <f>IF('Approved Work Queue'!$V$15="Cleared",'Approved Work Queue'!$AG$15,"")</f>
        <v/>
      </c>
      <c r="H15" s="13">
        <f>IF('Approved Work Queue'!$V$15="Cleared",'Approved Work Queue'!$V$15,"")</f>
        <v/>
      </c>
      <c r="I15" s="13">
        <f>IF('Approved Work Queue'!$V$15="Cleared",'Approved Work Queue'!$AK$15,"")</f>
        <v/>
      </c>
    </row>
    <row r="16" ht="32" customHeight="1">
      <c r="A16" s="27">
        <f>IF('Approved Work Queue'!$V$16="Cleared",'Approved Work Queue'!$W$16,"")</f>
        <v/>
      </c>
      <c r="B16" s="13">
        <f>IF('Approved Work Queue'!$V$16="Cleared",'Approved Work Queue'!$D$16,"")</f>
        <v/>
      </c>
      <c r="C16" s="13">
        <f>IF('Approved Work Queue'!$V$16="Cleared",'Approved Work Queue'!$E$16,"")</f>
        <v/>
      </c>
      <c r="D16" s="13">
        <f>IF('Approved Work Queue'!$V$16="Cleared",'Approved Work Queue'!$F$16,"")</f>
        <v/>
      </c>
      <c r="E16" s="13">
        <f>IF('Approved Work Queue'!$V$16="Cleared",'Approved Work Queue'!$AB$16,"")</f>
        <v/>
      </c>
      <c r="F16" s="13">
        <f>IF('Approved Work Queue'!$V$16="Cleared",'Approved Work Queue'!$AD$16,"")</f>
        <v/>
      </c>
      <c r="G16" s="13">
        <f>IF('Approved Work Queue'!$V$16="Cleared",'Approved Work Queue'!$AG$16,"")</f>
        <v/>
      </c>
      <c r="H16" s="13">
        <f>IF('Approved Work Queue'!$V$16="Cleared",'Approved Work Queue'!$V$16,"")</f>
        <v/>
      </c>
      <c r="I16" s="13">
        <f>IF('Approved Work Queue'!$V$16="Cleared",'Approved Work Queue'!$AK$16,"")</f>
        <v/>
      </c>
    </row>
  </sheetData>
  <mergeCells count="2">
    <mergeCell ref="A1:I1"/>
    <mergeCell ref="A2:I2"/>
  </mergeCells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0" customWidth="1" min="3" max="3"/>
    <col width="36" customWidth="1" min="4" max="4"/>
    <col width="42" customWidth="1" min="5" max="5"/>
    <col width="52" customWidth="1" min="6" max="6"/>
    <col width="16" customWidth="1" min="7" max="7"/>
    <col width="48" customWidth="1" min="8" max="8"/>
  </cols>
  <sheetData>
    <row r="1" ht="28" customHeight="1">
      <c r="A1" s="1" t="inlineStr">
        <is>
          <t>July 17–24 Daily Runbook</t>
        </is>
      </c>
    </row>
    <row r="2" ht="30" customHeight="1">
      <c r="A2" s="2" t="inlineStr">
        <is>
          <t>Column C prepares accounts against their conditional contact targets. Only accounts appearing on Cleared Contact Path may enter column D.</t>
        </is>
      </c>
    </row>
    <row r="4" ht="32" customHeight="1">
      <c r="A4" s="3" t="inlineStr">
        <is>
          <t>Date</t>
        </is>
      </c>
      <c r="B4" s="3" t="inlineStr">
        <is>
          <t>Supervisor Focus</t>
        </is>
      </c>
      <c r="C4" s="3" t="inlineStr">
        <is>
          <t>Pre-contact Clearance Work</t>
        </is>
      </c>
      <c r="D4" s="3" t="inlineStr">
        <is>
          <t>Cleared Customer Contacts Only</t>
        </is>
      </c>
      <c r="E4" s="3" t="inlineStr">
        <is>
          <t>Exception / Hold Check</t>
        </is>
      </c>
      <c r="F4" s="3" t="inlineStr">
        <is>
          <t>16:00 ET Checkpoint Deliverable</t>
        </is>
      </c>
      <c r="G4" s="3" t="inlineStr">
        <is>
          <t>Completion Status</t>
        </is>
      </c>
      <c r="H4" s="3" t="inlineStr">
        <is>
          <t>Supervisor Note</t>
        </is>
      </c>
    </row>
    <row r="5" ht="48" customHeight="1">
      <c r="A5" s="27" t="n">
        <v>46220</v>
      </c>
      <c r="B5" s="13" t="inlineStr">
        <is>
          <t>Launch: validate evidence, authorize only cleared rows, assign rep actions.</t>
        </is>
      </c>
      <c r="C5" s="13" t="inlineStr">
        <is>
          <t>A-1001, A-1003, A-1004, A-1009</t>
        </is>
      </c>
      <c r="D5" s="13" t="inlineStr">
        <is>
          <t>None until rows appear on Cleared Contact Path</t>
        </is>
      </c>
      <c r="E5" s="13" t="inlineStr">
        <is>
          <t>A-1014 manager credit decision</t>
        </is>
      </c>
      <c r="F5" s="13" t="inlineStr">
        <is>
          <t>Gate status, released actions, blocked items, and owner/due date.</t>
        </is>
      </c>
      <c r="G5" s="5" t="inlineStr">
        <is>
          <t>Not started</t>
        </is>
      </c>
      <c r="H5" s="13" t="n"/>
    </row>
    <row r="6" ht="48" customHeight="1">
      <c r="A6" s="27" t="n">
        <v>46223</v>
      </c>
      <c r="B6" s="13" t="inlineStr">
        <is>
          <t>Clear weekend operational dependencies and run highest-risk outreach.</t>
        </is>
      </c>
      <c r="C6" s="13" t="inlineStr">
        <is>
          <t>A-1005, A-1012, A-1007, A-1006</t>
        </is>
      </c>
      <c r="D6" s="13" t="inlineStr">
        <is>
          <t>Use Cleared Contact Path only</t>
        </is>
      </c>
      <c r="E6" s="13" t="inlineStr">
        <is>
          <t>A-1013 contact-route decision</t>
        </is>
      </c>
      <c r="F6" s="13" t="inlineStr">
        <is>
          <t>Outreach result, customer response, missed gates, and updated forecast risk.</t>
        </is>
      </c>
      <c r="G6" s="5" t="inlineStr">
        <is>
          <t>Not started</t>
        </is>
      </c>
      <c r="H6" s="13" t="n"/>
    </row>
    <row r="7" ht="48" customHeight="1">
      <c r="A7" s="27" t="n">
        <v>46224</v>
      </c>
      <c r="B7" s="13" t="inlineStr">
        <is>
          <t>Complete reporting-package actions and evidence-only follow-up.</t>
        </is>
      </c>
      <c r="C7" s="13" t="inlineStr">
        <is>
          <t>A-1002, A-1011, A-1008</t>
        </is>
      </c>
      <c r="D7" s="13" t="inlineStr">
        <is>
          <t>Use Cleared Contact Path only</t>
        </is>
      </c>
      <c r="E7" s="13" t="inlineStr">
        <is>
          <t>A-1015 product-feed status</t>
        </is>
      </c>
      <c r="F7" s="13" t="inlineStr">
        <is>
          <t>Reports delivered, follow-ups booked, exception changes, and forecast risk.</t>
        </is>
      </c>
      <c r="G7" s="5" t="inlineStr">
        <is>
          <t>Not started</t>
        </is>
      </c>
      <c r="H7" s="13" t="n"/>
    </row>
    <row r="8" ht="48" customHeight="1">
      <c r="A8" s="27" t="n">
        <v>46225</v>
      </c>
      <c r="B8" s="13" t="inlineStr">
        <is>
          <t>Complete rate-hold action and rescue any slipped approved account.</t>
        </is>
      </c>
      <c r="C8" s="13" t="inlineStr">
        <is>
          <t>A-1010 plus slipped approved rows</t>
        </is>
      </c>
      <c r="D8" s="13" t="inlineStr">
        <is>
          <t>Use Cleared Contact Path only</t>
        </is>
      </c>
      <c r="E8" s="13" t="inlineStr">
        <is>
          <t>A-1015 feed-fix decision</t>
        </is>
      </c>
      <c r="F8" s="13" t="inlineStr">
        <is>
          <t>Completed actions, rescue assignments, outstanding customer decisions.</t>
        </is>
      </c>
      <c r="G8" s="5" t="inlineStr">
        <is>
          <t>Not started</t>
        </is>
      </c>
      <c r="H8" s="13" t="n"/>
    </row>
    <row r="9" ht="48" customHeight="1">
      <c r="A9" s="27" t="n">
        <v>46226</v>
      </c>
      <c r="B9" s="13" t="inlineStr">
        <is>
          <t>Resolve follow-ups and prepare closeout reconciliation.</t>
        </is>
      </c>
      <c r="C9" s="13" t="inlineStr">
        <is>
          <t>All open approved rows</t>
        </is>
      </c>
      <c r="D9" s="13" t="inlineStr">
        <is>
          <t>Use Cleared Contact Path only</t>
        </is>
      </c>
      <c r="E9" s="13" t="inlineStr">
        <is>
          <t>A-1017 legal route status</t>
        </is>
      </c>
      <c r="F9" s="13" t="inlineStr">
        <is>
          <t>Open actions with owners/dates; draft decision and forecast reconciliation.</t>
        </is>
      </c>
      <c r="G9" s="5" t="inlineStr">
        <is>
          <t>Not started</t>
        </is>
      </c>
      <c r="H9" s="13" t="n"/>
    </row>
    <row r="10" ht="48" customHeight="1">
      <c r="A10" s="27" t="n">
        <v>46227</v>
      </c>
      <c r="B10" s="13" t="inlineStr">
        <is>
          <t>Final follow-up and sprint closeout.</t>
        </is>
      </c>
      <c r="C10" s="13" t="inlineStr">
        <is>
          <t>A-1001 renewal checkpoint; all remaining approved rows</t>
        </is>
      </c>
      <c r="D10" s="13" t="inlineStr">
        <is>
          <t>Use Cleared Contact Path only</t>
        </is>
      </c>
      <c r="E10" s="13" t="inlineStr">
        <is>
          <t>All four exceptions; confirm A-1016/A-1018 remain held</t>
        </is>
      </c>
      <c r="F10" s="13" t="inlineStr">
        <is>
          <t>Final model decision, outreach status, exceptions, and forecast-risk change.</t>
        </is>
      </c>
      <c r="G10" s="5" t="inlineStr">
        <is>
          <t>Not started</t>
        </is>
      </c>
      <c r="H10" s="13" t="n"/>
    </row>
  </sheetData>
  <mergeCells count="2">
    <mergeCell ref="A2:H2"/>
    <mergeCell ref="A1:H1"/>
  </mergeCells>
  <dataValidations count="1">
    <dataValidation sqref="G5:G10" showDropDown="0" showInputMessage="0" showErrorMessage="0" allowBlank="0" type="list">
      <formula1>"Not started,In progress,Complete,Blocked"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16" customWidth="1" min="4" max="4"/>
    <col width="16" customWidth="1" min="5" max="5"/>
    <col width="13" customWidth="1" min="6" max="6"/>
    <col width="16" customWidth="1" min="7" max="7"/>
    <col width="15" customWidth="1" min="8" max="8"/>
    <col width="24" customWidth="1" min="9" max="9"/>
    <col width="34" customWidth="1" min="10" max="10"/>
    <col width="28" customWidth="1" min="11" max="11"/>
    <col width="13" customWidth="1" min="12" max="12"/>
    <col width="52" customWidth="1" min="13" max="13"/>
    <col width="45" customWidth="1" min="14" max="14"/>
    <col width="17" customWidth="1" min="15" max="15"/>
    <col width="42" customWidth="1" min="16" max="16"/>
    <col width="48" customWidth="1" min="17" max="17"/>
  </cols>
  <sheetData>
    <row r="1" ht="28" customHeight="1">
      <c r="A1" s="1" t="inlineStr">
        <is>
          <t>Controlled Exception Queue</t>
        </is>
      </c>
    </row>
    <row r="2" ht="30" customHeight="1">
      <c r="A2" s="2" t="inlineStr">
        <is>
          <t>Visible to the supervisor, but not releasable as local customer commitments.</t>
        </is>
      </c>
    </row>
    <row r="4" ht="32" customHeight="1">
      <c r="A4" s="28" t="inlineStr">
        <is>
          <t>Control Lane</t>
        </is>
      </c>
      <c r="B4" s="28" t="inlineStr">
        <is>
          <t>Account ID</t>
        </is>
      </c>
      <c r="C4" s="28" t="inlineStr">
        <is>
          <t>Account Name</t>
        </is>
      </c>
      <c r="D4" s="28" t="inlineStr">
        <is>
          <t>Owner Rep</t>
        </is>
      </c>
      <c r="E4" s="28" t="inlineStr">
        <is>
          <t>Supervisor</t>
        </is>
      </c>
      <c r="F4" s="28" t="inlineStr">
        <is>
          <t>Renewal Date</t>
        </is>
      </c>
      <c r="G4" s="28" t="inlineStr">
        <is>
          <t>Renewal Exposure</t>
        </is>
      </c>
      <c r="H4" s="28" t="inlineStr">
        <is>
          <t>Forecast Variance</t>
        </is>
      </c>
      <c r="I4" s="28" t="inlineStr">
        <is>
          <t>Primary Issue</t>
        </is>
      </c>
      <c r="J4" s="28" t="inlineStr">
        <is>
          <t>Exception Reason</t>
        </is>
      </c>
      <c r="K4" s="28" t="inlineStr">
        <is>
          <t>Escalation Owner</t>
        </is>
      </c>
      <c r="L4" s="28" t="inlineStr">
        <is>
          <t>Decision Due</t>
        </is>
      </c>
      <c r="M4" s="28" t="inlineStr">
        <is>
          <t>Required Route</t>
        </is>
      </c>
      <c r="N4" s="28" t="inlineStr">
        <is>
          <t>Customer Contact Rule</t>
        </is>
      </c>
      <c r="O4" s="28" t="inlineStr">
        <is>
          <t>Exception Status</t>
        </is>
      </c>
      <c r="P4" s="28" t="inlineStr">
        <is>
          <t>Checkpoint Note</t>
        </is>
      </c>
      <c r="Q4" s="28" t="inlineStr">
        <is>
          <t>Next Step</t>
        </is>
      </c>
    </row>
    <row r="5" ht="48" customHeight="1">
      <c r="A5" s="13" t="inlineStr">
        <is>
          <t>CONTROLLED — NO LOCAL COMMITMENT</t>
        </is>
      </c>
      <c r="B5" s="13" t="inlineStr">
        <is>
          <t>A-1014</t>
        </is>
      </c>
      <c r="C5" s="13" t="inlineStr">
        <is>
          <t>SummitBank SMB Services</t>
        </is>
      </c>
      <c r="D5" s="13" t="inlineStr">
        <is>
          <t>Luis Romero</t>
        </is>
      </c>
      <c r="E5" s="13" t="inlineStr">
        <is>
          <t>Dana Morales</t>
        </is>
      </c>
      <c r="F5" s="21" t="n">
        <v>46233</v>
      </c>
      <c r="G5" s="22" t="n">
        <v>360000</v>
      </c>
      <c r="H5" s="22" t="n">
        <v>-60000</v>
      </c>
      <c r="I5" s="13" t="inlineStr">
        <is>
          <t>Billing Error</t>
        </is>
      </c>
      <c r="J5" s="13" t="inlineStr">
        <is>
          <t>Requested credit is above supervisor authority</t>
        </is>
      </c>
      <c r="K5" s="13" t="inlineStr">
        <is>
          <t>Sales manager</t>
        </is>
      </c>
      <c r="L5" s="21" t="n">
        <v>46220</v>
      </c>
      <c r="M5" s="13" t="inlineStr">
        <is>
          <t>Decide the $42,000 over-limit credit route; no local credit promise.</t>
        </is>
      </c>
      <c r="N5" s="13" t="inlineStr">
        <is>
          <t>No local commitment; evidence-only contact where directory permits.</t>
        </is>
      </c>
      <c r="O5" s="7" t="inlineStr">
        <is>
          <t>Open</t>
        </is>
      </c>
      <c r="P5" s="13" t="inlineStr"/>
      <c r="Q5" s="13" t="inlineStr">
        <is>
          <t>Decide the $42,000 over-limit credit route; no local credit promise.</t>
        </is>
      </c>
    </row>
    <row r="6" ht="48" customHeight="1">
      <c r="A6" s="13" t="inlineStr">
        <is>
          <t>CONTROLLED — NO LOCAL COMMITMENT</t>
        </is>
      </c>
      <c r="B6" s="13" t="inlineStr">
        <is>
          <t>A-1017</t>
        </is>
      </c>
      <c r="C6" s="13" t="inlineStr">
        <is>
          <t>Atlas BioLabs</t>
        </is>
      </c>
      <c r="D6" s="13" t="inlineStr">
        <is>
          <t>Jordan Patel</t>
        </is>
      </c>
      <c r="E6" s="13" t="inlineStr">
        <is>
          <t>Dana Morales</t>
        </is>
      </c>
      <c r="F6" s="21" t="n">
        <v>46262</v>
      </c>
      <c r="G6" s="22" t="n">
        <v>520000</v>
      </c>
      <c r="H6" s="22" t="n">
        <v>-110000</v>
      </c>
      <c r="I6" s="13" t="inlineStr">
        <is>
          <t>Data-Use Terms</t>
        </is>
      </c>
      <c r="J6" s="13" t="inlineStr">
        <is>
          <t>Contract terms outside local authority</t>
        </is>
      </c>
      <c r="K6" s="13" t="inlineStr">
        <is>
          <t>Sales manager and Legal</t>
        </is>
      </c>
      <c r="L6" s="21" t="n">
        <v>46227</v>
      </c>
      <c r="M6" s="13" t="inlineStr">
        <is>
          <t>Draft the data-use response through the manager/legal route; no rep commitment.</t>
        </is>
      </c>
      <c r="N6" s="13" t="inlineStr">
        <is>
          <t>No local commitment; evidence-only contact where directory permits.</t>
        </is>
      </c>
      <c r="O6" s="7" t="inlineStr">
        <is>
          <t>Open</t>
        </is>
      </c>
      <c r="P6" s="13" t="inlineStr"/>
      <c r="Q6" s="13" t="inlineStr">
        <is>
          <t>Draft the data-use response through the manager/legal route; no rep commitment.</t>
        </is>
      </c>
    </row>
    <row r="7" ht="48" customHeight="1">
      <c r="A7" s="13" t="inlineStr">
        <is>
          <t>CONTROLLED — NO LOCAL COMMITMENT</t>
        </is>
      </c>
      <c r="B7" s="13" t="inlineStr">
        <is>
          <t>A-1015</t>
        </is>
      </c>
      <c r="C7" s="13" t="inlineStr">
        <is>
          <t>Mesa Tool Supply</t>
        </is>
      </c>
      <c r="D7" s="13" t="inlineStr">
        <is>
          <t>Devon Brooks</t>
        </is>
      </c>
      <c r="E7" s="13" t="inlineStr">
        <is>
          <t>Dana Morales</t>
        </is>
      </c>
      <c r="F7" s="21" t="n">
        <v>46241</v>
      </c>
      <c r="G7" s="22" t="n">
        <v>210000</v>
      </c>
      <c r="H7" s="22" t="n">
        <v>-38000</v>
      </c>
      <c r="I7" s="13" t="inlineStr">
        <is>
          <t>Product Feed Blocker</t>
        </is>
      </c>
      <c r="J7" s="13" t="inlineStr">
        <is>
          <t>Ad-ops blocker not cleared</t>
        </is>
      </c>
      <c r="K7" s="13" t="inlineStr">
        <is>
          <t>Product Support / Ad Ops</t>
        </is>
      </c>
      <c r="L7" s="21" t="n">
        <v>46225</v>
      </c>
      <c r="M7" s="13" t="inlineStr">
        <is>
          <t>Clear the feed blocker and provide feasibility proof before any package-swap offer.</t>
        </is>
      </c>
      <c r="N7" s="13" t="inlineStr">
        <is>
          <t>No local commitment; evidence-only contact where directory permits.</t>
        </is>
      </c>
      <c r="O7" s="7" t="inlineStr">
        <is>
          <t>Open</t>
        </is>
      </c>
      <c r="P7" s="13" t="inlineStr"/>
      <c r="Q7" s="13" t="inlineStr">
        <is>
          <t>Clear the feed blocker and provide feasibility proof before any package-swap offer.</t>
        </is>
      </c>
    </row>
    <row r="8" ht="48" customHeight="1">
      <c r="A8" s="13" t="inlineStr">
        <is>
          <t>CONTROLLED — NO LOCAL COMMITMENT</t>
        </is>
      </c>
      <c r="B8" s="13" t="inlineStr">
        <is>
          <t>A-1013</t>
        </is>
      </c>
      <c r="C8" s="13" t="inlineStr">
        <is>
          <t>BrightPath Dental Alliance</t>
        </is>
      </c>
      <c r="D8" s="13" t="inlineStr">
        <is>
          <t>Priya Nair</t>
        </is>
      </c>
      <c r="E8" s="13" t="inlineStr">
        <is>
          <t>Dana Morales</t>
        </is>
      </c>
      <c r="F8" s="21" t="n">
        <v>46251</v>
      </c>
      <c r="G8" s="22" t="n">
        <v>165000</v>
      </c>
      <c r="H8" s="22" t="n">
        <v>-12000</v>
      </c>
      <c r="I8" s="13" t="inlineStr">
        <is>
          <t>Delivery Underpacing</t>
        </is>
      </c>
      <c r="J8" s="13" t="inlineStr">
        <is>
          <t>Decision-maker outreach permission pending</t>
        </is>
      </c>
      <c r="K8" s="13" t="inlineStr">
        <is>
          <t>Supervisor / contact-route approval</t>
        </is>
      </c>
      <c r="L8" s="21" t="n">
        <v>46223</v>
      </c>
      <c r="M8" s="13" t="inlineStr">
        <is>
          <t>Obtain permission for the final approver route; operational contact may receive issue evidence only.</t>
        </is>
      </c>
      <c r="N8" s="13" t="inlineStr">
        <is>
          <t>No local commitment; evidence-only contact where directory permits.</t>
        </is>
      </c>
      <c r="O8" s="7" t="inlineStr">
        <is>
          <t>Open</t>
        </is>
      </c>
      <c r="P8" s="13" t="inlineStr"/>
      <c r="Q8" s="13" t="inlineStr">
        <is>
          <t>Obtain permission for the final approver route; operational contact may receive issue evidence only.</t>
        </is>
      </c>
    </row>
  </sheetData>
  <mergeCells count="2">
    <mergeCell ref="A2:Q2"/>
    <mergeCell ref="A1:Q1"/>
  </mergeCells>
  <dataValidations count="1">
    <dataValidation sqref="O5:O8" showDropDown="0" showInputMessage="0" showErrorMessage="0" allowBlank="0" type="list">
      <formula1>"Open,Pending owner,Approved route,Remain on hold,Closed"</formula1>
    </dataValidation>
  </dataValidation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showGridLines="0" zoomScale="85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16" customWidth="1" min="3" max="3"/>
    <col width="24" customWidth="1" min="4" max="4"/>
    <col width="42" customWidth="1" min="5" max="5"/>
    <col width="48" customWidth="1" min="6" max="6"/>
    <col width="14" customWidth="1" min="7" max="7"/>
    <col width="30" customWidth="1" min="8" max="8"/>
  </cols>
  <sheetData>
    <row r="1" ht="28" customHeight="1">
      <c r="A1" s="1" t="inlineStr">
        <is>
          <t>Excluded and Hold Records</t>
        </is>
      </c>
    </row>
    <row r="2" ht="30" customHeight="1">
      <c r="A2" s="2" t="inlineStr">
        <is>
          <t>No sprint outreach or local commercial action.</t>
        </is>
      </c>
    </row>
    <row r="4" ht="32" customHeight="1">
      <c r="A4" s="29" t="inlineStr">
        <is>
          <t>Account ID</t>
        </is>
      </c>
      <c r="B4" s="29" t="inlineStr">
        <is>
          <t>Account Name</t>
        </is>
      </c>
      <c r="C4" s="29" t="inlineStr">
        <is>
          <t>Owner Rep</t>
        </is>
      </c>
      <c r="D4" s="29" t="inlineStr">
        <is>
          <t>Status</t>
        </is>
      </c>
      <c r="E4" s="29" t="inlineStr">
        <is>
          <t>Reason</t>
        </is>
      </c>
      <c r="F4" s="29" t="inlineStr">
        <is>
          <t>Permitted Supervisor Action</t>
        </is>
      </c>
      <c r="G4" s="29" t="inlineStr">
        <is>
          <t>Review Date</t>
        </is>
      </c>
      <c r="H4" s="29" t="inlineStr">
        <is>
          <t>Note</t>
        </is>
      </c>
    </row>
    <row r="5" ht="48" customHeight="1">
      <c r="A5" s="13" t="inlineStr">
        <is>
          <t>A-1016</t>
        </is>
      </c>
      <c r="B5" s="13" t="inlineStr">
        <is>
          <t>Riverstone Fitness</t>
        </is>
      </c>
      <c r="C5" s="13" t="inlineStr">
        <is>
          <t>Maya Chen</t>
        </is>
      </c>
      <c r="D5" s="13" t="inlineStr">
        <is>
          <t>Excluded — closed renewal</t>
        </is>
      </c>
      <c r="E5" s="13" t="inlineStr">
        <is>
          <t>Issue resolved and renewal signed.</t>
        </is>
      </c>
      <c r="F5" s="13" t="inlineStr">
        <is>
          <t>Retain closure evidence only.</t>
        </is>
      </c>
      <c r="G5" s="21" t="n">
        <v>46227</v>
      </c>
      <c r="H5" s="13" t="inlineStr">
        <is>
          <t>No outreach.</t>
        </is>
      </c>
    </row>
    <row r="6" ht="48" customHeight="1">
      <c r="A6" s="13" t="inlineStr">
        <is>
          <t>A-1018</t>
        </is>
      </c>
      <c r="B6" s="13" t="inlineStr">
        <is>
          <t>Pinyon Outdoor Media Buyers</t>
        </is>
      </c>
      <c r="C6" s="13" t="inlineStr">
        <is>
          <t>Priya Nair</t>
        </is>
      </c>
      <c r="D6" s="13" t="inlineStr">
        <is>
          <t>Customer hold</t>
        </is>
      </c>
      <c r="E6" s="13" t="inlineStr">
        <is>
          <t>Agency requested September consolidation review.</t>
        </is>
      </c>
      <c r="F6" s="13" t="inlineStr">
        <is>
          <t>Preserve hold and schedule September rebrief only.</t>
        </is>
      </c>
      <c r="G6" s="21" t="n">
        <v>46267</v>
      </c>
      <c r="H6" s="13" t="inlineStr">
        <is>
          <t>No July outreach.</t>
        </is>
      </c>
    </row>
  </sheetData>
  <mergeCells count="2">
    <mergeCell ref="A2:H2"/>
    <mergeCell ref="A1:H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Y22"/>
  <sheetViews>
    <sheetView showGridLines="0" zoomScale="85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9" customWidth="1" min="2" max="2"/>
    <col width="24" customWidth="1" min="3" max="3"/>
    <col width="37" customWidth="1" min="4" max="4"/>
    <col width="12" customWidth="1" min="5" max="5"/>
    <col width="26" customWidth="1" min="6" max="6"/>
    <col width="25" customWidth="1" min="7" max="7"/>
    <col width="12" customWidth="1" min="8" max="8"/>
    <col width="15" customWidth="1" min="9" max="9"/>
    <col width="14" customWidth="1" min="10" max="10"/>
    <col width="18" customWidth="1" min="11" max="11"/>
    <col width="13" customWidth="1" min="12" max="12"/>
    <col width="15" customWidth="1" min="13" max="13"/>
    <col width="42" customWidth="1" min="14" max="14"/>
    <col width="16" customWidth="1" min="15" max="15"/>
    <col width="16" customWidth="1" min="16" max="16"/>
    <col width="16" customWidth="1" min="17" max="17"/>
    <col width="65" customWidth="1" min="18" max="18"/>
    <col width="34" customWidth="1" min="19" max="19"/>
    <col width="45" customWidth="1" min="20" max="20"/>
    <col width="20" customWidth="1" min="21" max="21"/>
    <col width="34" customWidth="1" min="22" max="22"/>
    <col width="34" customWidth="1" min="23" max="23"/>
    <col width="58" customWidth="1" min="24" max="24"/>
    <col width="68" customWidth="1" min="25" max="25"/>
  </cols>
  <sheetData>
    <row r="1" ht="28" customHeight="1">
      <c r="A1" s="1" t="inlineStr">
        <is>
          <t>Account-by-Account Source Reconciliation</t>
        </is>
      </c>
    </row>
    <row r="2" ht="30" customHeight="1">
      <c r="A2" s="2" t="inlineStr">
        <is>
          <t>Reconciles the package to CRM health, opportunity exposure, ops cases, contact authority, offer authority, the watchlist, and the July 15 approval.</t>
        </is>
      </c>
    </row>
    <row r="4" ht="32" customHeight="1">
      <c r="A4" s="30" t="inlineStr">
        <is>
          <t>Account ID</t>
        </is>
      </c>
      <c r="B4" s="30" t="inlineStr">
        <is>
          <t>Account Name</t>
        </is>
      </c>
      <c r="C4" s="30" t="inlineStr">
        <is>
          <t>July 15 Approval Scope</t>
        </is>
      </c>
      <c r="D4" s="30" t="inlineStr">
        <is>
          <t>Package Control Lane</t>
        </is>
      </c>
      <c r="E4" s="30" t="inlineStr">
        <is>
          <t>Scope Match</t>
        </is>
      </c>
      <c r="F4" s="30" t="inlineStr">
        <is>
          <t>CRM Lifecycle State</t>
        </is>
      </c>
      <c r="G4" s="30" t="inlineStr">
        <is>
          <t>CRM Opportunity Approval</t>
        </is>
      </c>
      <c r="H4" s="30" t="inlineStr">
        <is>
          <t>Owner Match</t>
        </is>
      </c>
      <c r="I4" s="30" t="inlineStr">
        <is>
          <t>Renewal Date Match</t>
        </is>
      </c>
      <c r="J4" s="30" t="inlineStr">
        <is>
          <t>Exposure Match</t>
        </is>
      </c>
      <c r="K4" s="30" t="inlineStr">
        <is>
          <t>Requested Value Match</t>
        </is>
      </c>
      <c r="L4" s="30" t="inlineStr">
        <is>
          <t>Watchlist Risk Rank</t>
        </is>
      </c>
      <c r="M4" s="30" t="inlineStr">
        <is>
          <t>Watchlist Offer</t>
        </is>
      </c>
      <c r="N4" s="30" t="inlineStr">
        <is>
          <t>Offer / Authority Check</t>
        </is>
      </c>
      <c r="O4" s="30" t="inlineStr">
        <is>
          <t>Ops Case Count</t>
        </is>
      </c>
      <c r="P4" s="30" t="inlineStr">
        <is>
          <t>Ops Max Severity</t>
        </is>
      </c>
      <c r="Q4" s="30" t="inlineStr">
        <is>
          <t>Ops Average Age</t>
        </is>
      </c>
      <c r="R4" s="30" t="inlineStr">
        <is>
          <t>Ops Status and Dependencies</t>
        </is>
      </c>
      <c r="S4" s="30" t="inlineStr">
        <is>
          <t>Contact Route</t>
        </is>
      </c>
      <c r="T4" s="30" t="inlineStr">
        <is>
          <t>Contact Control Check</t>
        </is>
      </c>
      <c r="U4" s="30" t="inlineStr">
        <is>
          <t>Conditional Contact Target</t>
        </is>
      </c>
      <c r="V4" s="30" t="inlineStr">
        <is>
          <t>Initial Release State</t>
        </is>
      </c>
      <c r="W4" s="30" t="inlineStr">
        <is>
          <t>Overall Reconciliation</t>
        </is>
      </c>
      <c r="X4" s="30" t="inlineStr">
        <is>
          <t>Required Supervisor Disposition</t>
        </is>
      </c>
      <c r="Y4" s="30" t="inlineStr">
        <is>
          <t>Correction / Control Note</t>
        </is>
      </c>
    </row>
    <row r="5" ht="48" customHeight="1">
      <c r="A5" s="13" t="inlineStr">
        <is>
          <t>A-1001</t>
        </is>
      </c>
      <c r="B5" s="13" t="inlineStr">
        <is>
          <t>Meridian Health Partners</t>
        </is>
      </c>
      <c r="C5" s="13" t="inlineStr">
        <is>
          <t>Approved local execution</t>
        </is>
      </c>
      <c r="D5" s="13" t="inlineStr">
        <is>
          <t>WORK NOW — CLEAR / PREPARE</t>
        </is>
      </c>
      <c r="E5" s="13" t="inlineStr">
        <is>
          <t>Pass</t>
        </is>
      </c>
      <c r="F5" s="13" t="inlineStr">
        <is>
          <t>Approved execution</t>
        </is>
      </c>
      <c r="G5" s="13" t="inlineStr">
        <is>
          <t>Approved execution</t>
        </is>
      </c>
      <c r="H5" s="13" t="inlineStr">
        <is>
          <t>Pass</t>
        </is>
      </c>
      <c r="I5" s="13" t="inlineStr">
        <is>
          <t>Pass</t>
        </is>
      </c>
      <c r="J5" s="13" t="inlineStr">
        <is>
          <t>Pass</t>
        </is>
      </c>
      <c r="K5" s="13" t="inlineStr">
        <is>
          <t>Pass</t>
        </is>
      </c>
      <c r="L5" s="13" t="n">
        <v>2</v>
      </c>
      <c r="M5" s="13" t="inlineStr">
        <is>
          <t>MG-15</t>
        </is>
      </c>
      <c r="N5" s="13" t="inlineStr">
        <is>
          <t>Pass</t>
        </is>
      </c>
      <c r="O5" s="13" t="inlineStr">
        <is>
          <t>Pass</t>
        </is>
      </c>
      <c r="P5" s="13" t="inlineStr">
        <is>
          <t>Pass</t>
        </is>
      </c>
      <c r="Q5" s="13" t="inlineStr">
        <is>
          <t>Pass</t>
        </is>
      </c>
      <c r="R5" s="13" t="inlineStr">
        <is>
          <t>CASE-7201 Waiting on Ad Ops; CASE-7202 Open | CASE-7201: Traffic pacing confirmation; CASE-7202: Reach report reconciliation</t>
        </is>
      </c>
      <c r="S5" s="13" t="inlineStr">
        <is>
          <t>Dr. Lena Morris: Approved</t>
        </is>
      </c>
      <c r="T5" s="13" t="inlineStr">
        <is>
          <t>Pass</t>
        </is>
      </c>
      <c r="U5" s="21" t="n">
        <v>46220</v>
      </c>
      <c r="V5" s="13" t="inlineStr">
        <is>
          <t>Pending evidence — no customer contact</t>
        </is>
      </c>
      <c r="W5" s="31" t="inlineStr">
        <is>
          <t>RECONCILED — PENDING EVIDENCE</t>
        </is>
      </c>
      <c r="X5" s="13" t="inlineStr">
        <is>
          <t>Traffic pacing confirmation and makegood inventory validation attached to CASE-7201.</t>
        </is>
      </c>
      <c r="Y5" s="13" t="inlineStr"/>
    </row>
    <row r="6" ht="48" customHeight="1">
      <c r="A6" s="13" t="inlineStr">
        <is>
          <t>A-1002</t>
        </is>
      </c>
      <c r="B6" s="13" t="inlineStr">
        <is>
          <t>Larkspur Credit Union</t>
        </is>
      </c>
      <c r="C6" s="13" t="inlineStr">
        <is>
          <t>Approved local execution</t>
        </is>
      </c>
      <c r="D6" s="13" t="inlineStr">
        <is>
          <t>WORK NOW — CLEAR / PREPARE</t>
        </is>
      </c>
      <c r="E6" s="13" t="inlineStr">
        <is>
          <t>Pass</t>
        </is>
      </c>
      <c r="F6" s="13" t="inlineStr">
        <is>
          <t>Approved execution</t>
        </is>
      </c>
      <c r="G6" s="13" t="inlineStr">
        <is>
          <t>Approved execution</t>
        </is>
      </c>
      <c r="H6" s="13" t="inlineStr">
        <is>
          <t>Pass</t>
        </is>
      </c>
      <c r="I6" s="13" t="inlineStr">
        <is>
          <t>Pass</t>
        </is>
      </c>
      <c r="J6" s="13" t="inlineStr">
        <is>
          <t>Pass</t>
        </is>
      </c>
      <c r="K6" s="13" t="inlineStr">
        <is>
          <t>Pass</t>
        </is>
      </c>
      <c r="L6" s="13" t="n">
        <v>10</v>
      </c>
      <c r="M6" s="13" t="inlineStr">
        <is>
          <t>RPT-COMP</t>
        </is>
      </c>
      <c r="N6" s="13" t="inlineStr">
        <is>
          <t>Pass</t>
        </is>
      </c>
      <c r="O6" s="13" t="inlineStr">
        <is>
          <t>Pass</t>
        </is>
      </c>
      <c r="P6" s="13" t="inlineStr">
        <is>
          <t>Pass</t>
        </is>
      </c>
      <c r="Q6" s="13" t="inlineStr">
        <is>
          <t>Pass</t>
        </is>
      </c>
      <c r="R6" s="13" t="inlineStr">
        <is>
          <t>CASE-7203 Open | CASE-7203: Corrected report</t>
        </is>
      </c>
      <c r="S6" s="13" t="inlineStr">
        <is>
          <t>Tanya Wells: Approved</t>
        </is>
      </c>
      <c r="T6" s="13" t="inlineStr">
        <is>
          <t>Pass</t>
        </is>
      </c>
      <c r="U6" s="21" t="n">
        <v>46224</v>
      </c>
      <c r="V6" s="13" t="inlineStr">
        <is>
          <t>Pending evidence — no customer contact</t>
        </is>
      </c>
      <c r="W6" s="31" t="inlineStr">
        <is>
          <t>RECONCILED — PENDING EVIDENCE</t>
        </is>
      </c>
      <c r="X6" s="13" t="inlineStr">
        <is>
          <t>Corrected reach report and customer-facing reconciliation summary attached.</t>
        </is>
      </c>
      <c r="Y6" s="13" t="inlineStr"/>
    </row>
    <row r="7" ht="48" customHeight="1">
      <c r="A7" s="13" t="inlineStr">
        <is>
          <t>A-1003</t>
        </is>
      </c>
      <c r="B7" s="13" t="inlineStr">
        <is>
          <t>Cobalt Cloud Systems</t>
        </is>
      </c>
      <c r="C7" s="13" t="inlineStr">
        <is>
          <t>Approved local execution</t>
        </is>
      </c>
      <c r="D7" s="13" t="inlineStr">
        <is>
          <t>WORK NOW — CLEAR / PREPARE</t>
        </is>
      </c>
      <c r="E7" s="13" t="inlineStr">
        <is>
          <t>Pass</t>
        </is>
      </c>
      <c r="F7" s="13" t="inlineStr">
        <is>
          <t>Approved execution</t>
        </is>
      </c>
      <c r="G7" s="13" t="inlineStr">
        <is>
          <t>Approved execution</t>
        </is>
      </c>
      <c r="H7" s="13" t="inlineStr">
        <is>
          <t>Pass</t>
        </is>
      </c>
      <c r="I7" s="13" t="inlineStr">
        <is>
          <t>Pass</t>
        </is>
      </c>
      <c r="J7" s="13" t="inlineStr">
        <is>
          <t>Pass</t>
        </is>
      </c>
      <c r="K7" s="13" t="inlineStr">
        <is>
          <t>Pass</t>
        </is>
      </c>
      <c r="L7" s="13" t="n">
        <v>7</v>
      </c>
      <c r="M7" s="13" t="inlineStr">
        <is>
          <t>CR-10K</t>
        </is>
      </c>
      <c r="N7" s="13" t="inlineStr">
        <is>
          <t>Pass for CR-10K only; RH-60 excluded for Key Growth</t>
        </is>
      </c>
      <c r="O7" s="13" t="inlineStr">
        <is>
          <t>Pass</t>
        </is>
      </c>
      <c r="P7" s="13" t="inlineStr">
        <is>
          <t>Pass</t>
        </is>
      </c>
      <c r="Q7" s="13" t="inlineStr">
        <is>
          <t>Pass</t>
        </is>
      </c>
      <c r="R7" s="13" t="inlineStr">
        <is>
          <t>CASE-7204 Resolved Pending Customer; CASE-7205 Waiting on Sales | CASE-7204: Credit memo confirmation; CASE-7205: Rate hold language</t>
        </is>
      </c>
      <c r="S7" s="13" t="inlineStr">
        <is>
          <t>Rafael Soto: Approved</t>
        </is>
      </c>
      <c r="T7" s="13" t="inlineStr">
        <is>
          <t>Pass</t>
        </is>
      </c>
      <c r="U7" s="21" t="n">
        <v>46220</v>
      </c>
      <c r="V7" s="13" t="inlineStr">
        <is>
          <t>Pending evidence — no customer contact</t>
        </is>
      </c>
      <c r="W7" s="31" t="inlineStr">
        <is>
          <t>RECONCILED — PENDING EVIDENCE</t>
        </is>
      </c>
      <c r="X7" s="13" t="inlineStr">
        <is>
          <t>Verified credit memo up to $9,500 attached; any rate-hold request removed or separately escalated.</t>
        </is>
      </c>
      <c r="Y7" s="13" t="inlineStr">
        <is>
          <t>Watchlist action mixed CR-10K with an ineligible RH-60 rate hold. Package restricts local action to CR-10K and treats CASE-7204 as the controlling evidence date.</t>
        </is>
      </c>
    </row>
    <row r="8" ht="48" customHeight="1">
      <c r="A8" s="13" t="inlineStr">
        <is>
          <t>A-1004</t>
        </is>
      </c>
      <c r="B8" s="13" t="inlineStr">
        <is>
          <t>Harborview Furnishings</t>
        </is>
      </c>
      <c r="C8" s="13" t="inlineStr">
        <is>
          <t>Approved local execution</t>
        </is>
      </c>
      <c r="D8" s="13" t="inlineStr">
        <is>
          <t>WORK NOW — CLEAR / PREPARE</t>
        </is>
      </c>
      <c r="E8" s="13" t="inlineStr">
        <is>
          <t>Pass</t>
        </is>
      </c>
      <c r="F8" s="13" t="inlineStr">
        <is>
          <t>Approved execution</t>
        </is>
      </c>
      <c r="G8" s="13" t="inlineStr">
        <is>
          <t>Approved execution</t>
        </is>
      </c>
      <c r="H8" s="13" t="inlineStr">
        <is>
          <t>Pass</t>
        </is>
      </c>
      <c r="I8" s="13" t="inlineStr">
        <is>
          <t>Pass</t>
        </is>
      </c>
      <c r="J8" s="13" t="inlineStr">
        <is>
          <t>Pass</t>
        </is>
      </c>
      <c r="K8" s="13" t="inlineStr">
        <is>
          <t>Pass</t>
        </is>
      </c>
      <c r="L8" s="13" t="n">
        <v>11</v>
      </c>
      <c r="M8" s="13" t="inlineStr">
        <is>
          <t>SW-PKG</t>
        </is>
      </c>
      <c r="N8" s="13" t="inlineStr">
        <is>
          <t>Pass</t>
        </is>
      </c>
      <c r="O8" s="13" t="inlineStr">
        <is>
          <t>Pass</t>
        </is>
      </c>
      <c r="P8" s="13" t="inlineStr">
        <is>
          <t>Pass</t>
        </is>
      </c>
      <c r="Q8" s="13" t="inlineStr">
        <is>
          <t>Pass</t>
        </is>
      </c>
      <c r="R8" s="13" t="inlineStr">
        <is>
          <t>CASE-7206 Waiting on Ad Ops | CASE-7206: Creative retagging</t>
        </is>
      </c>
      <c r="S8" s="13" t="inlineStr">
        <is>
          <t>Nina Cho: Approved</t>
        </is>
      </c>
      <c r="T8" s="13" t="inlineStr">
        <is>
          <t>Pass</t>
        </is>
      </c>
      <c r="U8" s="21" t="n">
        <v>46220</v>
      </c>
      <c r="V8" s="13" t="inlineStr">
        <is>
          <t>Pending evidence — no customer contact</t>
        </is>
      </c>
      <c r="W8" s="31" t="inlineStr">
        <is>
          <t>RECONCILED — PENDING EVIDENCE</t>
        </is>
      </c>
      <c r="X8" s="13" t="inlineStr">
        <is>
          <t>Creative retagging confirmation and package-swap feasibility documented by Ad Ops.</t>
        </is>
      </c>
      <c r="Y8" s="13" t="inlineStr"/>
    </row>
    <row r="9" ht="48" customHeight="1">
      <c r="A9" s="13" t="inlineStr">
        <is>
          <t>A-1005</t>
        </is>
      </c>
      <c r="B9" s="13" t="inlineStr">
        <is>
          <t>Axion Robotics</t>
        </is>
      </c>
      <c r="C9" s="13" t="inlineStr">
        <is>
          <t>Approved local execution</t>
        </is>
      </c>
      <c r="D9" s="13" t="inlineStr">
        <is>
          <t>WORK NOW — CLEAR / PREPARE</t>
        </is>
      </c>
      <c r="E9" s="13" t="inlineStr">
        <is>
          <t>Pass</t>
        </is>
      </c>
      <c r="F9" s="13" t="inlineStr">
        <is>
          <t>Approved execution</t>
        </is>
      </c>
      <c r="G9" s="13" t="inlineStr">
        <is>
          <t>Approved execution</t>
        </is>
      </c>
      <c r="H9" s="13" t="inlineStr">
        <is>
          <t>Pass</t>
        </is>
      </c>
      <c r="I9" s="13" t="inlineStr">
        <is>
          <t>Pass</t>
        </is>
      </c>
      <c r="J9" s="13" t="inlineStr">
        <is>
          <t>Pass</t>
        </is>
      </c>
      <c r="K9" s="13" t="inlineStr">
        <is>
          <t>Pass</t>
        </is>
      </c>
      <c r="L9" s="13" t="n">
        <v>1</v>
      </c>
      <c r="M9" s="13" t="inlineStr">
        <is>
          <t>SW-PKG</t>
        </is>
      </c>
      <c r="N9" s="13" t="inlineStr">
        <is>
          <t>Pass</t>
        </is>
      </c>
      <c r="O9" s="13" t="inlineStr">
        <is>
          <t>Pass</t>
        </is>
      </c>
      <c r="P9" s="13" t="inlineStr">
        <is>
          <t>Pass</t>
        </is>
      </c>
      <c r="Q9" s="13" t="inlineStr">
        <is>
          <t>Pass</t>
        </is>
      </c>
      <c r="R9" s="13" t="inlineStr">
        <is>
          <t>CASE-7207 Open; CASE-7208 Waiting on Ad Ops | CASE-7207: Audience rebuild proof; CASE-7208: Pacing reset</t>
        </is>
      </c>
      <c r="S9" s="13" t="inlineStr">
        <is>
          <t>Mark Feld: Approved</t>
        </is>
      </c>
      <c r="T9" s="13" t="inlineStr">
        <is>
          <t>Pass</t>
        </is>
      </c>
      <c r="U9" s="21" t="n">
        <v>46223</v>
      </c>
      <c r="V9" s="13" t="inlineStr">
        <is>
          <t>Pending evidence — no customer contact</t>
        </is>
      </c>
      <c r="W9" s="31" t="inlineStr">
        <is>
          <t>RECONCILED — PENDING EVIDENCE</t>
        </is>
      </c>
      <c r="X9" s="13" t="inlineStr">
        <is>
          <t>Audience rebuild proof and package-swap feasibility confirmed by Product Support / Ad Ops.</t>
        </is>
      </c>
      <c r="Y9" s="13" t="inlineStr"/>
    </row>
    <row r="10" ht="48" customHeight="1">
      <c r="A10" s="13" t="inlineStr">
        <is>
          <t>A-1006</t>
        </is>
      </c>
      <c r="B10" s="13" t="inlineStr">
        <is>
          <t>Greenway Kitchens</t>
        </is>
      </c>
      <c r="C10" s="13" t="inlineStr">
        <is>
          <t>Approved local execution</t>
        </is>
      </c>
      <c r="D10" s="13" t="inlineStr">
        <is>
          <t>WORK NOW — CLEAR / PREPARE</t>
        </is>
      </c>
      <c r="E10" s="13" t="inlineStr">
        <is>
          <t>Pass</t>
        </is>
      </c>
      <c r="F10" s="13" t="inlineStr">
        <is>
          <t>Approved execution</t>
        </is>
      </c>
      <c r="G10" s="13" t="inlineStr">
        <is>
          <t>Approved execution</t>
        </is>
      </c>
      <c r="H10" s="13" t="inlineStr">
        <is>
          <t>Pass</t>
        </is>
      </c>
      <c r="I10" s="13" t="inlineStr">
        <is>
          <t>Pass</t>
        </is>
      </c>
      <c r="J10" s="13" t="inlineStr">
        <is>
          <t>Pass</t>
        </is>
      </c>
      <c r="K10" s="13" t="inlineStr">
        <is>
          <t>Pass</t>
        </is>
      </c>
      <c r="L10" s="13" t="n">
        <v>13</v>
      </c>
      <c r="M10" s="13" t="inlineStr">
        <is>
          <t>CR-10K</t>
        </is>
      </c>
      <c r="N10" s="13" t="inlineStr">
        <is>
          <t>Pass</t>
        </is>
      </c>
      <c r="O10" s="13" t="inlineStr">
        <is>
          <t>Pass</t>
        </is>
      </c>
      <c r="P10" s="13" t="inlineStr">
        <is>
          <t>Pass</t>
        </is>
      </c>
      <c r="Q10" s="13" t="inlineStr">
        <is>
          <t>Pass</t>
        </is>
      </c>
      <c r="R10" s="13" t="inlineStr">
        <is>
          <t>CASE-7209 Open | CASE-7209: Credit memo draft</t>
        </is>
      </c>
      <c r="S10" s="13" t="inlineStr">
        <is>
          <t>Gloria Kim: Approved</t>
        </is>
      </c>
      <c r="T10" s="13" t="inlineStr">
        <is>
          <t>Pass</t>
        </is>
      </c>
      <c r="U10" s="21" t="n">
        <v>46223</v>
      </c>
      <c r="V10" s="13" t="inlineStr">
        <is>
          <t>Pending evidence — no customer contact</t>
        </is>
      </c>
      <c r="W10" s="31" t="inlineStr">
        <is>
          <t>RECONCILED — PENDING EVIDENCE</t>
        </is>
      </c>
      <c r="X10" s="13" t="inlineStr">
        <is>
          <t>Verified credit memo up to $4,800 and corrected bill date attached.</t>
        </is>
      </c>
      <c r="Y10" s="13" t="inlineStr"/>
    </row>
    <row r="11" ht="48" customHeight="1">
      <c r="A11" s="13" t="inlineStr">
        <is>
          <t>A-1007</t>
        </is>
      </c>
      <c r="B11" s="13" t="inlineStr">
        <is>
          <t>Northline Insurance</t>
        </is>
      </c>
      <c r="C11" s="13" t="inlineStr">
        <is>
          <t>Approved local execution</t>
        </is>
      </c>
      <c r="D11" s="13" t="inlineStr">
        <is>
          <t>WORK NOW — CLEAR / PREPARE</t>
        </is>
      </c>
      <c r="E11" s="13" t="inlineStr">
        <is>
          <t>Pass</t>
        </is>
      </c>
      <c r="F11" s="13" t="inlineStr">
        <is>
          <t>Approved execution</t>
        </is>
      </c>
      <c r="G11" s="13" t="inlineStr">
        <is>
          <t>Approved execution</t>
        </is>
      </c>
      <c r="H11" s="13" t="inlineStr">
        <is>
          <t>Pass</t>
        </is>
      </c>
      <c r="I11" s="13" t="inlineStr">
        <is>
          <t>Pass</t>
        </is>
      </c>
      <c r="J11" s="13" t="inlineStr">
        <is>
          <t>Pass</t>
        </is>
      </c>
      <c r="K11" s="13" t="inlineStr">
        <is>
          <t>Pass</t>
        </is>
      </c>
      <c r="L11" s="13" t="n">
        <v>6</v>
      </c>
      <c r="M11" s="13" t="inlineStr">
        <is>
          <t>MG-15</t>
        </is>
      </c>
      <c r="N11" s="13" t="inlineStr">
        <is>
          <t>Pass</t>
        </is>
      </c>
      <c r="O11" s="13" t="inlineStr">
        <is>
          <t>Pass</t>
        </is>
      </c>
      <c r="P11" s="13" t="inlineStr">
        <is>
          <t>Pass</t>
        </is>
      </c>
      <c r="Q11" s="13" t="inlineStr">
        <is>
          <t>Pass</t>
        </is>
      </c>
      <c r="R11" s="13" t="inlineStr">
        <is>
          <t>CASE-7210 Waiting on Ad Ops | CASE-7210: Makegood placement</t>
        </is>
      </c>
      <c r="S11" s="13" t="inlineStr">
        <is>
          <t>Samira Ahmad: Approved</t>
        </is>
      </c>
      <c r="T11" s="13" t="inlineStr">
        <is>
          <t>Pass</t>
        </is>
      </c>
      <c r="U11" s="21" t="n">
        <v>46223</v>
      </c>
      <c r="V11" s="13" t="inlineStr">
        <is>
          <t>Pending evidence — no customer contact</t>
        </is>
      </c>
      <c r="W11" s="31" t="inlineStr">
        <is>
          <t>RECONCILED — PENDING EVIDENCE</t>
        </is>
      </c>
      <c r="X11" s="13" t="inlineStr">
        <is>
          <t>Makegood placement and revised delivery dates confirmed by Ad Ops.</t>
        </is>
      </c>
      <c r="Y11" s="13" t="inlineStr"/>
    </row>
    <row r="12" ht="48" customHeight="1">
      <c r="A12" s="13" t="inlineStr">
        <is>
          <t>A-1008</t>
        </is>
      </c>
      <c r="B12" s="13" t="inlineStr">
        <is>
          <t>Veridian Charter Schools</t>
        </is>
      </c>
      <c r="C12" s="13" t="inlineStr">
        <is>
          <t>Approved local execution</t>
        </is>
      </c>
      <c r="D12" s="13" t="inlineStr">
        <is>
          <t>WORK NOW — CLEAR / PREPARE</t>
        </is>
      </c>
      <c r="E12" s="13" t="inlineStr">
        <is>
          <t>Pass</t>
        </is>
      </c>
      <c r="F12" s="13" t="inlineStr">
        <is>
          <t>Approved execution</t>
        </is>
      </c>
      <c r="G12" s="13" t="inlineStr">
        <is>
          <t>Approved execution</t>
        </is>
      </c>
      <c r="H12" s="13" t="inlineStr">
        <is>
          <t>Pass</t>
        </is>
      </c>
      <c r="I12" s="13" t="inlineStr">
        <is>
          <t>Pass</t>
        </is>
      </c>
      <c r="J12" s="13" t="inlineStr">
        <is>
          <t>Pass</t>
        </is>
      </c>
      <c r="K12" s="13" t="inlineStr">
        <is>
          <t>Pass</t>
        </is>
      </c>
      <c r="L12" s="13" t="n">
        <v>15</v>
      </c>
      <c r="M12" s="13" t="inlineStr">
        <is>
          <t>RPT-COMP</t>
        </is>
      </c>
      <c r="N12" s="13" t="inlineStr">
        <is>
          <t>Pass</t>
        </is>
      </c>
      <c r="O12" s="13" t="inlineStr">
        <is>
          <t>Pass</t>
        </is>
      </c>
      <c r="P12" s="13" t="inlineStr">
        <is>
          <t>Pass</t>
        </is>
      </c>
      <c r="Q12" s="13" t="inlineStr">
        <is>
          <t>Pass</t>
        </is>
      </c>
      <c r="R12" s="13" t="inlineStr">
        <is>
          <t>CASE-7211 Open | CASE-7211: Corrected district report</t>
        </is>
      </c>
      <c r="S12" s="13" t="inlineStr">
        <is>
          <t>Julian Pierce: Approved</t>
        </is>
      </c>
      <c r="T12" s="13" t="inlineStr">
        <is>
          <t>Pass</t>
        </is>
      </c>
      <c r="U12" s="21" t="n">
        <v>46224</v>
      </c>
      <c r="V12" s="13" t="inlineStr">
        <is>
          <t>Pending evidence — no customer contact</t>
        </is>
      </c>
      <c r="W12" s="31" t="inlineStr">
        <is>
          <t>RECONCILED — PENDING EVIDENCE</t>
        </is>
      </c>
      <c r="X12" s="13" t="inlineStr">
        <is>
          <t>Corrected district reach report and renewal summary attached.</t>
        </is>
      </c>
      <c r="Y12" s="13" t="inlineStr"/>
    </row>
    <row r="13" ht="48" customHeight="1">
      <c r="A13" s="13" t="inlineStr">
        <is>
          <t>A-1009</t>
        </is>
      </c>
      <c r="B13" s="13" t="inlineStr">
        <is>
          <t>Copper Trail Hospitality</t>
        </is>
      </c>
      <c r="C13" s="13" t="inlineStr">
        <is>
          <t>Approved local execution</t>
        </is>
      </c>
      <c r="D13" s="13" t="inlineStr">
        <is>
          <t>WORK NOW — CLEAR / PREPARE</t>
        </is>
      </c>
      <c r="E13" s="13" t="inlineStr">
        <is>
          <t>Pass</t>
        </is>
      </c>
      <c r="F13" s="13" t="inlineStr">
        <is>
          <t>Approved execution</t>
        </is>
      </c>
      <c r="G13" s="13" t="inlineStr">
        <is>
          <t>Approved execution</t>
        </is>
      </c>
      <c r="H13" s="13" t="inlineStr">
        <is>
          <t>Pass</t>
        </is>
      </c>
      <c r="I13" s="13" t="inlineStr">
        <is>
          <t>Pass</t>
        </is>
      </c>
      <c r="J13" s="13" t="inlineStr">
        <is>
          <t>Pass</t>
        </is>
      </c>
      <c r="K13" s="13" t="inlineStr">
        <is>
          <t>Pass</t>
        </is>
      </c>
      <c r="L13" s="13" t="n">
        <v>8</v>
      </c>
      <c r="M13" s="13" t="inlineStr">
        <is>
          <t>SW-PKG</t>
        </is>
      </c>
      <c r="N13" s="13" t="inlineStr">
        <is>
          <t>Pass</t>
        </is>
      </c>
      <c r="O13" s="13" t="inlineStr">
        <is>
          <t>Pass</t>
        </is>
      </c>
      <c r="P13" s="13" t="inlineStr">
        <is>
          <t>Pass</t>
        </is>
      </c>
      <c r="Q13" s="13" t="inlineStr">
        <is>
          <t>Pass</t>
        </is>
      </c>
      <c r="R13" s="13" t="inlineStr">
        <is>
          <t>CASE-7212 Waiting on Ad Ops | CASE-7212: Creative approval proof</t>
        </is>
      </c>
      <c r="S13" s="13" t="inlineStr">
        <is>
          <t>Cora Lind: Approved</t>
        </is>
      </c>
      <c r="T13" s="13" t="inlineStr">
        <is>
          <t>Pass</t>
        </is>
      </c>
      <c r="U13" s="21" t="n">
        <v>46220</v>
      </c>
      <c r="V13" s="13" t="inlineStr">
        <is>
          <t>Pending evidence — no customer contact</t>
        </is>
      </c>
      <c r="W13" s="31" t="inlineStr">
        <is>
          <t>RECONCILED — PENDING EVIDENCE</t>
        </is>
      </c>
      <c r="X13" s="13" t="inlineStr">
        <is>
          <t>Creative approval proof and equivalent package-swap feasibility confirmed by Ad Ops.</t>
        </is>
      </c>
      <c r="Y13" s="13" t="inlineStr"/>
    </row>
    <row r="14" ht="48" customHeight="1">
      <c r="A14" s="13" t="inlineStr">
        <is>
          <t>A-1010</t>
        </is>
      </c>
      <c r="B14" s="13" t="inlineStr">
        <is>
          <t>Finch Legal Group</t>
        </is>
      </c>
      <c r="C14" s="13" t="inlineStr">
        <is>
          <t>Approved local execution</t>
        </is>
      </c>
      <c r="D14" s="13" t="inlineStr">
        <is>
          <t>WORK NOW — CLEAR / PREPARE</t>
        </is>
      </c>
      <c r="E14" s="13" t="inlineStr">
        <is>
          <t>Pass</t>
        </is>
      </c>
      <c r="F14" s="13" t="inlineStr">
        <is>
          <t>Approved execution</t>
        </is>
      </c>
      <c r="G14" s="13" t="inlineStr">
        <is>
          <t>Approved execution</t>
        </is>
      </c>
      <c r="H14" s="13" t="inlineStr">
        <is>
          <t>Pass</t>
        </is>
      </c>
      <c r="I14" s="13" t="inlineStr">
        <is>
          <t>Pass</t>
        </is>
      </c>
      <c r="J14" s="13" t="inlineStr">
        <is>
          <t>Pass</t>
        </is>
      </c>
      <c r="K14" s="13" t="inlineStr">
        <is>
          <t>Pass</t>
        </is>
      </c>
      <c r="L14" s="13" t="n">
        <v>17</v>
      </c>
      <c r="M14" s="13" t="inlineStr">
        <is>
          <t>RH-60</t>
        </is>
      </c>
      <c r="N14" s="13" t="inlineStr">
        <is>
          <t>Pass</t>
        </is>
      </c>
      <c r="O14" s="13" t="inlineStr">
        <is>
          <t>Pass</t>
        </is>
      </c>
      <c r="P14" s="13" t="inlineStr">
        <is>
          <t>Pass</t>
        </is>
      </c>
      <c r="Q14" s="13" t="inlineStr">
        <is>
          <t>Pass</t>
        </is>
      </c>
      <c r="R14" s="13" t="inlineStr">
        <is>
          <t>CASE-7213 Waiting on Sales | CASE-7213: Rate hold note</t>
        </is>
      </c>
      <c r="S14" s="13" t="inlineStr">
        <is>
          <t>Evan Finch: Approved</t>
        </is>
      </c>
      <c r="T14" s="13" t="inlineStr">
        <is>
          <t>Pass</t>
        </is>
      </c>
      <c r="U14" s="21" t="n">
        <v>46225</v>
      </c>
      <c r="V14" s="13" t="inlineStr">
        <is>
          <t>Pending evidence — no customer contact</t>
        </is>
      </c>
      <c r="W14" s="31" t="inlineStr">
        <is>
          <t>RECONCILED — PENDING EVIDENCE</t>
        </is>
      </c>
      <c r="X14" s="13" t="inlineStr">
        <is>
          <t>60-day CPM hold language documented with no additional credit.</t>
        </is>
      </c>
      <c r="Y14" s="13" t="inlineStr"/>
    </row>
    <row r="15" ht="48" customHeight="1">
      <c r="A15" s="13" t="inlineStr">
        <is>
          <t>A-1011</t>
        </is>
      </c>
      <c r="B15" s="13" t="inlineStr">
        <is>
          <t>Solstice Energy Co-op</t>
        </is>
      </c>
      <c r="C15" s="13" t="inlineStr">
        <is>
          <t>Approved local execution</t>
        </is>
      </c>
      <c r="D15" s="13" t="inlineStr">
        <is>
          <t>WORK NOW — CLEAR / PREPARE</t>
        </is>
      </c>
      <c r="E15" s="13" t="inlineStr">
        <is>
          <t>Pass</t>
        </is>
      </c>
      <c r="F15" s="13" t="inlineStr">
        <is>
          <t>Approved execution</t>
        </is>
      </c>
      <c r="G15" s="13" t="inlineStr">
        <is>
          <t>Approved execution</t>
        </is>
      </c>
      <c r="H15" s="13" t="inlineStr">
        <is>
          <t>Pass</t>
        </is>
      </c>
      <c r="I15" s="13" t="inlineStr">
        <is>
          <t>Pass</t>
        </is>
      </c>
      <c r="J15" s="13" t="inlineStr">
        <is>
          <t>Pass</t>
        </is>
      </c>
      <c r="K15" s="13" t="inlineStr">
        <is>
          <t>Pass</t>
        </is>
      </c>
      <c r="L15" s="13" t="n">
        <v>12</v>
      </c>
      <c r="M15" s="13" t="inlineStr">
        <is>
          <t>RPT-COMP</t>
        </is>
      </c>
      <c r="N15" s="13" t="inlineStr">
        <is>
          <t>Pass</t>
        </is>
      </c>
      <c r="O15" s="13" t="inlineStr">
        <is>
          <t>Pass</t>
        </is>
      </c>
      <c r="P15" s="13" t="inlineStr">
        <is>
          <t>Pass</t>
        </is>
      </c>
      <c r="Q15" s="13" t="inlineStr">
        <is>
          <t>Pass</t>
        </is>
      </c>
      <c r="R15" s="13" t="inlineStr">
        <is>
          <t>CASE-7214 Open | CASE-7214: Corrected lift model</t>
        </is>
      </c>
      <c r="S15" s="13" t="inlineStr">
        <is>
          <t>Imani Hart: Approved</t>
        </is>
      </c>
      <c r="T15" s="13" t="inlineStr">
        <is>
          <t>Pass</t>
        </is>
      </c>
      <c r="U15" s="21" t="n">
        <v>46224</v>
      </c>
      <c r="V15" s="13" t="inlineStr">
        <is>
          <t>Pending evidence — no customer contact</t>
        </is>
      </c>
      <c r="W15" s="31" t="inlineStr">
        <is>
          <t>RECONCILED — PENDING EVIDENCE</t>
        </is>
      </c>
      <c r="X15" s="13" t="inlineStr">
        <is>
          <t>Corrected lift model and customer-facing summary attached.</t>
        </is>
      </c>
      <c r="Y15" s="13" t="inlineStr"/>
    </row>
    <row r="16" ht="48" customHeight="1">
      <c r="A16" s="13" t="inlineStr">
        <is>
          <t>A-1012</t>
        </is>
      </c>
      <c r="B16" s="13" t="inlineStr">
        <is>
          <t>Vesta Apparel Collective</t>
        </is>
      </c>
      <c r="C16" s="13" t="inlineStr">
        <is>
          <t>Approved local execution</t>
        </is>
      </c>
      <c r="D16" s="13" t="inlineStr">
        <is>
          <t>WORK NOW — CLEAR / PREPARE</t>
        </is>
      </c>
      <c r="E16" s="13" t="inlineStr">
        <is>
          <t>Pass</t>
        </is>
      </c>
      <c r="F16" s="13" t="inlineStr">
        <is>
          <t>Approved execution</t>
        </is>
      </c>
      <c r="G16" s="13" t="inlineStr">
        <is>
          <t>Approved execution</t>
        </is>
      </c>
      <c r="H16" s="13" t="inlineStr">
        <is>
          <t>Pass</t>
        </is>
      </c>
      <c r="I16" s="13" t="inlineStr">
        <is>
          <t>Pass</t>
        </is>
      </c>
      <c r="J16" s="13" t="inlineStr">
        <is>
          <t>Pass</t>
        </is>
      </c>
      <c r="K16" s="13" t="inlineStr">
        <is>
          <t>Pass</t>
        </is>
      </c>
      <c r="L16" s="13" t="n">
        <v>4</v>
      </c>
      <c r="M16" s="13" t="inlineStr">
        <is>
          <t>MG-15</t>
        </is>
      </c>
      <c r="N16" s="13" t="inlineStr">
        <is>
          <t>Pass</t>
        </is>
      </c>
      <c r="O16" s="13" t="inlineStr">
        <is>
          <t>Pass</t>
        </is>
      </c>
      <c r="P16" s="13" t="inlineStr">
        <is>
          <t>Pass</t>
        </is>
      </c>
      <c r="Q16" s="13" t="inlineStr">
        <is>
          <t>Pass</t>
        </is>
      </c>
      <c r="R16" s="13" t="inlineStr">
        <is>
          <t>CASE-7215 Waiting on Ad Ops; CASE-7216 Open | CASE-7215: Makegood placement; CASE-7216: Invoice correction</t>
        </is>
      </c>
      <c r="S16" s="13" t="inlineStr">
        <is>
          <t>Marta Ruiz: Approved</t>
        </is>
      </c>
      <c r="T16" s="13" t="inlineStr">
        <is>
          <t>Pass</t>
        </is>
      </c>
      <c r="U16" s="21" t="n">
        <v>46223</v>
      </c>
      <c r="V16" s="13" t="inlineStr">
        <is>
          <t>Pending evidence — no customer contact</t>
        </is>
      </c>
      <c r="W16" s="31" t="inlineStr">
        <is>
          <t>RECONCILED — PENDING EVIDENCE</t>
        </is>
      </c>
      <c r="X16" s="13" t="inlineStr">
        <is>
          <t>Makegood placement validated and invoice PO correction route documented.</t>
        </is>
      </c>
      <c r="Y16" s="13" t="inlineStr"/>
    </row>
    <row r="17" ht="48" customHeight="1">
      <c r="A17" s="13" t="inlineStr">
        <is>
          <t>A-1013</t>
        </is>
      </c>
      <c r="B17" s="13" t="inlineStr">
        <is>
          <t>BrightPath Dental Alliance</t>
        </is>
      </c>
      <c r="C17" s="13" t="inlineStr">
        <is>
          <t>Controlled exception</t>
        </is>
      </c>
      <c r="D17" s="13" t="inlineStr">
        <is>
          <t>CONTROLLED — NO LOCAL COMMITMENT</t>
        </is>
      </c>
      <c r="E17" s="13" t="inlineStr">
        <is>
          <t>Pass</t>
        </is>
      </c>
      <c r="F17" s="13" t="inlineStr">
        <is>
          <t>Controlled exception</t>
        </is>
      </c>
      <c r="G17" s="13" t="inlineStr">
        <is>
          <t>Controlled exception</t>
        </is>
      </c>
      <c r="H17" s="13" t="inlineStr">
        <is>
          <t>Pass</t>
        </is>
      </c>
      <c r="I17" s="13" t="inlineStr">
        <is>
          <t>Pass</t>
        </is>
      </c>
      <c r="J17" s="13" t="inlineStr">
        <is>
          <t>Pass</t>
        </is>
      </c>
      <c r="K17" s="13" t="inlineStr">
        <is>
          <t>Pass</t>
        </is>
      </c>
      <c r="L17" s="13" t="n">
        <v>14</v>
      </c>
      <c r="M17" s="13" t="inlineStr">
        <is>
          <t>MG-15</t>
        </is>
      </c>
      <c r="N17" s="13" t="inlineStr">
        <is>
          <t>Pass offer fit; controlled by contact permission</t>
        </is>
      </c>
      <c r="O17" s="13" t="inlineStr">
        <is>
          <t>Pass</t>
        </is>
      </c>
      <c r="P17" s="13" t="inlineStr">
        <is>
          <t>Pass</t>
        </is>
      </c>
      <c r="Q17" s="13" t="inlineStr">
        <is>
          <t>Pass</t>
        </is>
      </c>
      <c r="R17" s="13" t="inlineStr">
        <is>
          <t>CASE-7217 Open | CASE-7217: Pacing check</t>
        </is>
      </c>
      <c r="S17" s="13" t="inlineStr">
        <is>
          <t>Alice Go: Pending</t>
        </is>
      </c>
      <c r="T17" s="13" t="inlineStr">
        <is>
          <t>Controlled — final approver permission pending</t>
        </is>
      </c>
      <c r="U17" s="21" t="n"/>
      <c r="V17" s="13" t="inlineStr">
        <is>
          <t>Controlled — no local commitment</t>
        </is>
      </c>
      <c r="W17" s="6" t="inlineStr">
        <is>
          <t>RECONCILED — CONTROLLED</t>
        </is>
      </c>
      <c r="X17" s="13" t="inlineStr">
        <is>
          <t>Obtain permission for the final approver route; operational contact may receive issue evidence only.</t>
        </is>
      </c>
      <c r="Y17" s="13" t="inlineStr">
        <is>
          <t>Offer fit alone does not clear the account; final-approver permission remains pending.</t>
        </is>
      </c>
    </row>
    <row r="18" ht="48" customHeight="1">
      <c r="A18" s="13" t="inlineStr">
        <is>
          <t>A-1014</t>
        </is>
      </c>
      <c r="B18" s="13" t="inlineStr">
        <is>
          <t>SummitBank SMB Services</t>
        </is>
      </c>
      <c r="C18" s="13" t="inlineStr">
        <is>
          <t>Controlled exception</t>
        </is>
      </c>
      <c r="D18" s="13" t="inlineStr">
        <is>
          <t>CONTROLLED — NO LOCAL COMMITMENT</t>
        </is>
      </c>
      <c r="E18" s="13" t="inlineStr">
        <is>
          <t>Pass</t>
        </is>
      </c>
      <c r="F18" s="13" t="inlineStr">
        <is>
          <t>Controlled exception</t>
        </is>
      </c>
      <c r="G18" s="13" t="inlineStr">
        <is>
          <t>Controlled exception</t>
        </is>
      </c>
      <c r="H18" s="13" t="inlineStr">
        <is>
          <t>Pass</t>
        </is>
      </c>
      <c r="I18" s="13" t="inlineStr">
        <is>
          <t>Pass</t>
        </is>
      </c>
      <c r="J18" s="13" t="inlineStr">
        <is>
          <t>Pass</t>
        </is>
      </c>
      <c r="K18" s="13" t="inlineStr">
        <is>
          <t>Pass</t>
        </is>
      </c>
      <c r="L18" s="13" t="n">
        <v>3</v>
      </c>
      <c r="M18" s="13" t="inlineStr">
        <is>
          <t>MGR-REQ</t>
        </is>
      </c>
      <c r="N18" s="13" t="inlineStr">
        <is>
          <t>Controlled manager route — not a local offer</t>
        </is>
      </c>
      <c r="O18" s="13" t="inlineStr">
        <is>
          <t>Pass</t>
        </is>
      </c>
      <c r="P18" s="13" t="inlineStr">
        <is>
          <t>Pass</t>
        </is>
      </c>
      <c r="Q18" s="13" t="inlineStr">
        <is>
          <t>Pass</t>
        </is>
      </c>
      <c r="R18" s="13" t="inlineStr">
        <is>
          <t>CASE-7218 Resolved Pending Customer | CASE-7218: Manager approval</t>
        </is>
      </c>
      <c r="S18" s="13" t="inlineStr">
        <is>
          <t>Brent Ivers: Approved</t>
        </is>
      </c>
      <c r="T18" s="13" t="inlineStr">
        <is>
          <t>Consistent with hold/exception lane</t>
        </is>
      </c>
      <c r="U18" s="21" t="n"/>
      <c r="V18" s="13" t="inlineStr">
        <is>
          <t>Controlled — no local commitment</t>
        </is>
      </c>
      <c r="W18" s="6" t="inlineStr">
        <is>
          <t>RECONCILED — CONTROLLED</t>
        </is>
      </c>
      <c r="X18" s="13" t="inlineStr">
        <is>
          <t>Decide the $42,000 over-limit credit route; no local credit promise.</t>
        </is>
      </c>
      <c r="Y18" s="13" t="inlineStr">
        <is>
          <t>The $42,000 request exceeds local authority and remains MGR-REQ.</t>
        </is>
      </c>
    </row>
    <row r="19" ht="48" customHeight="1">
      <c r="A19" s="13" t="inlineStr">
        <is>
          <t>A-1015</t>
        </is>
      </c>
      <c r="B19" s="13" t="inlineStr">
        <is>
          <t>Mesa Tool Supply</t>
        </is>
      </c>
      <c r="C19" s="13" t="inlineStr">
        <is>
          <t>Controlled exception</t>
        </is>
      </c>
      <c r="D19" s="13" t="inlineStr">
        <is>
          <t>CONTROLLED — NO LOCAL COMMITMENT</t>
        </is>
      </c>
      <c r="E19" s="13" t="inlineStr">
        <is>
          <t>Pass</t>
        </is>
      </c>
      <c r="F19" s="13" t="inlineStr">
        <is>
          <t>Controlled exception</t>
        </is>
      </c>
      <c r="G19" s="13" t="inlineStr">
        <is>
          <t>Controlled exception</t>
        </is>
      </c>
      <c r="H19" s="13" t="inlineStr">
        <is>
          <t>Pass</t>
        </is>
      </c>
      <c r="I19" s="13" t="inlineStr">
        <is>
          <t>Pass</t>
        </is>
      </c>
      <c r="J19" s="13" t="inlineStr">
        <is>
          <t>Pass</t>
        </is>
      </c>
      <c r="K19" s="13" t="inlineStr">
        <is>
          <t>Pass</t>
        </is>
      </c>
      <c r="L19" s="13" t="n">
        <v>9</v>
      </c>
      <c r="M19" s="13" t="inlineStr">
        <is>
          <t>SW-PKG</t>
        </is>
      </c>
      <c r="N19" s="13" t="inlineStr">
        <is>
          <t>Pass offer fit; controlled by unresolved ops blocker</t>
        </is>
      </c>
      <c r="O19" s="13" t="inlineStr">
        <is>
          <t>Pass</t>
        </is>
      </c>
      <c r="P19" s="13" t="inlineStr">
        <is>
          <t>Pass</t>
        </is>
      </c>
      <c r="Q19" s="13" t="inlineStr">
        <is>
          <t>Pass</t>
        </is>
      </c>
      <c r="R19" s="13" t="inlineStr">
        <is>
          <t>CASE-7219 Waiting on Ad Ops | CASE-7219: Feed fix proof</t>
        </is>
      </c>
      <c r="S19" s="13" t="inlineStr">
        <is>
          <t>Mei Carter: Approved</t>
        </is>
      </c>
      <c r="T19" s="13" t="inlineStr">
        <is>
          <t>Consistent with hold/exception lane</t>
        </is>
      </c>
      <c r="U19" s="21" t="n"/>
      <c r="V19" s="13" t="inlineStr">
        <is>
          <t>Controlled — no local commitment</t>
        </is>
      </c>
      <c r="W19" s="6" t="inlineStr">
        <is>
          <t>RECONCILED — CONTROLLED</t>
        </is>
      </c>
      <c r="X19" s="13" t="inlineStr">
        <is>
          <t>Clear the feed blocker and provide feasibility proof before any package-swap offer.</t>
        </is>
      </c>
      <c r="Y19" s="13" t="inlineStr">
        <is>
          <t>SW-PKG fits tier/value, but the product-feed blocker prevents local release.</t>
        </is>
      </c>
    </row>
    <row r="20" ht="48" customHeight="1">
      <c r="A20" s="13" t="inlineStr">
        <is>
          <t>A-1016</t>
        </is>
      </c>
      <c r="B20" s="13" t="inlineStr">
        <is>
          <t>Riverstone Fitness</t>
        </is>
      </c>
      <c r="C20" s="13" t="inlineStr">
        <is>
          <t>Excluded / hold</t>
        </is>
      </c>
      <c r="D20" s="13" t="inlineStr">
        <is>
          <t>EXCLUDED / HOLD</t>
        </is>
      </c>
      <c r="E20" s="13" t="inlineStr">
        <is>
          <t>Pass</t>
        </is>
      </c>
      <c r="F20" s="13" t="inlineStr">
        <is>
          <t>Excluded - closed renewal</t>
        </is>
      </c>
      <c r="G20" s="13" t="inlineStr">
        <is>
          <t>Excluded - no action</t>
        </is>
      </c>
      <c r="H20" s="13" t="inlineStr">
        <is>
          <t>Pass</t>
        </is>
      </c>
      <c r="I20" s="13" t="inlineStr">
        <is>
          <t>Pass</t>
        </is>
      </c>
      <c r="J20" s="13" t="inlineStr">
        <is>
          <t>Pass</t>
        </is>
      </c>
      <c r="K20" s="13" t="inlineStr">
        <is>
          <t>Pass</t>
        </is>
      </c>
      <c r="L20" s="13" t="n">
        <v>16</v>
      </c>
      <c r="M20" s="13" t="inlineStr">
        <is>
          <t>None</t>
        </is>
      </c>
      <c r="N20" s="13" t="inlineStr">
        <is>
          <t>Not applicable — no local offer</t>
        </is>
      </c>
      <c r="O20" s="13" t="inlineStr">
        <is>
          <t>Pass</t>
        </is>
      </c>
      <c r="P20" s="13" t="inlineStr">
        <is>
          <t>Pass</t>
        </is>
      </c>
      <c r="Q20" s="13" t="inlineStr">
        <is>
          <t>Pass</t>
        </is>
      </c>
      <c r="R20" s="13" t="inlineStr">
        <is>
          <t>No open cases | None</t>
        </is>
      </c>
      <c r="S20" s="13" t="inlineStr">
        <is>
          <t>Hannah Roy: Approved</t>
        </is>
      </c>
      <c r="T20" s="13" t="inlineStr">
        <is>
          <t>Consistent with hold/exception lane</t>
        </is>
      </c>
      <c r="U20" s="21" t="n"/>
      <c r="V20" s="13" t="inlineStr">
        <is>
          <t>Excluded / hold — no July contact</t>
        </is>
      </c>
      <c r="W20" s="10" t="inlineStr">
        <is>
          <t>RECONCILED — EXCLUDED / HOLD</t>
        </is>
      </c>
      <c r="X20" s="13" t="inlineStr">
        <is>
          <t>No sprint action; keep closure note</t>
        </is>
      </c>
      <c r="Y20" s="13" t="inlineStr"/>
    </row>
    <row r="21" ht="48" customHeight="1">
      <c r="A21" s="13" t="inlineStr">
        <is>
          <t>A-1017</t>
        </is>
      </c>
      <c r="B21" s="13" t="inlineStr">
        <is>
          <t>Atlas BioLabs</t>
        </is>
      </c>
      <c r="C21" s="13" t="inlineStr">
        <is>
          <t>Controlled exception</t>
        </is>
      </c>
      <c r="D21" s="13" t="inlineStr">
        <is>
          <t>CONTROLLED — NO LOCAL COMMITMENT</t>
        </is>
      </c>
      <c r="E21" s="13" t="inlineStr">
        <is>
          <t>Pass</t>
        </is>
      </c>
      <c r="F21" s="13" t="inlineStr">
        <is>
          <t>Controlled exception</t>
        </is>
      </c>
      <c r="G21" s="13" t="inlineStr">
        <is>
          <t>Controlled exception</t>
        </is>
      </c>
      <c r="H21" s="13" t="inlineStr">
        <is>
          <t>Pass</t>
        </is>
      </c>
      <c r="I21" s="13" t="inlineStr">
        <is>
          <t>Pass</t>
        </is>
      </c>
      <c r="J21" s="13" t="inlineStr">
        <is>
          <t>Pass</t>
        </is>
      </c>
      <c r="K21" s="13" t="inlineStr">
        <is>
          <t>Pass</t>
        </is>
      </c>
      <c r="L21" s="13" t="n">
        <v>5</v>
      </c>
      <c r="M21" s="13" t="inlineStr">
        <is>
          <t>MGR-REQ</t>
        </is>
      </c>
      <c r="N21" s="13" t="inlineStr">
        <is>
          <t>Controlled manager route — not a local offer</t>
        </is>
      </c>
      <c r="O21" s="13" t="inlineStr">
        <is>
          <t>Pass</t>
        </is>
      </c>
      <c r="P21" s="13" t="inlineStr">
        <is>
          <t>Pass</t>
        </is>
      </c>
      <c r="Q21" s="13" t="inlineStr">
        <is>
          <t>Pass</t>
        </is>
      </c>
      <c r="R21" s="13" t="inlineStr">
        <is>
          <t>CASE-7221 Open; CASE-7222 Open | CASE-7221: Legal review; CASE-7222: Segment report</t>
        </is>
      </c>
      <c r="S21" s="13" t="inlineStr">
        <is>
          <t>Dr. Paolo Kent: Do not contact executive</t>
        </is>
      </c>
      <c r="T21" s="13" t="inlineStr">
        <is>
          <t>Controlled — executive do-not-contact / manager-legal route</t>
        </is>
      </c>
      <c r="U21" s="21" t="n"/>
      <c r="V21" s="13" t="inlineStr">
        <is>
          <t>Controlled — no local commitment</t>
        </is>
      </c>
      <c r="W21" s="6" t="inlineStr">
        <is>
          <t>RECONCILED — CONTROLLED</t>
        </is>
      </c>
      <c r="X21" s="13" t="inlineStr">
        <is>
          <t>Draft the data-use response through the manager/legal route; no rep commitment.</t>
        </is>
      </c>
      <c r="Y21" s="13" t="inlineStr">
        <is>
          <t>Enterprise data-use terms remain with manager/legal; executive contact is prohibited.</t>
        </is>
      </c>
    </row>
    <row r="22" ht="48" customHeight="1">
      <c r="A22" s="13" t="inlineStr">
        <is>
          <t>A-1018</t>
        </is>
      </c>
      <c r="B22" s="13" t="inlineStr">
        <is>
          <t>Pinyon Outdoor Media Buyers</t>
        </is>
      </c>
      <c r="C22" s="13" t="inlineStr">
        <is>
          <t>Excluded / hold</t>
        </is>
      </c>
      <c r="D22" s="13" t="inlineStr">
        <is>
          <t>EXCLUDED / HOLD</t>
        </is>
      </c>
      <c r="E22" s="13" t="inlineStr">
        <is>
          <t>Pass</t>
        </is>
      </c>
      <c r="F22" s="13" t="inlineStr">
        <is>
          <t>Excluded - September review</t>
        </is>
      </c>
      <c r="G22" s="13" t="inlineStr">
        <is>
          <t>Excluded - no action</t>
        </is>
      </c>
      <c r="H22" s="13" t="inlineStr">
        <is>
          <t>Pass</t>
        </is>
      </c>
      <c r="I22" s="13" t="inlineStr">
        <is>
          <t>Pass</t>
        </is>
      </c>
      <c r="J22" s="13" t="inlineStr">
        <is>
          <t>Pass</t>
        </is>
      </c>
      <c r="K22" s="13" t="inlineStr">
        <is>
          <t>Pass</t>
        </is>
      </c>
      <c r="L22" s="13" t="n">
        <v>18</v>
      </c>
      <c r="M22" s="13" t="inlineStr">
        <is>
          <t>None</t>
        </is>
      </c>
      <c r="N22" s="13" t="inlineStr">
        <is>
          <t>Not applicable — no local offer</t>
        </is>
      </c>
      <c r="O22" s="13" t="inlineStr">
        <is>
          <t>Pass</t>
        </is>
      </c>
      <c r="P22" s="13" t="inlineStr">
        <is>
          <t>Pass</t>
        </is>
      </c>
      <c r="Q22" s="13" t="inlineStr">
        <is>
          <t>Pass</t>
        </is>
      </c>
      <c r="R22" s="13" t="inlineStr">
        <is>
          <t>CASE-7223 Waiting on Customer | CASE-7223: September rebrief</t>
        </is>
      </c>
      <c r="S22" s="13" t="inlineStr">
        <is>
          <t>Morgan Price: Pending</t>
        </is>
      </c>
      <c r="T22" s="13" t="inlineStr">
        <is>
          <t>Hold — customer requested September review</t>
        </is>
      </c>
      <c r="U22" s="21" t="n"/>
      <c r="V22" s="13" t="inlineStr">
        <is>
          <t>Excluded / hold — no July contact</t>
        </is>
      </c>
      <c r="W22" s="10" t="inlineStr">
        <is>
          <t>RECONCILED — EXCLUDED / HOLD</t>
        </is>
      </c>
      <c r="X22" s="13" t="inlineStr">
        <is>
          <t>Hold for September agency review</t>
        </is>
      </c>
      <c r="Y22" s="13" t="inlineStr">
        <is>
          <t>Customer-requested September hold overrides risk priority.</t>
        </is>
      </c>
    </row>
  </sheetData>
  <mergeCells count="2">
    <mergeCell ref="A2:Y2"/>
    <mergeCell ref="A1:Y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zoomScale="85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33" customWidth="1" min="3" max="3"/>
    <col width="25" customWidth="1" min="4" max="4"/>
    <col width="18" customWidth="1" min="5" max="5"/>
    <col width="58" customWidth="1" min="6" max="6"/>
    <col width="25" customWidth="1" min="7" max="7"/>
  </cols>
  <sheetData>
    <row r="1" ht="28" customHeight="1">
      <c r="A1" s="1" t="inlineStr">
        <is>
          <t>Local Recovery Authority — Quick Reference</t>
        </is>
      </c>
    </row>
    <row r="2" ht="30" customHeight="1">
      <c r="A2" s="2" t="inlineStr">
        <is>
          <t>Effective July 15–September 30, 2026. The source authority document remains controlling.</t>
        </is>
      </c>
    </row>
    <row r="4" ht="32" customHeight="1">
      <c r="A4" s="26" t="inlineStr">
        <is>
          <t>Offer Code</t>
        </is>
      </c>
      <c r="B4" s="26" t="inlineStr">
        <is>
          <t>Issue Basis</t>
        </is>
      </c>
      <c r="C4" s="26" t="inlineStr">
        <is>
          <t>Eligible Tiers</t>
        </is>
      </c>
      <c r="D4" s="26" t="inlineStr">
        <is>
          <t>Authority Limit</t>
        </is>
      </c>
      <c r="E4" s="26" t="inlineStr">
        <is>
          <t>Approval</t>
        </is>
      </c>
      <c r="F4" s="26" t="inlineStr">
        <is>
          <t>Permitted Use</t>
        </is>
      </c>
      <c r="G4" s="26" t="inlineStr">
        <is>
          <t>If Evidence Is Missing</t>
        </is>
      </c>
    </row>
    <row r="5" ht="48" customHeight="1">
      <c r="A5" s="13" t="inlineStr">
        <is>
          <t>MG-15</t>
        </is>
      </c>
      <c r="B5" s="13" t="inlineStr">
        <is>
          <t>Delivery Underpacing</t>
        </is>
      </c>
      <c r="C5" s="13" t="inlineStr">
        <is>
          <t>Key Growth, Core, Emerging</t>
        </is>
      </c>
      <c r="D5" s="13" t="inlineStr">
        <is>
          <t>$25,000</t>
        </is>
      </c>
      <c r="E5" s="13" t="inlineStr">
        <is>
          <t>Supervisor</t>
        </is>
      </c>
      <c r="F5" s="13" t="inlineStr">
        <is>
          <t>Makegood inventory up to 15% of affected booked impressions after ad-ops validation.</t>
        </is>
      </c>
      <c r="G5" s="13" t="inlineStr">
        <is>
          <t>Hold</t>
        </is>
      </c>
    </row>
    <row r="6" ht="48" customHeight="1">
      <c r="A6" s="13" t="inlineStr">
        <is>
          <t>CR-10K</t>
        </is>
      </c>
      <c r="B6" s="13" t="inlineStr">
        <is>
          <t>Billing Error</t>
        </is>
      </c>
      <c r="C6" s="13" t="inlineStr">
        <is>
          <t>Key Growth, Core, Emerging</t>
        </is>
      </c>
      <c r="D6" s="13" t="inlineStr">
        <is>
          <t>$10,000</t>
        </is>
      </c>
      <c r="E6" s="13" t="inlineStr">
        <is>
          <t>Supervisor</t>
        </is>
      </c>
      <c r="F6" s="13" t="inlineStr">
        <is>
          <t>Verified invoice credit up to $10,000 with billing case attached.</t>
        </is>
      </c>
      <c r="G6" s="13" t="inlineStr">
        <is>
          <t>Hold</t>
        </is>
      </c>
    </row>
    <row r="7" ht="48" customHeight="1">
      <c r="A7" s="13" t="inlineStr">
        <is>
          <t>RH-60</t>
        </is>
      </c>
      <c r="B7" s="13" t="inlineStr">
        <is>
          <t>Renewal Rate Objection</t>
        </is>
      </c>
      <c r="C7" s="13" t="inlineStr">
        <is>
          <t>Core, Emerging</t>
        </is>
      </c>
      <c r="D7" s="13" t="inlineStr">
        <is>
          <t>No credit</t>
        </is>
      </c>
      <c r="E7" s="13" t="inlineStr">
        <is>
          <t>Supervisor</t>
        </is>
      </c>
      <c r="F7" s="13" t="inlineStr">
        <is>
          <t>Hold current renewal CPM for 60 days when no extra credit is promised.</t>
        </is>
      </c>
      <c r="G7" s="13" t="inlineStr">
        <is>
          <t>Exception</t>
        </is>
      </c>
    </row>
    <row r="8" ht="48" customHeight="1">
      <c r="A8" s="13" t="inlineStr">
        <is>
          <t>SW-PKG</t>
        </is>
      </c>
      <c r="B8" s="13" t="inlineStr">
        <is>
          <t>Creative Trafficking; Audience Mismatch; Product Feed Blocker</t>
        </is>
      </c>
      <c r="C8" s="13" t="inlineStr">
        <is>
          <t>Key Growth, Core, Emerging</t>
        </is>
      </c>
      <c r="D8" s="13" t="inlineStr">
        <is>
          <t>$18,000</t>
        </is>
      </c>
      <c r="E8" s="13" t="inlineStr">
        <is>
          <t>Supervisor</t>
        </is>
      </c>
      <c r="F8" s="13" t="inlineStr">
        <is>
          <t>Equivalent-value package swap after operational owner confirms feasibility.</t>
        </is>
      </c>
      <c r="G8" s="13" t="inlineStr">
        <is>
          <t>Hold</t>
        </is>
      </c>
    </row>
    <row r="9" ht="48" customHeight="1">
      <c r="A9" s="13" t="inlineStr">
        <is>
          <t>RPT-COMP</t>
        </is>
      </c>
      <c r="B9" s="13" t="inlineStr">
        <is>
          <t>Reporting Discrepancy</t>
        </is>
      </c>
      <c r="C9" s="13" t="inlineStr">
        <is>
          <t>Key Growth, Core, Emerging</t>
        </is>
      </c>
      <c r="D9" s="13" t="inlineStr">
        <is>
          <t>No credit</t>
        </is>
      </c>
      <c r="E9" s="13" t="inlineStr">
        <is>
          <t>Supervisor</t>
        </is>
      </c>
      <c r="F9" s="13" t="inlineStr">
        <is>
          <t>Expedited reporting reconciliation package with customer-facing summary.</t>
        </is>
      </c>
      <c r="G9" s="13" t="inlineStr">
        <is>
          <t>Hold</t>
        </is>
      </c>
    </row>
    <row r="10" ht="48" customHeight="1">
      <c r="A10" s="13" t="inlineStr">
        <is>
          <t>MGR-REQ</t>
        </is>
      </c>
      <c r="B10" s="13" t="inlineStr">
        <is>
          <t>Over-limit or unsupported</t>
        </is>
      </c>
      <c r="C10" s="13" t="inlineStr">
        <is>
          <t>All</t>
        </is>
      </c>
      <c r="D10" s="13" t="inlineStr">
        <is>
          <t>No credit</t>
        </is>
      </c>
      <c r="E10" s="13" t="inlineStr">
        <is>
          <t>Manager required</t>
        </is>
      </c>
      <c r="F10" s="13" t="inlineStr">
        <is>
          <t>Controlled exception route for over-limit credits, legal terms, unsupported offers, or missing authority.</t>
        </is>
      </c>
      <c r="G10" s="13" t="inlineStr">
        <is>
          <t>Manager / functional owner</t>
        </is>
      </c>
    </row>
  </sheetData>
  <mergeCells count="2">
    <mergeCell ref="A2:G2"/>
    <mergeCell ref="A1:G1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85" workbookViewId="0">
      <selection activeCell="A1" sqref="A1"/>
    </sheetView>
  </sheetViews>
  <sheetFormatPr baseColWidth="8" defaultRowHeight="15"/>
  <cols>
    <col width="70" customWidth="1" min="1" max="1"/>
    <col width="30" customWidth="1" min="2" max="2"/>
    <col width="45" customWidth="1" min="3" max="3"/>
    <col width="72" customWidth="1" min="4" max="4"/>
  </cols>
  <sheetData>
    <row r="1" ht="28" customHeight="1">
      <c r="A1" s="1" t="inlineStr">
        <is>
          <t>Source Lineage and Package Corrections</t>
        </is>
      </c>
    </row>
    <row r="2" ht="30" customHeight="1">
      <c r="A2" s="2" t="inlineStr">
        <is>
          <t>Source dates are preserved so the supervisor can identify stale evidence before release.</t>
        </is>
      </c>
    </row>
    <row r="4" ht="32" customHeight="1">
      <c r="A4" s="30" t="inlineStr">
        <is>
          <t>Source</t>
        </is>
      </c>
      <c r="B4" s="30" t="inlineStr">
        <is>
          <t>As-of / Effective Date</t>
        </is>
      </c>
      <c r="C4" s="30" t="inlineStr">
        <is>
          <t>Use in Package</t>
        </is>
      </c>
      <c r="D4" s="30" t="inlineStr">
        <is>
          <t>Control Note</t>
        </is>
      </c>
    </row>
    <row r="5" ht="48" customHeight="1">
      <c r="A5" s="13" t="inlineStr">
        <is>
          <t>data/revenue_ops_review/escalation_watchlist_review_2026-07-14.xlsx</t>
        </is>
      </c>
      <c r="B5" s="13" t="inlineStr">
        <is>
          <t>Review 2026-07-14</t>
        </is>
      </c>
      <c r="C5" s="13" t="inlineStr">
        <is>
          <t>Risk scores, tiers, proposed actions</t>
        </is>
      </c>
      <c r="D5" s="13" t="inlineStr">
        <is>
          <t>Global risk rank replaced by an execution-only rank plus separate exception/hold lanes.</t>
        </is>
      </c>
    </row>
    <row r="6" ht="48" customHeight="1">
      <c r="A6" s="13" t="inlineStr">
        <is>
          <t>data/crm_health/escalated_account_health_export_2026-07-13.xlsx</t>
        </is>
      </c>
      <c r="B6" s="13" t="inlineStr">
        <is>
          <t>Export 2026-07-13</t>
        </is>
      </c>
      <c r="C6" s="13" t="inlineStr">
        <is>
          <t>Account, renewal, approval, forecast context</t>
        </is>
      </c>
      <c r="D6" s="13" t="inlineStr">
        <is>
          <t>Refresh changed renewal or approval state before outreach.</t>
        </is>
      </c>
    </row>
    <row r="7" ht="48" customHeight="1">
      <c r="A7" s="13" t="inlineStr">
        <is>
          <t>data/ad_ops_cases/open_ad_ops_case_queue_2026-07-13.csv</t>
        </is>
      </c>
      <c r="B7" s="13" t="inlineStr">
        <is>
          <t>Queue 2026-07-13; some updates through 2026-07-14</t>
        </is>
      </c>
      <c r="C7" s="13" t="inlineStr">
        <is>
          <t>Case owner, dependency, expected resolution</t>
        </is>
      </c>
      <c r="D7" s="13" t="inlineStr">
        <is>
          <t>Gate clearance requires current owner evidence, not the file date alone.</t>
        </is>
      </c>
    </row>
    <row r="8" ht="48" customHeight="1">
      <c r="A8" s="13" t="inlineStr">
        <is>
          <t>data/contacts/advertiser_contact_and_authority_directory_2026-07-10.xlsx</t>
        </is>
      </c>
      <c r="B8" s="13" t="inlineStr">
        <is>
          <t>Directory 2026-07-10</t>
        </is>
      </c>
      <c r="C8" s="13" t="inlineStr">
        <is>
          <t>Approved contact route and restrictions</t>
        </is>
      </c>
      <c r="D8" s="13" t="inlineStr">
        <is>
          <t>Reconfirm any pending or restricted route.</t>
        </is>
      </c>
    </row>
    <row r="9" ht="48" customHeight="1">
      <c r="A9" s="13" t="inlineStr">
        <is>
          <t>data/rep_activity/rep_touchpoints_and_commitments_2026-04-01_to_2026-07-14.csv</t>
        </is>
      </c>
      <c r="B9" s="13" t="inlineStr">
        <is>
          <t>Through 2026-07-14</t>
        </is>
      </c>
      <c r="C9" s="13" t="inlineStr">
        <is>
          <t>Commitments, due dates, next steps</t>
        </is>
      </c>
      <c r="D9" s="13" t="inlineStr">
        <is>
          <t>Checkpoint fields in this package become the sprint record.</t>
        </is>
      </c>
    </row>
    <row r="10" ht="48" customHeight="1">
      <c r="A10" s="13" t="inlineStr">
        <is>
          <t>data/commercial_options/local_recovery_offer_authority_q3_2026.docx</t>
        </is>
      </c>
      <c r="B10" s="13" t="inlineStr">
        <is>
          <t>Effective 2026-07-15 to 2026-09-30</t>
        </is>
      </c>
      <c r="C10" s="13" t="inlineStr">
        <is>
          <t>Offer codes, caps, evidence gates, escalation rules</t>
        </is>
      </c>
      <c r="D10" s="13" t="inlineStr">
        <is>
          <t>Controlling authority source.</t>
        </is>
      </c>
    </row>
    <row r="11" ht="48" customHeight="1">
      <c r="A11" s="13" t="inlineStr">
        <is>
          <t>data/approvals/recovery_sprint_scope_approval_2026-07-15.eml</t>
        </is>
      </c>
      <c r="B11" s="13" t="inlineStr">
        <is>
          <t>Approved 2026-07-15</t>
        </is>
      </c>
      <c r="C11" s="13" t="inlineStr">
        <is>
          <t>Supervisor, execution window, account scope</t>
        </is>
      </c>
      <c r="D11" s="13" t="inlineStr">
        <is>
          <t>Controlling sprint approval source.</t>
        </is>
      </c>
    </row>
    <row r="12" ht="48" customHeight="1">
      <c r="A12" s="13" t="inlineStr">
        <is>
          <t>Package correction: A-1003</t>
        </is>
      </c>
      <c r="B12" s="13" t="inlineStr">
        <is>
          <t>Applied in this workbook</t>
        </is>
      </c>
      <c r="C12" s="13" t="inlineStr">
        <is>
          <t>Local action and guardrail</t>
        </is>
      </c>
      <c r="D12" s="13" t="inlineStr">
        <is>
          <t>Removed unsupported RH-60 language; Key Growth is not RH-60 eligible. CR-10K only unless separately approved.</t>
        </is>
      </c>
    </row>
  </sheetData>
  <mergeCells count="2">
    <mergeCell ref="A1:D1"/>
    <mergeCell ref="A2:D2"/>
  </mergeCells>
  <pageMargins left="0.25" right="0.25" top="0.5" bottom="0.5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2026-08-11T02:22:48Z</dcterms:created>
  <dcterms:modified xmlns:dcterms="http://purl.org/dc/terms/" xmlns:xsi="http://www.w3.org/2001/XMLSchema-instance" xsi:type="dcterms:W3CDTF">2026-08-11T02:22:48Z</dcterms:modified>
</cp:coreProperties>
</file>