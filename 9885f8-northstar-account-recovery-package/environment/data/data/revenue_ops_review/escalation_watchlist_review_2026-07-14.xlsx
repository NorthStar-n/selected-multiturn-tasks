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Watchlist Dashboard" sheetId="1" state="visible" r:id="rId1"/>
    <sheet xmlns:r="http://schemas.openxmlformats.org/officeDocument/2006/relationships" name="Watchlist Data" sheetId="2" state="visible" r:id="rId2"/>
    <sheet xmlns:r="http://schemas.openxmlformats.org/officeDocument/2006/relationships" name="Quality Checks" sheetId="3" state="visible" r:id="rId3"/>
  </sheets>
  <definedNames>
    <definedName name="_xlnm.Print_Area" localSheetId="0">'Watchlist Dashboard'!$A$1:$K$64</definedName>
    <definedName name="_xlnm._FilterDatabase" localSheetId="1" hidden="1">'Watchlist Data'!$A$1:$Z$19</definedName>
    <definedName name="_xlnm._FilterDatabase" localSheetId="2" hidden="1">'Quality Checks'!$A$1:$D$5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\-mm\-dd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color rgb="FF172C46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Calibri"/>
      <charset val="1"/>
      <family val="0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FF172C46"/>
        <bgColor rgb="FF333333"/>
      </patternFill>
    </fill>
  </fills>
  <borders count="2">
    <border>
      <left/>
      <right/>
      <top/>
      <bottom/>
      <diagonal/>
    </border>
    <border>
      <left style="thin">
        <color rgb="FFB8C5C3"/>
      </left>
      <right style="thin">
        <color rgb="FFB8C5C3"/>
      </right>
      <top style="thin">
        <color rgb="FFB8C5C3"/>
      </top>
      <bottom style="thin">
        <color rgb="FFB8C5C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9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172C4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5C3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72C4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Renewal Exposure vs Recovery Risk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ubbleChart>
        <varyColors val="0"/>
        <ser>
          <idx val="0"/>
          <order val="0"/>
          <tx>
            <strRef>
              <f>"Accounts"</f>
              <strCache>
                <ptCount val="1"/>
                <pt idx="0">
                  <v>Accounts</v>
                </pt>
              </strCache>
            </strRef>
          </tx>
          <spPr>
            <a:solidFill xmlns:a="http://schemas.openxmlformats.org/drawingml/2006/main">
              <a:srgbClr val="1F4E78"/>
            </a:solidFill>
            <a:ln xmlns:a="http://schemas.openxmlformats.org/drawingml/2006/main" w="0">
              <a:noFill/>
              <a:solidFill>
                <a:srgbClr val="1F4E78"/>
              </a:solidFill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xVal>
            <numRef>
              <f>'Watchlist Data'!$H$2:$H$19</f>
              <numCache>
                <formatCode>General</formatCode>
                <ptCount val="18"/>
                <pt idx="0">
                  <v>340000</v>
                </pt>
                <pt idx="1">
                  <v>220000</v>
                </pt>
                <pt idx="2">
                  <v>295000</v>
                </pt>
                <pt idx="3">
                  <v>150000</v>
                </pt>
                <pt idx="4">
                  <v>410000</v>
                </pt>
                <pt idx="5">
                  <v>82000</v>
                </pt>
                <pt idx="6">
                  <v>260000</v>
                </pt>
                <pt idx="7">
                  <v>110000</v>
                </pt>
                <pt idx="8">
                  <v>190000</v>
                </pt>
                <pt idx="9">
                  <v>75000</v>
                </pt>
                <pt idx="10">
                  <v>175000</v>
                </pt>
                <pt idx="11">
                  <v>305000</v>
                </pt>
                <pt idx="12">
                  <v>165000</v>
                </pt>
                <pt idx="13">
                  <v>360000</v>
                </pt>
                <pt idx="14">
                  <v>210000</v>
                </pt>
                <pt idx="15">
                  <v>62000</v>
                </pt>
                <pt idx="16">
                  <v>520000</v>
                </pt>
                <pt idx="17">
                  <v>135000</v>
                </pt>
              </numCache>
            </numRef>
          </xVal>
          <yVal>
            <numRef>
              <f>'Watchlist Data'!$V$2:$V$19</f>
              <numCache>
                <formatCode>General</formatCode>
                <ptCount val="18"/>
                <pt idx="0">
                  <v>58.6</v>
                </pt>
                <pt idx="1">
                  <v>46.2</v>
                </pt>
                <pt idx="2">
                  <v>49.1</v>
                </pt>
                <pt idx="3">
                  <v>46</v>
                </pt>
                <pt idx="4">
                  <v>66</v>
                </pt>
                <pt idx="5">
                  <v>32.6</v>
                </pt>
                <pt idx="6">
                  <v>56.6</v>
                </pt>
                <pt idx="7">
                  <v>34.5</v>
                </pt>
                <pt idx="8">
                  <v>53.2</v>
                </pt>
                <pt idx="9">
                  <v>25.6</v>
                </pt>
                <pt idx="10">
                  <v>45.5</v>
                </pt>
                <pt idx="11">
                  <v>63.4</v>
                </pt>
                <pt idx="12">
                  <v>37.5</v>
                </pt>
                <pt idx="13">
                  <v>57.5</v>
                </pt>
                <pt idx="14">
                  <v>57.7</v>
                </pt>
                <pt idx="15">
                  <v>10.4</v>
                </pt>
                <pt idx="16">
                  <v>61.5</v>
                </pt>
                <pt idx="17">
                  <v>27.4</v>
                </pt>
              </numCache>
            </numRef>
          </yVal>
          <bubbleSize>
            <numRef>
              <f>'Watchlist Data'!$U$2:$U$19</f>
              <numCache>
                <formatCode>General</formatCode>
                <ptCount val="18"/>
                <pt idx="0">
                  <v>77.90000000000001</v>
                </pt>
                <pt idx="1">
                  <v>58.7</v>
                </pt>
                <pt idx="2">
                  <v>66.09999999999999</v>
                </pt>
                <pt idx="3">
                  <v>58</v>
                </pt>
                <pt idx="4">
                  <v>81.7</v>
                </pt>
                <pt idx="5">
                  <v>47.8</v>
                </pt>
                <pt idx="6">
                  <v>66.3</v>
                </pt>
                <pt idx="7">
                  <v>40.8</v>
                </pt>
                <pt idx="8">
                  <v>64.09999999999999</v>
                </pt>
                <pt idx="9">
                  <v>34.7</v>
                </pt>
                <pt idx="10">
                  <v>55.1</v>
                </pt>
                <pt idx="11">
                  <v>72.59999999999999</v>
                </pt>
                <pt idx="12">
                  <v>42.1</v>
                </pt>
                <pt idx="13">
                  <v>75.09999999999999</v>
                </pt>
                <pt idx="14">
                  <v>62.8</v>
                </pt>
                <pt idx="15">
                  <v>38.4</v>
                </pt>
                <pt idx="16">
                  <v>68.5</v>
                </pt>
                <pt idx="17">
                  <v>25</v>
                </pt>
              </numCache>
            </numRef>
          </bubbleSize>
          <bubble3D val="0"/>
        </ser>
        <axId val="87792015"/>
        <axId val="9612947"/>
      </bubbleChart>
      <valAx>
        <axId val="87792015"/>
        <scaling>
          <orientation val="minMax"/>
        </scaling>
        <delete val="0"/>
        <axPos val="b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Renewal exposure ($)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9612947"/>
        <crosses val="autoZero"/>
        <crossBetween val="midCat"/>
      </valAx>
      <valAx>
        <axId val="9612947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Operational recovery risk score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87792015"/>
        <crosses val="autoZero"/>
        <crossBetween val="midCat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Open Issue Burden by Segment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'Watchlist Dashboard'!B7</f>
              <strCache>
                <ptCount val="1"/>
                <pt idx="0">
                  <v>Open cases</v>
                </pt>
              </strCache>
            </strRef>
          </tx>
          <spPr>
            <a:solidFill xmlns:a="http://schemas.openxmlformats.org/drawingml/2006/main">
              <a:srgbClr val="2E7D5B"/>
            </a:solidFill>
            <a:ln xmlns:a="http://schemas.openxmlformats.org/drawingml/2006/main" w="0">
              <a:noFill/>
              <a:solidFill>
                <a:srgbClr val="2E7D5B"/>
              </a:solidFill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'Watchlist Dashboard'!$A$8:$A$18</f>
              <strCache>
                <ptCount val="11"/>
                <pt idx="0">
                  <v>Agency</v>
                </pt>
                <pt idx="1">
                  <v>Education</v>
                </pt>
                <pt idx="2">
                  <v>Energy</v>
                </pt>
                <pt idx="3">
                  <v>Financial Services</v>
                </pt>
                <pt idx="4">
                  <v>Healthcare</v>
                </pt>
                <pt idx="5">
                  <v>Industrial</v>
                </pt>
                <pt idx="6">
                  <v>Local Services</v>
                </pt>
                <pt idx="7">
                  <v>Professional Services</v>
                </pt>
                <pt idx="8">
                  <v>Retail</v>
                </pt>
                <pt idx="9">
                  <v>Technology</v>
                </pt>
                <pt idx="10">
                  <v>Travel</v>
                </pt>
              </strCache>
            </strRef>
          </cat>
          <val>
            <numRef>
              <f>'Watchlist Dashboard'!$B$8:$B$18</f>
              <numCache>
                <formatCode>General</formatCode>
                <ptCount val="11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2</v>
                </pt>
                <pt idx="4">
                  <v>5</v>
                </pt>
                <pt idx="5">
                  <v>3</v>
                </pt>
                <pt idx="6">
                  <v>0</v>
                </pt>
                <pt idx="7">
                  <v>1</v>
                </pt>
                <pt idx="8">
                  <v>4</v>
                </pt>
                <pt idx="9">
                  <v>1</v>
                </pt>
                <pt idx="10">
                  <v>1</v>
                </pt>
              </numCache>
            </numRef>
          </val>
        </ser>
        <ser>
          <idx val="1"/>
          <order val="1"/>
          <tx>
            <strRef>
              <f>'Watchlist Dashboard'!C7</f>
              <strCache>
                <ptCount val="1"/>
                <pt idx="0">
                  <v>Resolved pending</v>
                </pt>
              </strCache>
            </strRef>
          </tx>
          <spPr>
            <a:solidFill xmlns:a="http://schemas.openxmlformats.org/drawingml/2006/main">
              <a:srgbClr val="D9822B"/>
            </a:solidFill>
            <a:ln xmlns:a="http://schemas.openxmlformats.org/drawingml/2006/main" w="0">
              <a:noFill/>
              <a:solidFill>
                <a:srgbClr val="D9822B"/>
              </a:solidFill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'Watchlist Dashboard'!$A$8:$A$18</f>
              <strCache>
                <ptCount val="11"/>
                <pt idx="0">
                  <v>Agency</v>
                </pt>
                <pt idx="1">
                  <v>Education</v>
                </pt>
                <pt idx="2">
                  <v>Energy</v>
                </pt>
                <pt idx="3">
                  <v>Financial Services</v>
                </pt>
                <pt idx="4">
                  <v>Healthcare</v>
                </pt>
                <pt idx="5">
                  <v>Industrial</v>
                </pt>
                <pt idx="6">
                  <v>Local Services</v>
                </pt>
                <pt idx="7">
                  <v>Professional Services</v>
                </pt>
                <pt idx="8">
                  <v>Retail</v>
                </pt>
                <pt idx="9">
                  <v>Technology</v>
                </pt>
                <pt idx="10">
                  <v>Travel</v>
                </pt>
              </strCache>
            </strRef>
          </cat>
          <val>
            <numRef>
              <f>'Watchlist Dashboard'!$C$8:$C$18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1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1</v>
                </pt>
                <pt idx="10">
                  <v>0</v>
                </pt>
              </numCache>
            </numRef>
          </val>
        </ser>
        <gapWidth val="150"/>
        <overlap val="0"/>
        <axId val="64914780"/>
        <axId val="26609584"/>
      </barChart>
      <catAx>
        <axId val="6491478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26609584"/>
        <crosses val="autoZero"/>
        <auto val="1"/>
        <lblAlgn val="ctr"/>
        <lblOffset val="100"/>
        <noMultiLvlLbl val="0"/>
      </catAx>
      <valAx>
        <axId val="26609584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Case count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4914780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Commitment Slippage by Owner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bar"/>
        <grouping val="clustered"/>
        <varyColors val="0"/>
        <ser>
          <idx val="0"/>
          <order val="0"/>
          <tx>
            <strRef>
              <f>'Watchlist Dashboard'!G7</f>
              <strCache>
                <ptCount val="1"/>
                <pt idx="0">
                  <v>Total commitments</v>
                </pt>
              </strCache>
            </strRef>
          </tx>
          <spPr>
            <a:solidFill xmlns:a="http://schemas.openxmlformats.org/drawingml/2006/main">
              <a:srgbClr val="D9822B"/>
            </a:solidFill>
            <a:ln xmlns:a="http://schemas.openxmlformats.org/drawingml/2006/main" w="0">
              <a:noFill/>
              <a:solidFill>
                <a:srgbClr val="D9822B"/>
              </a:solidFill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'Watchlist Dashboard'!$F$8:$F$12</f>
              <strCache>
                <ptCount val="5"/>
                <pt idx="0">
                  <v>Devon Brooks</v>
                </pt>
                <pt idx="1">
                  <v>Jordan Patel</v>
                </pt>
                <pt idx="2">
                  <v>Luis Romero</v>
                </pt>
                <pt idx="3">
                  <v>Maya Chen</v>
                </pt>
                <pt idx="4">
                  <v>Priya Nair</v>
                </pt>
              </strCache>
            </strRef>
          </cat>
          <val>
            <numRef>
              <f>'Watchlist Dashboard'!$G$8:$G$12</f>
              <numCache>
                <formatCode>General</formatCode>
                <ptCount val="5"/>
                <pt idx="0">
                  <v>7</v>
                </pt>
                <pt idx="1">
                  <v>10</v>
                </pt>
                <pt idx="2">
                  <v>7</v>
                </pt>
                <pt idx="3">
                  <v>9</v>
                </pt>
                <pt idx="4">
                  <v>8</v>
                </pt>
              </numCache>
            </numRef>
          </val>
        </ser>
        <ser>
          <idx val="1"/>
          <order val="1"/>
          <tx>
            <strRef>
              <f>'Watchlist Dashboard'!H7</f>
              <strCache>
                <ptCount val="1"/>
                <pt idx="0">
                  <v>Overdue or missed</v>
                </pt>
              </strCache>
            </strRef>
          </tx>
          <spPr>
            <a:solidFill xmlns:a="http://schemas.openxmlformats.org/drawingml/2006/main">
              <a:srgbClr val="6B5B95"/>
            </a:solidFill>
            <a:ln xmlns:a="http://schemas.openxmlformats.org/drawingml/2006/main" w="0">
              <a:noFill/>
              <a:solidFill>
                <a:srgbClr val="6B5B95"/>
              </a:solidFill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'Watchlist Dashboard'!$F$8:$F$12</f>
              <strCache>
                <ptCount val="5"/>
                <pt idx="0">
                  <v>Devon Brooks</v>
                </pt>
                <pt idx="1">
                  <v>Jordan Patel</v>
                </pt>
                <pt idx="2">
                  <v>Luis Romero</v>
                </pt>
                <pt idx="3">
                  <v>Maya Chen</v>
                </pt>
                <pt idx="4">
                  <v>Priya Nair</v>
                </pt>
              </strCache>
            </strRef>
          </cat>
          <val>
            <numRef>
              <f>'Watchlist Dashboard'!$H$8:$H$12</f>
              <numCache>
                <formatCode>General</formatCode>
                <ptCount val="5"/>
                <pt idx="0">
                  <v>2</v>
                </pt>
                <pt idx="1">
                  <v>2</v>
                </pt>
                <pt idx="2">
                  <v>2</v>
                </pt>
                <pt idx="3">
                  <v>1</v>
                </pt>
                <pt idx="4">
                  <v>0</v>
                </pt>
              </numCache>
            </numRef>
          </val>
        </ser>
        <gapWidth val="150"/>
        <overlap val="0"/>
        <axId val="73854451"/>
        <axId val="70456774"/>
      </barChart>
      <catAx>
        <axId val="73854451"/>
        <scaling>
          <orientation val="minMax"/>
        </scaling>
        <delete val="0"/>
        <axPos val="b"/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Commitment count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70456774"/>
        <crosses val="autoZero"/>
        <auto val="1"/>
        <lblAlgn val="ctr"/>
        <lblOffset val="100"/>
        <noMultiLvlLbl val="0"/>
      </catAx>
      <valAx>
        <axId val="70456774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73854451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4</row>
      <rowOff>0</rowOff>
    </from>
    <to>
      <col>1</col>
      <colOff>2572560</colOff>
      <row>21</row>
      <rowOff>1080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0</col>
      <colOff>0</colOff>
      <row>24</row>
      <rowOff>0</rowOff>
    </from>
    <to>
      <col>1</col>
      <colOff>1852560</colOff>
      <row>39</row>
      <rowOff>21960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0</col>
      <colOff>0</colOff>
      <row>44</row>
      <rowOff>0</rowOff>
    </from>
    <to>
      <col>1</col>
      <colOff>1852560</colOff>
      <row>59</row>
      <rowOff>21960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tables/table1.xml><?xml version="1.0" encoding="utf-8"?>
<table xmlns="http://schemas.openxmlformats.org/spreadsheetml/2006/main" id="1" name="WatchlistData" displayName="WatchlistData" ref="A1:Z19" headerRowCount="1" totalsRowCount="0" totalsRowShown="0">
  <autoFilter ref="A1:Z19"/>
  <tableColumns count="26">
    <tableColumn id="1" name="Account ID"/>
    <tableColumn id="2" name="Account Name"/>
    <tableColumn id="3" name="Owner Rep"/>
    <tableColumn id="4" name="Segment"/>
    <tableColumn id="5" name="Account Tier"/>
    <tableColumn id="6" name="Approval Status"/>
    <tableColumn id="7" name="Renewal Date"/>
    <tableColumn id="8" name="Renewal Exposure"/>
    <tableColumn id="9" name="Baseline Revenue"/>
    <tableColumn id="10" name="Current Forecast"/>
    <tableColumn id="11" name="Forecast Variance"/>
    <tableColumn id="12" name="Open Cases"/>
    <tableColumn id="13" name="Max Severity"/>
    <tableColumn id="14" name="Avg Issue Age"/>
    <tableColumn id="15" name="Overdue Commitments"/>
    <tableColumn id="16" name="Days Since Last Touch"/>
    <tableColumn id="17" name="Contact Readiness"/>
    <tableColumn id="18" name="Primary Issue"/>
    <tableColumn id="19" name="Approved Offer"/>
    <tableColumn id="20" name="Requested Recovery Value"/>
    <tableColumn id="21" name="Priority Score"/>
    <tableColumn id="22" name="Recovery Risk"/>
    <tableColumn id="23" name="Priority Tier"/>
    <tableColumn id="24" name="Rank"/>
    <tableColumn id="25" name="Decision Action"/>
    <tableColumn id="26" name="Exception Reason"/>
  </tableColumns>
</table>
</file>

<file path=xl/tables/table2.xml><?xml version="1.0" encoding="utf-8"?>
<table xmlns="http://schemas.openxmlformats.org/spreadsheetml/2006/main" id="2" name="QualityChecks" displayName="QualityChecks" ref="A1:D5" headerRowCount="1" totalsRowCount="0" totalsRowShown="0">
  <autoFilter ref="A1:D5"/>
  <tableColumns count="4">
    <tableColumn id="1" name="Check"/>
    <tableColumn id="2" name="Value"/>
    <tableColumn id="3" name="Status"/>
    <tableColumn id="4" name="No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H1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7.84" customWidth="1" style="4" min="1" max="1"/>
    <col width="99.44000000000001" customWidth="1" style="4" min="2" max="2"/>
    <col width="19.92" customWidth="1" style="4" min="3" max="3"/>
    <col width="11" customWidth="1" style="4" min="4" max="5"/>
    <col width="15.44" customWidth="1" style="4" min="6" max="6"/>
    <col width="21.04" customWidth="1" style="4" min="7" max="8"/>
    <col width="21.04" customWidth="1" style="5" min="8" max="8"/>
  </cols>
  <sheetData>
    <row r="1" ht="15" customHeight="1" s="5">
      <c r="A1" s="6" t="inlineStr">
        <is>
          <t>Revenue Ops Escalation Watchlist</t>
        </is>
      </c>
    </row>
    <row r="2" ht="15" customHeight="1" s="5">
      <c r="A2" s="7" t="inlineStr">
        <is>
          <t>Review date</t>
        </is>
      </c>
      <c r="B2" s="8" t="n">
        <v>46217</v>
      </c>
    </row>
    <row r="3" ht="15" customHeight="1" s="5">
      <c r="A3" s="7" t="inlineStr">
        <is>
          <t>Objective</t>
        </is>
      </c>
      <c r="B3" s="7" t="inlineStr">
        <is>
          <t>Compare renewal exposure and operational recovery risk before local execution planning.</t>
        </is>
      </c>
    </row>
    <row r="7" ht="15" customHeight="1" s="5">
      <c r="A7" s="7" t="inlineStr">
        <is>
          <t>Segment</t>
        </is>
      </c>
      <c r="B7" s="7" t="inlineStr">
        <is>
          <t>Open cases</t>
        </is>
      </c>
      <c r="C7" s="7" t="inlineStr">
        <is>
          <t>Resolved pending</t>
        </is>
      </c>
      <c r="F7" s="7" t="inlineStr">
        <is>
          <t>Owner Rep</t>
        </is>
      </c>
      <c r="G7" s="7" t="inlineStr">
        <is>
          <t>Total commitments</t>
        </is>
      </c>
      <c r="H7" s="7" t="inlineStr">
        <is>
          <t>Overdue or missed</t>
        </is>
      </c>
    </row>
    <row r="8" ht="15" customHeight="1" s="5">
      <c r="A8" s="7" t="inlineStr">
        <is>
          <t>Agency</t>
        </is>
      </c>
      <c r="B8" s="7" t="n">
        <v>1</v>
      </c>
      <c r="C8" s="7" t="n">
        <v>0</v>
      </c>
      <c r="F8" s="7" t="inlineStr">
        <is>
          <t>Devon Brooks</t>
        </is>
      </c>
      <c r="G8" s="7" t="n">
        <v>7</v>
      </c>
      <c r="H8" s="7" t="n">
        <v>2</v>
      </c>
    </row>
    <row r="9" ht="15" customHeight="1" s="5">
      <c r="A9" s="7" t="inlineStr">
        <is>
          <t>Education</t>
        </is>
      </c>
      <c r="B9" s="7" t="n">
        <v>1</v>
      </c>
      <c r="C9" s="7" t="n">
        <v>0</v>
      </c>
      <c r="F9" s="7" t="inlineStr">
        <is>
          <t>Jordan Patel</t>
        </is>
      </c>
      <c r="G9" s="7" t="n">
        <v>10</v>
      </c>
      <c r="H9" s="7" t="n">
        <v>2</v>
      </c>
    </row>
    <row r="10" ht="15" customHeight="1" s="5">
      <c r="A10" s="7" t="inlineStr">
        <is>
          <t>Energy</t>
        </is>
      </c>
      <c r="B10" s="7" t="n">
        <v>1</v>
      </c>
      <c r="C10" s="7" t="n">
        <v>0</v>
      </c>
      <c r="F10" s="7" t="inlineStr">
        <is>
          <t>Luis Romero</t>
        </is>
      </c>
      <c r="G10" s="7" t="n">
        <v>7</v>
      </c>
      <c r="H10" s="7" t="n">
        <v>2</v>
      </c>
    </row>
    <row r="11" ht="15" customHeight="1" s="5">
      <c r="A11" s="7" t="inlineStr">
        <is>
          <t>Financial Services</t>
        </is>
      </c>
      <c r="B11" s="7" t="n">
        <v>2</v>
      </c>
      <c r="C11" s="7" t="n">
        <v>1</v>
      </c>
      <c r="F11" s="7" t="inlineStr">
        <is>
          <t>Maya Chen</t>
        </is>
      </c>
      <c r="G11" s="7" t="n">
        <v>9</v>
      </c>
      <c r="H11" s="7" t="n">
        <v>1</v>
      </c>
    </row>
    <row r="12" ht="15" customHeight="1" s="5">
      <c r="A12" s="7" t="inlineStr">
        <is>
          <t>Healthcare</t>
        </is>
      </c>
      <c r="B12" s="7" t="n">
        <v>5</v>
      </c>
      <c r="C12" s="7" t="n">
        <v>0</v>
      </c>
      <c r="F12" s="7" t="inlineStr">
        <is>
          <t>Priya Nair</t>
        </is>
      </c>
      <c r="G12" s="7" t="n">
        <v>8</v>
      </c>
      <c r="H12" s="7" t="n">
        <v>0</v>
      </c>
    </row>
    <row r="13" ht="15" customHeight="1" s="5">
      <c r="A13" s="7" t="inlineStr">
        <is>
          <t>Industrial</t>
        </is>
      </c>
      <c r="B13" s="7" t="n">
        <v>3</v>
      </c>
      <c r="C13" s="7" t="n">
        <v>0</v>
      </c>
    </row>
    <row r="14" ht="15" customHeight="1" s="5">
      <c r="A14" s="7" t="inlineStr">
        <is>
          <t>Local Services</t>
        </is>
      </c>
      <c r="B14" s="7" t="n">
        <v>0</v>
      </c>
      <c r="C14" s="7" t="n">
        <v>0</v>
      </c>
    </row>
    <row r="15" ht="15" customHeight="1" s="5">
      <c r="A15" s="7" t="inlineStr">
        <is>
          <t>Professional Services</t>
        </is>
      </c>
      <c r="B15" s="7" t="n">
        <v>1</v>
      </c>
      <c r="C15" s="7" t="n">
        <v>0</v>
      </c>
    </row>
    <row r="16" ht="15" customHeight="1" s="5">
      <c r="A16" s="7" t="inlineStr">
        <is>
          <t>Retail</t>
        </is>
      </c>
      <c r="B16" s="7" t="n">
        <v>4</v>
      </c>
      <c r="C16" s="7" t="n">
        <v>0</v>
      </c>
    </row>
    <row r="17" ht="15" customHeight="1" s="5">
      <c r="A17" s="7" t="inlineStr">
        <is>
          <t>Technology</t>
        </is>
      </c>
      <c r="B17" s="7" t="n">
        <v>1</v>
      </c>
      <c r="C17" s="7" t="n">
        <v>1</v>
      </c>
    </row>
    <row r="18" ht="15" customHeight="1" s="5">
      <c r="A18" s="7" t="inlineStr">
        <is>
          <t>Travel</t>
        </is>
      </c>
      <c r="B18" s="7" t="n">
        <v>1</v>
      </c>
      <c r="C18" s="7" t="n">
        <v>0</v>
      </c>
    </row>
  </sheetData>
  <printOptions horizontalCentered="0" verticalCentered="0" headings="0" gridLines="0" gridLinesSet="1"/>
  <pageMargins left="0.25" right="0.25" top="0.35" bottom="0.35" header="0.511811023622047" footer="0.511811023622047"/>
  <pageSetup orientation="landscape" paperSize="1" scale="100" fitToHeight="0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Z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.2" customWidth="1" style="4" min="1" max="1"/>
    <col width="32.24" customWidth="1" style="4" min="2" max="2"/>
    <col width="15.44" customWidth="1" style="4" min="3" max="3"/>
    <col width="25.52" customWidth="1" style="4" min="4" max="4"/>
    <col width="15.44" customWidth="1" style="4" min="5" max="5"/>
    <col width="24.4" customWidth="1" style="4" min="6" max="6"/>
    <col width="23.28" customWidth="1" style="4" min="7" max="7"/>
    <col width="19.92" customWidth="1" style="4" min="8" max="10"/>
    <col width="19.92" customWidth="1" style="5" min="9" max="9"/>
    <col width="19.92" customWidth="1" style="5" min="10" max="10"/>
    <col width="21.04" customWidth="1" style="4" min="11" max="11"/>
    <col width="13.2" customWidth="1" style="4" min="12" max="12"/>
    <col width="15.44" customWidth="1" style="4" min="13" max="13"/>
    <col width="16.56" customWidth="1" style="4" min="14" max="14"/>
    <col width="23.28" customWidth="1" style="4" min="15" max="15"/>
    <col width="25.52" customWidth="1" style="4" min="16" max="16"/>
    <col width="22.16" customWidth="1" style="4" min="17" max="17"/>
    <col width="26.64" customWidth="1" style="4" min="18" max="18"/>
    <col width="17.68" customWidth="1" style="4" min="19" max="19"/>
    <col width="28.88" customWidth="1" style="4" min="20" max="20"/>
    <col width="17.68" customWidth="1" style="4" min="21" max="21"/>
    <col width="16.56" customWidth="1" style="4" min="22" max="22"/>
    <col width="30" customWidth="1" style="4" min="23" max="23"/>
    <col width="11" customWidth="1" style="4" min="24" max="24"/>
    <col width="74.80000000000001" customWidth="1" style="4" min="25" max="26"/>
    <col width="53.52" customWidth="1" style="5" min="26" max="26"/>
  </cols>
  <sheetData>
    <row r="1" ht="15" customHeight="1" s="5">
      <c r="A1" s="6" t="inlineStr">
        <is>
          <t>Account ID</t>
        </is>
      </c>
      <c r="B1" s="6" t="inlineStr">
        <is>
          <t>Account Name</t>
        </is>
      </c>
      <c r="C1" s="6" t="inlineStr">
        <is>
          <t>Owner Rep</t>
        </is>
      </c>
      <c r="D1" s="6" t="inlineStr">
        <is>
          <t>Segment</t>
        </is>
      </c>
      <c r="E1" s="6" t="inlineStr">
        <is>
          <t>Account Tier</t>
        </is>
      </c>
      <c r="F1" s="6" t="inlineStr">
        <is>
          <t>Approval Status</t>
        </is>
      </c>
      <c r="G1" s="6" t="inlineStr">
        <is>
          <t>Renewal Date</t>
        </is>
      </c>
      <c r="H1" s="6" t="inlineStr">
        <is>
          <t>Renewal Exposure</t>
        </is>
      </c>
      <c r="I1" s="6" t="inlineStr">
        <is>
          <t>Baseline Revenue</t>
        </is>
      </c>
      <c r="J1" s="6" t="inlineStr">
        <is>
          <t>Current Forecast</t>
        </is>
      </c>
      <c r="K1" s="6" t="inlineStr">
        <is>
          <t>Forecast Variance</t>
        </is>
      </c>
      <c r="L1" s="6" t="inlineStr">
        <is>
          <t>Open Cases</t>
        </is>
      </c>
      <c r="M1" s="6" t="inlineStr">
        <is>
          <t>Max Severity</t>
        </is>
      </c>
      <c r="N1" s="6" t="inlineStr">
        <is>
          <t>Avg Issue Age</t>
        </is>
      </c>
      <c r="O1" s="6" t="inlineStr">
        <is>
          <t>Overdue Commitments</t>
        </is>
      </c>
      <c r="P1" s="6" t="inlineStr">
        <is>
          <t>Days Since Last Touch</t>
        </is>
      </c>
      <c r="Q1" s="6" t="inlineStr">
        <is>
          <t>Contact Readiness</t>
        </is>
      </c>
      <c r="R1" s="6" t="inlineStr">
        <is>
          <t>Primary Issue</t>
        </is>
      </c>
      <c r="S1" s="6" t="inlineStr">
        <is>
          <t>Approved Offer</t>
        </is>
      </c>
      <c r="T1" s="6" t="inlineStr">
        <is>
          <t>Requested Recovery Value</t>
        </is>
      </c>
      <c r="U1" s="6" t="inlineStr">
        <is>
          <t>Priority Score</t>
        </is>
      </c>
      <c r="V1" s="6" t="inlineStr">
        <is>
          <t>Recovery Risk</t>
        </is>
      </c>
      <c r="W1" s="6" t="inlineStr">
        <is>
          <t>Priority Tier</t>
        </is>
      </c>
      <c r="X1" s="6" t="inlineStr">
        <is>
          <t>Rank</t>
        </is>
      </c>
      <c r="Y1" s="6" t="inlineStr">
        <is>
          <t>Decision Action</t>
        </is>
      </c>
      <c r="Z1" s="6" t="inlineStr">
        <is>
          <t>Exception Reason</t>
        </is>
      </c>
    </row>
    <row r="2" ht="15" customHeight="1" s="5">
      <c r="A2" s="7" t="inlineStr">
        <is>
          <t>A-1001</t>
        </is>
      </c>
      <c r="B2" s="7" t="inlineStr">
        <is>
          <t>Meridian Health Partners</t>
        </is>
      </c>
      <c r="C2" s="7" t="inlineStr">
        <is>
          <t>Maya Chen</t>
        </is>
      </c>
      <c r="D2" s="7" t="inlineStr">
        <is>
          <t>Healthcare</t>
        </is>
      </c>
      <c r="E2" s="7" t="inlineStr">
        <is>
          <t>Key Growth</t>
        </is>
      </c>
      <c r="F2" s="7" t="inlineStr">
        <is>
          <t>Approved execution</t>
        </is>
      </c>
      <c r="G2" s="8" t="n">
        <v>46227</v>
      </c>
      <c r="H2" s="7" t="n">
        <v>340000</v>
      </c>
      <c r="I2" s="7" t="n">
        <v>310000</v>
      </c>
      <c r="J2" s="7" t="n">
        <v>272000</v>
      </c>
      <c r="K2" s="7" t="n">
        <v>-38000</v>
      </c>
      <c r="L2" s="7" t="n">
        <v>2</v>
      </c>
      <c r="M2" s="7" t="n">
        <v>4</v>
      </c>
      <c r="N2" s="7" t="n">
        <v>19</v>
      </c>
      <c r="O2" s="7" t="n">
        <v>1</v>
      </c>
      <c r="P2" s="7" t="n">
        <v>1</v>
      </c>
      <c r="Q2" s="7" t="inlineStr">
        <is>
          <t>Ready</t>
        </is>
      </c>
      <c r="R2" s="7" t="inlineStr">
        <is>
          <t>Delivery Underpacing</t>
        </is>
      </c>
      <c r="S2" s="7" t="inlineStr">
        <is>
          <t>MG-15</t>
        </is>
      </c>
      <c r="T2" s="7" t="n">
        <v>21000</v>
      </c>
      <c r="U2" s="7" t="n">
        <v>77.90000000000001</v>
      </c>
      <c r="V2" s="7" t="n">
        <v>58.6</v>
      </c>
      <c r="W2" s="7" t="inlineStr">
        <is>
          <t>Tier 1</t>
        </is>
      </c>
      <c r="X2" s="7" t="n">
        <v>2</v>
      </c>
      <c r="Y2" s="7" t="inlineStr">
        <is>
          <t>Confirm makegood inventory and delivery recovery plan</t>
        </is>
      </c>
      <c r="Z2" s="7" t="n"/>
    </row>
    <row r="3" ht="15" customHeight="1" s="5">
      <c r="A3" s="7" t="inlineStr">
        <is>
          <t>A-1002</t>
        </is>
      </c>
      <c r="B3" s="7" t="inlineStr">
        <is>
          <t>Larkspur Credit Union</t>
        </is>
      </c>
      <c r="C3" s="7" t="inlineStr">
        <is>
          <t>Jordan Patel</t>
        </is>
      </c>
      <c r="D3" s="7" t="inlineStr">
        <is>
          <t>Financial Services</t>
        </is>
      </c>
      <c r="E3" s="7" t="inlineStr">
        <is>
          <t>Core</t>
        </is>
      </c>
      <c r="F3" s="7" t="inlineStr">
        <is>
          <t>Approved execution</t>
        </is>
      </c>
      <c r="G3" s="8" t="n">
        <v>46234</v>
      </c>
      <c r="H3" s="7" t="n">
        <v>220000</v>
      </c>
      <c r="I3" s="7" t="n">
        <v>205000</v>
      </c>
      <c r="J3" s="7" t="n">
        <v>184000</v>
      </c>
      <c r="K3" s="7" t="n">
        <v>-21000</v>
      </c>
      <c r="L3" s="7" t="n">
        <v>1</v>
      </c>
      <c r="M3" s="7" t="n">
        <v>4</v>
      </c>
      <c r="N3" s="7" t="n">
        <v>17</v>
      </c>
      <c r="O3" s="7" t="n">
        <v>0</v>
      </c>
      <c r="P3" s="7" t="n">
        <v>5</v>
      </c>
      <c r="Q3" s="7" t="inlineStr">
        <is>
          <t>Ready</t>
        </is>
      </c>
      <c r="R3" s="7" t="inlineStr">
        <is>
          <t>Reporting Discrepancy</t>
        </is>
      </c>
      <c r="S3" s="7" t="inlineStr">
        <is>
          <t>RPT-COMP</t>
        </is>
      </c>
      <c r="T3" s="7" t="n">
        <v>0</v>
      </c>
      <c r="U3" s="7" t="n">
        <v>58.7</v>
      </c>
      <c r="V3" s="7" t="n">
        <v>46.2</v>
      </c>
      <c r="W3" s="7" t="inlineStr">
        <is>
          <t>Tier 3</t>
        </is>
      </c>
      <c r="X3" s="7" t="n">
        <v>10</v>
      </c>
      <c r="Y3" s="7" t="inlineStr">
        <is>
          <t>Deliver reconciled reporting package and executive summary</t>
        </is>
      </c>
      <c r="Z3" s="7" t="n"/>
    </row>
    <row r="4" ht="15" customHeight="1" s="5">
      <c r="A4" s="7" t="inlineStr">
        <is>
          <t>A-1003</t>
        </is>
      </c>
      <c r="B4" s="7" t="inlineStr">
        <is>
          <t>Cobalt Cloud Systems</t>
        </is>
      </c>
      <c r="C4" s="7" t="inlineStr">
        <is>
          <t>Priya Nair</t>
        </is>
      </c>
      <c r="D4" s="7" t="inlineStr">
        <is>
          <t>Technology</t>
        </is>
      </c>
      <c r="E4" s="7" t="inlineStr">
        <is>
          <t>Key Growth</t>
        </is>
      </c>
      <c r="F4" s="7" t="inlineStr">
        <is>
          <t>Approved execution</t>
        </is>
      </c>
      <c r="G4" s="8" t="n">
        <v>46239</v>
      </c>
      <c r="H4" s="7" t="n">
        <v>295000</v>
      </c>
      <c r="I4" s="7" t="n">
        <v>275000</v>
      </c>
      <c r="J4" s="7" t="n">
        <v>240000</v>
      </c>
      <c r="K4" s="7" t="n">
        <v>-35000</v>
      </c>
      <c r="L4" s="7" t="n">
        <v>2</v>
      </c>
      <c r="M4" s="7" t="n">
        <v>4</v>
      </c>
      <c r="N4" s="7" t="n">
        <v>17</v>
      </c>
      <c r="O4" s="7" t="n">
        <v>0</v>
      </c>
      <c r="P4" s="7" t="n">
        <v>4</v>
      </c>
      <c r="Q4" s="7" t="inlineStr">
        <is>
          <t>Ready</t>
        </is>
      </c>
      <c r="R4" s="7" t="inlineStr">
        <is>
          <t>Billing Error</t>
        </is>
      </c>
      <c r="S4" s="7" t="inlineStr">
        <is>
          <t>CR-10K</t>
        </is>
      </c>
      <c r="T4" s="7" t="n">
        <v>9500</v>
      </c>
      <c r="U4" s="7" t="n">
        <v>66.09999999999999</v>
      </c>
      <c r="V4" s="7" t="n">
        <v>49.1</v>
      </c>
      <c r="W4" s="7" t="inlineStr">
        <is>
          <t>Tier 2</t>
        </is>
      </c>
      <c r="X4" s="7" t="n">
        <v>7</v>
      </c>
      <c r="Y4" s="7" t="inlineStr">
        <is>
          <t>Confirm verified billing credit and renewal rate hold</t>
        </is>
      </c>
      <c r="Z4" s="7" t="n"/>
    </row>
    <row r="5" ht="15" customHeight="1" s="5">
      <c r="A5" s="7" t="inlineStr">
        <is>
          <t>A-1004</t>
        </is>
      </c>
      <c r="B5" s="7" t="inlineStr">
        <is>
          <t>Harborview Furnishings</t>
        </is>
      </c>
      <c r="C5" s="7" t="inlineStr">
        <is>
          <t>Luis Romero</t>
        </is>
      </c>
      <c r="D5" s="7" t="inlineStr">
        <is>
          <t>Retail</t>
        </is>
      </c>
      <c r="E5" s="7" t="inlineStr">
        <is>
          <t>Core</t>
        </is>
      </c>
      <c r="F5" s="7" t="inlineStr">
        <is>
          <t>Approved execution</t>
        </is>
      </c>
      <c r="G5" s="8" t="n">
        <v>46231</v>
      </c>
      <c r="H5" s="7" t="n">
        <v>150000</v>
      </c>
      <c r="I5" s="7" t="n">
        <v>142000</v>
      </c>
      <c r="J5" s="7" t="n">
        <v>129000</v>
      </c>
      <c r="K5" s="7" t="n">
        <v>-13000</v>
      </c>
      <c r="L5" s="7" t="n">
        <v>1</v>
      </c>
      <c r="M5" s="7" t="n">
        <v>3</v>
      </c>
      <c r="N5" s="7" t="n">
        <v>14</v>
      </c>
      <c r="O5" s="7" t="n">
        <v>1</v>
      </c>
      <c r="P5" s="7" t="n">
        <v>6</v>
      </c>
      <c r="Q5" s="7" t="inlineStr">
        <is>
          <t>Ready</t>
        </is>
      </c>
      <c r="R5" s="7" t="inlineStr">
        <is>
          <t>Creative Trafficking</t>
        </is>
      </c>
      <c r="S5" s="7" t="inlineStr">
        <is>
          <t>SW-PKG</t>
        </is>
      </c>
      <c r="T5" s="7" t="n">
        <v>12000</v>
      </c>
      <c r="U5" s="7" t="n">
        <v>58</v>
      </c>
      <c r="V5" s="7" t="n">
        <v>46</v>
      </c>
      <c r="W5" s="7" t="inlineStr">
        <is>
          <t>Tier 3</t>
        </is>
      </c>
      <c r="X5" s="7" t="n">
        <v>11</v>
      </c>
      <c r="Y5" s="7" t="inlineStr">
        <is>
          <t>Offer equivalent package swap after trafficking confirmation</t>
        </is>
      </c>
      <c r="Z5" s="7" t="n"/>
    </row>
    <row r="6" ht="15" customHeight="1" s="5">
      <c r="A6" s="7" t="inlineStr">
        <is>
          <t>A-1005</t>
        </is>
      </c>
      <c r="B6" s="7" t="inlineStr">
        <is>
          <t>Axion Robotics</t>
        </is>
      </c>
      <c r="C6" s="7" t="inlineStr">
        <is>
          <t>Devon Brooks</t>
        </is>
      </c>
      <c r="D6" s="7" t="inlineStr">
        <is>
          <t>Industrial</t>
        </is>
      </c>
      <c r="E6" s="7" t="inlineStr">
        <is>
          <t>Key Growth</t>
        </is>
      </c>
      <c r="F6" s="7" t="inlineStr">
        <is>
          <t>Approved execution</t>
        </is>
      </c>
      <c r="G6" s="8" t="n">
        <v>46246</v>
      </c>
      <c r="H6" s="7" t="n">
        <v>410000</v>
      </c>
      <c r="I6" s="7" t="n">
        <v>390000</v>
      </c>
      <c r="J6" s="7" t="n">
        <v>318000</v>
      </c>
      <c r="K6" s="7" t="n">
        <v>-72000</v>
      </c>
      <c r="L6" s="7" t="n">
        <v>2</v>
      </c>
      <c r="M6" s="7" t="n">
        <v>5</v>
      </c>
      <c r="N6" s="7" t="n">
        <v>23</v>
      </c>
      <c r="O6" s="7" t="n">
        <v>1</v>
      </c>
      <c r="P6" s="7" t="n">
        <v>2</v>
      </c>
      <c r="Q6" s="7" t="inlineStr">
        <is>
          <t>Ready</t>
        </is>
      </c>
      <c r="R6" s="7" t="inlineStr">
        <is>
          <t>Audience Mismatch</t>
        </is>
      </c>
      <c r="S6" s="7" t="inlineStr">
        <is>
          <t>SW-PKG</t>
        </is>
      </c>
      <c r="T6" s="7" t="n">
        <v>18000</v>
      </c>
      <c r="U6" s="7" t="n">
        <v>81.7</v>
      </c>
      <c r="V6" s="7" t="n">
        <v>66</v>
      </c>
      <c r="W6" s="7" t="inlineStr">
        <is>
          <t>Tier 1</t>
        </is>
      </c>
      <c r="X6" s="7" t="n">
        <v>1</v>
      </c>
      <c r="Y6" s="7" t="inlineStr">
        <is>
          <t>Swap misaligned audience package and reset delivery proof</t>
        </is>
      </c>
      <c r="Z6" s="7" t="n"/>
    </row>
    <row r="7" ht="15" customHeight="1" s="5">
      <c r="A7" s="7" t="inlineStr">
        <is>
          <t>A-1006</t>
        </is>
      </c>
      <c r="B7" s="7" t="inlineStr">
        <is>
          <t>Greenway Kitchens</t>
        </is>
      </c>
      <c r="C7" s="7" t="inlineStr">
        <is>
          <t>Maya Chen</t>
        </is>
      </c>
      <c r="D7" s="7" t="inlineStr">
        <is>
          <t>Retail</t>
        </is>
      </c>
      <c r="E7" s="7" t="inlineStr">
        <is>
          <t>Emerging</t>
        </is>
      </c>
      <c r="F7" s="7" t="inlineStr">
        <is>
          <t>Approved execution</t>
        </is>
      </c>
      <c r="G7" s="8" t="n">
        <v>46229</v>
      </c>
      <c r="H7" s="7" t="n">
        <v>82000</v>
      </c>
      <c r="I7" s="7" t="n">
        <v>76000</v>
      </c>
      <c r="J7" s="7" t="n">
        <v>71000</v>
      </c>
      <c r="K7" s="7" t="n">
        <v>-5000</v>
      </c>
      <c r="L7" s="7" t="n">
        <v>1</v>
      </c>
      <c r="M7" s="7" t="n">
        <v>3</v>
      </c>
      <c r="N7" s="7" t="n">
        <v>10</v>
      </c>
      <c r="O7" s="7" t="n">
        <v>0</v>
      </c>
      <c r="P7" s="7" t="n">
        <v>2</v>
      </c>
      <c r="Q7" s="7" t="inlineStr">
        <is>
          <t>Ready</t>
        </is>
      </c>
      <c r="R7" s="7" t="inlineStr">
        <is>
          <t>Billing Error</t>
        </is>
      </c>
      <c r="S7" s="7" t="inlineStr">
        <is>
          <t>CR-10K</t>
        </is>
      </c>
      <c r="T7" s="7" t="n">
        <v>4800</v>
      </c>
      <c r="U7" s="7" t="n">
        <v>47.8</v>
      </c>
      <c r="V7" s="7" t="n">
        <v>32.6</v>
      </c>
      <c r="W7" s="7" t="inlineStr">
        <is>
          <t>Tier 3</t>
        </is>
      </c>
      <c r="X7" s="7" t="n">
        <v>13</v>
      </c>
      <c r="Y7" s="7" t="inlineStr">
        <is>
          <t>Confirm verified invoice credit and corrected bill date</t>
        </is>
      </c>
      <c r="Z7" s="7" t="n"/>
    </row>
    <row r="8" ht="15" customHeight="1" s="5">
      <c r="A8" s="7" t="inlineStr">
        <is>
          <t>A-1007</t>
        </is>
      </c>
      <c r="B8" s="7" t="inlineStr">
        <is>
          <t>Northline Insurance</t>
        </is>
      </c>
      <c r="C8" s="7" t="inlineStr">
        <is>
          <t>Jordan Patel</t>
        </is>
      </c>
      <c r="D8" s="7" t="inlineStr">
        <is>
          <t>Financial Services</t>
        </is>
      </c>
      <c r="E8" s="7" t="inlineStr">
        <is>
          <t>Core</t>
        </is>
      </c>
      <c r="F8" s="7" t="inlineStr">
        <is>
          <t>Approved execution</t>
        </is>
      </c>
      <c r="G8" s="8" t="n">
        <v>46237</v>
      </c>
      <c r="H8" s="7" t="n">
        <v>260000</v>
      </c>
      <c r="I8" s="7" t="n">
        <v>246000</v>
      </c>
      <c r="J8" s="7" t="n">
        <v>206000</v>
      </c>
      <c r="K8" s="7" t="n">
        <v>-40000</v>
      </c>
      <c r="L8" s="7" t="n">
        <v>1</v>
      </c>
      <c r="M8" s="7" t="n">
        <v>4</v>
      </c>
      <c r="N8" s="7" t="n">
        <v>23</v>
      </c>
      <c r="O8" s="7" t="n">
        <v>1</v>
      </c>
      <c r="P8" s="7" t="n">
        <v>5</v>
      </c>
      <c r="Q8" s="7" t="inlineStr">
        <is>
          <t>Ready</t>
        </is>
      </c>
      <c r="R8" s="7" t="inlineStr">
        <is>
          <t>Delivery Underpacing</t>
        </is>
      </c>
      <c r="S8" s="7" t="inlineStr">
        <is>
          <t>MG-15</t>
        </is>
      </c>
      <c r="T8" s="7" t="n">
        <v>22000</v>
      </c>
      <c r="U8" s="7" t="n">
        <v>66.3</v>
      </c>
      <c r="V8" s="7" t="n">
        <v>56.6</v>
      </c>
      <c r="W8" s="7" t="inlineStr">
        <is>
          <t>Tier 2</t>
        </is>
      </c>
      <c r="X8" s="7" t="n">
        <v>6</v>
      </c>
      <c r="Y8" s="7" t="inlineStr">
        <is>
          <t>Confirm makegood placement and revised delivery dates</t>
        </is>
      </c>
      <c r="Z8" s="7" t="n"/>
    </row>
    <row r="9" ht="15" customHeight="1" s="5">
      <c r="A9" s="7" t="inlineStr">
        <is>
          <t>A-1008</t>
        </is>
      </c>
      <c r="B9" s="7" t="inlineStr">
        <is>
          <t>Veridian Charter Schools</t>
        </is>
      </c>
      <c r="C9" s="7" t="inlineStr">
        <is>
          <t>Priya Nair</t>
        </is>
      </c>
      <c r="D9" s="7" t="inlineStr">
        <is>
          <t>Education</t>
        </is>
      </c>
      <c r="E9" s="7" t="inlineStr">
        <is>
          <t>Emerging</t>
        </is>
      </c>
      <c r="F9" s="7" t="inlineStr">
        <is>
          <t>Approved execution</t>
        </is>
      </c>
      <c r="G9" s="8" t="n">
        <v>46249</v>
      </c>
      <c r="H9" s="7" t="n">
        <v>110000</v>
      </c>
      <c r="I9" s="7" t="n">
        <v>98000</v>
      </c>
      <c r="J9" s="7" t="n">
        <v>88000</v>
      </c>
      <c r="K9" s="7" t="n">
        <v>-10000</v>
      </c>
      <c r="L9" s="7" t="n">
        <v>1</v>
      </c>
      <c r="M9" s="7" t="n">
        <v>3</v>
      </c>
      <c r="N9" s="7" t="n">
        <v>9</v>
      </c>
      <c r="O9" s="7" t="n">
        <v>0</v>
      </c>
      <c r="P9" s="7" t="n">
        <v>3</v>
      </c>
      <c r="Q9" s="7" t="inlineStr">
        <is>
          <t>Ready</t>
        </is>
      </c>
      <c r="R9" s="7" t="inlineStr">
        <is>
          <t>Reporting Discrepancy</t>
        </is>
      </c>
      <c r="S9" s="7" t="inlineStr">
        <is>
          <t>RPT-COMP</t>
        </is>
      </c>
      <c r="T9" s="7" t="n">
        <v>0</v>
      </c>
      <c r="U9" s="7" t="n">
        <v>40.8</v>
      </c>
      <c r="V9" s="7" t="n">
        <v>34.5</v>
      </c>
      <c r="W9" s="7" t="inlineStr">
        <is>
          <t>Tier 3</t>
        </is>
      </c>
      <c r="X9" s="7" t="n">
        <v>15</v>
      </c>
      <c r="Y9" s="7" t="inlineStr">
        <is>
          <t>Send reconciled district reach report and renewal summary</t>
        </is>
      </c>
      <c r="Z9" s="7" t="n"/>
    </row>
    <row r="10" ht="15" customHeight="1" s="5">
      <c r="A10" s="7" t="inlineStr">
        <is>
          <t>A-1009</t>
        </is>
      </c>
      <c r="B10" s="7" t="inlineStr">
        <is>
          <t>Copper Trail Hospitality</t>
        </is>
      </c>
      <c r="C10" s="7" t="inlineStr">
        <is>
          <t>Luis Romero</t>
        </is>
      </c>
      <c r="D10" s="7" t="inlineStr">
        <is>
          <t>Travel</t>
        </is>
      </c>
      <c r="E10" s="7" t="inlineStr">
        <is>
          <t>Core</t>
        </is>
      </c>
      <c r="F10" s="7" t="inlineStr">
        <is>
          <t>Approved execution</t>
        </is>
      </c>
      <c r="G10" s="8" t="n">
        <v>46232</v>
      </c>
      <c r="H10" s="7" t="n">
        <v>190000</v>
      </c>
      <c r="I10" s="7" t="n">
        <v>174000</v>
      </c>
      <c r="J10" s="7" t="n">
        <v>149000</v>
      </c>
      <c r="K10" s="7" t="n">
        <v>-25000</v>
      </c>
      <c r="L10" s="7" t="n">
        <v>1</v>
      </c>
      <c r="M10" s="7" t="n">
        <v>4</v>
      </c>
      <c r="N10" s="7" t="n">
        <v>20</v>
      </c>
      <c r="O10" s="7" t="n">
        <v>1</v>
      </c>
      <c r="P10" s="7" t="n">
        <v>6</v>
      </c>
      <c r="Q10" s="7" t="inlineStr">
        <is>
          <t>Ready</t>
        </is>
      </c>
      <c r="R10" s="7" t="inlineStr">
        <is>
          <t>Creative Trafficking</t>
        </is>
      </c>
      <c r="S10" s="7" t="inlineStr">
        <is>
          <t>SW-PKG</t>
        </is>
      </c>
      <c r="T10" s="7" t="n">
        <v>15000</v>
      </c>
      <c r="U10" s="7" t="n">
        <v>64.09999999999999</v>
      </c>
      <c r="V10" s="7" t="n">
        <v>53.2</v>
      </c>
      <c r="W10" s="7" t="inlineStr">
        <is>
          <t>Tier 2</t>
        </is>
      </c>
      <c r="X10" s="7" t="n">
        <v>8</v>
      </c>
      <c r="Y10" s="7" t="inlineStr">
        <is>
          <t>Confirm package swap and creative approval timeline</t>
        </is>
      </c>
      <c r="Z10" s="7" t="n"/>
    </row>
    <row r="11" ht="15" customHeight="1" s="5">
      <c r="A11" s="7" t="inlineStr">
        <is>
          <t>A-1010</t>
        </is>
      </c>
      <c r="B11" s="7" t="inlineStr">
        <is>
          <t>Finch Legal Group</t>
        </is>
      </c>
      <c r="C11" s="7" t="inlineStr">
        <is>
          <t>Devon Brooks</t>
        </is>
      </c>
      <c r="D11" s="7" t="inlineStr">
        <is>
          <t>Professional Services</t>
        </is>
      </c>
      <c r="E11" s="7" t="inlineStr">
        <is>
          <t>Emerging</t>
        </is>
      </c>
      <c r="F11" s="7" t="inlineStr">
        <is>
          <t>Approved execution</t>
        </is>
      </c>
      <c r="G11" s="8" t="n">
        <v>46254</v>
      </c>
      <c r="H11" s="7" t="n">
        <v>75000</v>
      </c>
      <c r="I11" s="7" t="n">
        <v>72000</v>
      </c>
      <c r="J11" s="7" t="n">
        <v>70000</v>
      </c>
      <c r="K11" s="7" t="n">
        <v>-2000</v>
      </c>
      <c r="L11" s="7" t="n">
        <v>1</v>
      </c>
      <c r="M11" s="7" t="n">
        <v>2</v>
      </c>
      <c r="N11" s="7" t="n">
        <v>5</v>
      </c>
      <c r="O11" s="7" t="n">
        <v>0</v>
      </c>
      <c r="P11" s="7" t="n">
        <v>1</v>
      </c>
      <c r="Q11" s="7" t="inlineStr">
        <is>
          <t>Ready</t>
        </is>
      </c>
      <c r="R11" s="7" t="inlineStr">
        <is>
          <t>Renewal Rate Objection</t>
        </is>
      </c>
      <c r="S11" s="7" t="inlineStr">
        <is>
          <t>RH-60</t>
        </is>
      </c>
      <c r="T11" s="7" t="n">
        <v>0</v>
      </c>
      <c r="U11" s="7" t="n">
        <v>34.7</v>
      </c>
      <c r="V11" s="7" t="n">
        <v>25.6</v>
      </c>
      <c r="W11" s="7" t="inlineStr">
        <is>
          <t>Tier 3</t>
        </is>
      </c>
      <c r="X11" s="7" t="n">
        <v>17</v>
      </c>
      <c r="Y11" s="7" t="inlineStr">
        <is>
          <t>Offer 60-day rate hold without additional credit</t>
        </is>
      </c>
      <c r="Z11" s="7" t="n"/>
    </row>
    <row r="12" ht="15" customHeight="1" s="5">
      <c r="A12" s="7" t="inlineStr">
        <is>
          <t>A-1011</t>
        </is>
      </c>
      <c r="B12" s="7" t="inlineStr">
        <is>
          <t>Solstice Energy Co-op</t>
        </is>
      </c>
      <c r="C12" s="7" t="inlineStr">
        <is>
          <t>Maya Chen</t>
        </is>
      </c>
      <c r="D12" s="7" t="inlineStr">
        <is>
          <t>Energy</t>
        </is>
      </c>
      <c r="E12" s="7" t="inlineStr">
        <is>
          <t>Core</t>
        </is>
      </c>
      <c r="F12" s="7" t="inlineStr">
        <is>
          <t>Approved execution</t>
        </is>
      </c>
      <c r="G12" s="8" t="n">
        <v>46243</v>
      </c>
      <c r="H12" s="7" t="n">
        <v>175000</v>
      </c>
      <c r="I12" s="7" t="n">
        <v>160000</v>
      </c>
      <c r="J12" s="7" t="n">
        <v>140000</v>
      </c>
      <c r="K12" s="7" t="n">
        <v>-20000</v>
      </c>
      <c r="L12" s="7" t="n">
        <v>1</v>
      </c>
      <c r="M12" s="7" t="n">
        <v>4</v>
      </c>
      <c r="N12" s="7" t="n">
        <v>18</v>
      </c>
      <c r="O12" s="7" t="n">
        <v>0</v>
      </c>
      <c r="P12" s="7" t="n">
        <v>5</v>
      </c>
      <c r="Q12" s="7" t="inlineStr">
        <is>
          <t>Ready</t>
        </is>
      </c>
      <c r="R12" s="7" t="inlineStr">
        <is>
          <t>Reporting Discrepancy</t>
        </is>
      </c>
      <c r="S12" s="7" t="inlineStr">
        <is>
          <t>RPT-COMP</t>
        </is>
      </c>
      <c r="T12" s="7" t="n">
        <v>0</v>
      </c>
      <c r="U12" s="7" t="n">
        <v>55.1</v>
      </c>
      <c r="V12" s="7" t="n">
        <v>45.5</v>
      </c>
      <c r="W12" s="7" t="inlineStr">
        <is>
          <t>Tier 3</t>
        </is>
      </c>
      <c r="X12" s="7" t="n">
        <v>12</v>
      </c>
      <c r="Y12" s="7" t="inlineStr">
        <is>
          <t>Send corrected lift summary and renewal confidence note</t>
        </is>
      </c>
      <c r="Z12" s="7" t="n"/>
    </row>
    <row r="13" ht="15" customHeight="1" s="5">
      <c r="A13" s="7" t="inlineStr">
        <is>
          <t>A-1012</t>
        </is>
      </c>
      <c r="B13" s="7" t="inlineStr">
        <is>
          <t>Vesta Apparel Collective</t>
        </is>
      </c>
      <c r="C13" s="7" t="inlineStr">
        <is>
          <t>Jordan Patel</t>
        </is>
      </c>
      <c r="D13" s="7" t="inlineStr">
        <is>
          <t>Retail</t>
        </is>
      </c>
      <c r="E13" s="7" t="inlineStr">
        <is>
          <t>Key Growth</t>
        </is>
      </c>
      <c r="F13" s="7" t="inlineStr">
        <is>
          <t>Approved execution</t>
        </is>
      </c>
      <c r="G13" s="8" t="n">
        <v>46235</v>
      </c>
      <c r="H13" s="7" t="n">
        <v>305000</v>
      </c>
      <c r="I13" s="7" t="n">
        <v>290000</v>
      </c>
      <c r="J13" s="7" t="n">
        <v>238000</v>
      </c>
      <c r="K13" s="7" t="n">
        <v>-52000</v>
      </c>
      <c r="L13" s="7" t="n">
        <v>2</v>
      </c>
      <c r="M13" s="7" t="n">
        <v>5</v>
      </c>
      <c r="N13" s="7" t="n">
        <v>20</v>
      </c>
      <c r="O13" s="7" t="n">
        <v>1</v>
      </c>
      <c r="P13" s="7" t="n">
        <v>1</v>
      </c>
      <c r="Q13" s="7" t="inlineStr">
        <is>
          <t>Ready</t>
        </is>
      </c>
      <c r="R13" s="7" t="inlineStr">
        <is>
          <t>Delivery Underpacing</t>
        </is>
      </c>
      <c r="S13" s="7" t="inlineStr">
        <is>
          <t>MG-15</t>
        </is>
      </c>
      <c r="T13" s="7" t="n">
        <v>24000</v>
      </c>
      <c r="U13" s="7" t="n">
        <v>72.59999999999999</v>
      </c>
      <c r="V13" s="7" t="n">
        <v>63.4</v>
      </c>
      <c r="W13" s="7" t="inlineStr">
        <is>
          <t>Tier 2</t>
        </is>
      </c>
      <c r="X13" s="7" t="n">
        <v>4</v>
      </c>
      <c r="Y13" s="7" t="inlineStr">
        <is>
          <t>Confirm makegood placement and invoice correction route</t>
        </is>
      </c>
      <c r="Z13" s="7" t="n"/>
    </row>
    <row r="14" ht="15" customHeight="1" s="5">
      <c r="A14" s="7" t="inlineStr">
        <is>
          <t>A-1013</t>
        </is>
      </c>
      <c r="B14" s="7" t="inlineStr">
        <is>
          <t>BrightPath Dental Alliance</t>
        </is>
      </c>
      <c r="C14" s="7" t="inlineStr">
        <is>
          <t>Priya Nair</t>
        </is>
      </c>
      <c r="D14" s="7" t="inlineStr">
        <is>
          <t>Healthcare</t>
        </is>
      </c>
      <c r="E14" s="7" t="inlineStr">
        <is>
          <t>Core</t>
        </is>
      </c>
      <c r="F14" s="7" t="inlineStr">
        <is>
          <t>Controlled exception</t>
        </is>
      </c>
      <c r="G14" s="8" t="n">
        <v>46251</v>
      </c>
      <c r="H14" s="7" t="n">
        <v>165000</v>
      </c>
      <c r="I14" s="7" t="n">
        <v>150000</v>
      </c>
      <c r="J14" s="7" t="n">
        <v>138000</v>
      </c>
      <c r="K14" s="7" t="n">
        <v>-12000</v>
      </c>
      <c r="L14" s="7" t="n">
        <v>1</v>
      </c>
      <c r="M14" s="7" t="n">
        <v>3</v>
      </c>
      <c r="N14" s="7" t="n">
        <v>12</v>
      </c>
      <c r="O14" s="7" t="n">
        <v>0</v>
      </c>
      <c r="P14" s="7" t="n">
        <v>4</v>
      </c>
      <c r="Q14" s="7" t="inlineStr">
        <is>
          <t>Ops route only</t>
        </is>
      </c>
      <c r="R14" s="7" t="inlineStr">
        <is>
          <t>Delivery Underpacing</t>
        </is>
      </c>
      <c r="S14" s="7" t="inlineStr">
        <is>
          <t>MG-15</t>
        </is>
      </c>
      <c r="T14" s="7" t="n">
        <v>17000</v>
      </c>
      <c r="U14" s="7" t="n">
        <v>42.1</v>
      </c>
      <c r="V14" s="7" t="n">
        <v>37.5</v>
      </c>
      <c r="W14" s="7" t="inlineStr">
        <is>
          <t>Controlled exception/hold</t>
        </is>
      </c>
      <c r="X14" s="7" t="n">
        <v>14</v>
      </c>
      <c r="Y14" s="7" t="inlineStr">
        <is>
          <t>Hold customer-facing offer until decision-maker route is approved</t>
        </is>
      </c>
      <c r="Z14" s="7" t="inlineStr">
        <is>
          <t>Decision-maker outreach permission pending</t>
        </is>
      </c>
    </row>
    <row r="15" ht="15" customHeight="1" s="5">
      <c r="A15" s="7" t="inlineStr">
        <is>
          <t>A-1014</t>
        </is>
      </c>
      <c r="B15" s="7" t="inlineStr">
        <is>
          <t>SummitBank SMB Services</t>
        </is>
      </c>
      <c r="C15" s="7" t="inlineStr">
        <is>
          <t>Luis Romero</t>
        </is>
      </c>
      <c r="D15" s="7" t="inlineStr">
        <is>
          <t>Financial Services</t>
        </is>
      </c>
      <c r="E15" s="7" t="inlineStr">
        <is>
          <t>Key Growth</t>
        </is>
      </c>
      <c r="F15" s="7" t="inlineStr">
        <is>
          <t>Controlled exception</t>
        </is>
      </c>
      <c r="G15" s="8" t="n">
        <v>46233</v>
      </c>
      <c r="H15" s="7" t="n">
        <v>360000</v>
      </c>
      <c r="I15" s="7" t="n">
        <v>342000</v>
      </c>
      <c r="J15" s="7" t="n">
        <v>282000</v>
      </c>
      <c r="K15" s="7" t="n">
        <v>-60000</v>
      </c>
      <c r="L15" s="7" t="n">
        <v>1</v>
      </c>
      <c r="M15" s="7" t="n">
        <v>5</v>
      </c>
      <c r="N15" s="7" t="n">
        <v>33</v>
      </c>
      <c r="O15" s="7" t="n">
        <v>0</v>
      </c>
      <c r="P15" s="7" t="n">
        <v>1</v>
      </c>
      <c r="Q15" s="7" t="inlineStr">
        <is>
          <t>Ready</t>
        </is>
      </c>
      <c r="R15" s="7" t="inlineStr">
        <is>
          <t>Billing Error</t>
        </is>
      </c>
      <c r="S15" s="7" t="inlineStr">
        <is>
          <t>MGR-REQ</t>
        </is>
      </c>
      <c r="T15" s="7" t="n">
        <v>42000</v>
      </c>
      <c r="U15" s="7" t="n">
        <v>75.09999999999999</v>
      </c>
      <c r="V15" s="7" t="n">
        <v>57.5</v>
      </c>
      <c r="W15" s="7" t="inlineStr">
        <is>
          <t>Controlled exception/hold</t>
        </is>
      </c>
      <c r="X15" s="7" t="n">
        <v>3</v>
      </c>
      <c r="Y15" s="7" t="inlineStr">
        <is>
          <t>Route credit request to manager; do not promise local credit</t>
        </is>
      </c>
      <c r="Z15" s="7" t="inlineStr">
        <is>
          <t>Requested credit is above supervisor authority</t>
        </is>
      </c>
    </row>
    <row r="16" ht="15" customHeight="1" s="5">
      <c r="A16" s="7" t="inlineStr">
        <is>
          <t>A-1015</t>
        </is>
      </c>
      <c r="B16" s="7" t="inlineStr">
        <is>
          <t>Mesa Tool Supply</t>
        </is>
      </c>
      <c r="C16" s="7" t="inlineStr">
        <is>
          <t>Devon Brooks</t>
        </is>
      </c>
      <c r="D16" s="7" t="inlineStr">
        <is>
          <t>Industrial</t>
        </is>
      </c>
      <c r="E16" s="7" t="inlineStr">
        <is>
          <t>Core</t>
        </is>
      </c>
      <c r="F16" s="7" t="inlineStr">
        <is>
          <t>Controlled exception</t>
        </is>
      </c>
      <c r="G16" s="8" t="n">
        <v>46241</v>
      </c>
      <c r="H16" s="7" t="n">
        <v>210000</v>
      </c>
      <c r="I16" s="7" t="n">
        <v>198000</v>
      </c>
      <c r="J16" s="7" t="n">
        <v>160000</v>
      </c>
      <c r="K16" s="7" t="n">
        <v>-38000</v>
      </c>
      <c r="L16" s="7" t="n">
        <v>1</v>
      </c>
      <c r="M16" s="7" t="n">
        <v>4</v>
      </c>
      <c r="N16" s="7" t="n">
        <v>21</v>
      </c>
      <c r="O16" s="7" t="n">
        <v>1</v>
      </c>
      <c r="P16" s="7" t="n">
        <v>8</v>
      </c>
      <c r="Q16" s="7" t="inlineStr">
        <is>
          <t>Ready</t>
        </is>
      </c>
      <c r="R16" s="7" t="inlineStr">
        <is>
          <t>Product Feed Blocker</t>
        </is>
      </c>
      <c r="S16" s="7" t="inlineStr">
        <is>
          <t>SW-PKG</t>
        </is>
      </c>
      <c r="T16" s="7" t="n">
        <v>16000</v>
      </c>
      <c r="U16" s="7" t="n">
        <v>62.8</v>
      </c>
      <c r="V16" s="7" t="n">
        <v>57.7</v>
      </c>
      <c r="W16" s="7" t="inlineStr">
        <is>
          <t>Controlled exception/hold</t>
        </is>
      </c>
      <c r="X16" s="7" t="n">
        <v>9</v>
      </c>
      <c r="Y16" s="7" t="inlineStr">
        <is>
          <t>Wait for product feed fix before customer offer</t>
        </is>
      </c>
      <c r="Z16" s="7" t="inlineStr">
        <is>
          <t>Ad-ops blocker not cleared</t>
        </is>
      </c>
    </row>
    <row r="17" ht="15" customHeight="1" s="5">
      <c r="A17" s="7" t="inlineStr">
        <is>
          <t>A-1016</t>
        </is>
      </c>
      <c r="B17" s="7" t="inlineStr">
        <is>
          <t>Riverstone Fitness</t>
        </is>
      </c>
      <c r="C17" s="7" t="inlineStr">
        <is>
          <t>Maya Chen</t>
        </is>
      </c>
      <c r="D17" s="7" t="inlineStr">
        <is>
          <t>Local Services</t>
        </is>
      </c>
      <c r="E17" s="7" t="inlineStr">
        <is>
          <t>Emerging</t>
        </is>
      </c>
      <c r="F17" s="7" t="inlineStr">
        <is>
          <t>Excluded - no action</t>
        </is>
      </c>
      <c r="G17" s="8" t="n">
        <v>46225</v>
      </c>
      <c r="H17" s="7" t="n">
        <v>62000</v>
      </c>
      <c r="I17" s="7" t="n">
        <v>58000</v>
      </c>
      <c r="J17" s="7" t="n">
        <v>60000</v>
      </c>
      <c r="K17" s="7" t="n">
        <v>2000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4</v>
      </c>
      <c r="Q17" s="7" t="inlineStr">
        <is>
          <t>Ready</t>
        </is>
      </c>
      <c r="R17" s="7" t="n"/>
      <c r="S17" s="7" t="n"/>
      <c r="T17" s="7" t="n">
        <v>0</v>
      </c>
      <c r="U17" s="7" t="n">
        <v>38.4</v>
      </c>
      <c r="V17" s="7" t="n">
        <v>10.4</v>
      </c>
      <c r="W17" s="7" t="inlineStr">
        <is>
          <t>Controlled exception/hold</t>
        </is>
      </c>
      <c r="X17" s="7" t="n">
        <v>16</v>
      </c>
      <c r="Y17" s="7" t="inlineStr">
        <is>
          <t>No sprint action; keep closure note</t>
        </is>
      </c>
      <c r="Z17" s="7" t="inlineStr">
        <is>
          <t>Closed renewal</t>
        </is>
      </c>
    </row>
    <row r="18" ht="15" customHeight="1" s="5">
      <c r="A18" s="7" t="inlineStr">
        <is>
          <t>A-1017</t>
        </is>
      </c>
      <c r="B18" s="7" t="inlineStr">
        <is>
          <t>Atlas BioLabs</t>
        </is>
      </c>
      <c r="C18" s="7" t="inlineStr">
        <is>
          <t>Jordan Patel</t>
        </is>
      </c>
      <c r="D18" s="7" t="inlineStr">
        <is>
          <t>Healthcare</t>
        </is>
      </c>
      <c r="E18" s="7" t="inlineStr">
        <is>
          <t>Enterprise</t>
        </is>
      </c>
      <c r="F18" s="7" t="inlineStr">
        <is>
          <t>Controlled exception</t>
        </is>
      </c>
      <c r="G18" s="8" t="n">
        <v>46262</v>
      </c>
      <c r="H18" s="7" t="n">
        <v>520000</v>
      </c>
      <c r="I18" s="7" t="n">
        <v>500000</v>
      </c>
      <c r="J18" s="7" t="n">
        <v>390000</v>
      </c>
      <c r="K18" s="7" t="n">
        <v>-110000</v>
      </c>
      <c r="L18" s="7" t="n">
        <v>2</v>
      </c>
      <c r="M18" s="7" t="n">
        <v>5</v>
      </c>
      <c r="N18" s="7" t="n">
        <v>29.5</v>
      </c>
      <c r="O18" s="7" t="n">
        <v>0</v>
      </c>
      <c r="P18" s="7" t="n">
        <v>1</v>
      </c>
      <c r="Q18" s="7" t="inlineStr">
        <is>
          <t>Manager route only</t>
        </is>
      </c>
      <c r="R18" s="7" t="inlineStr">
        <is>
          <t>Data-Use Terms</t>
        </is>
      </c>
      <c r="S18" s="7" t="inlineStr">
        <is>
          <t>MGR-REQ</t>
        </is>
      </c>
      <c r="T18" s="7" t="n">
        <v>0</v>
      </c>
      <c r="U18" s="7" t="n">
        <v>68.5</v>
      </c>
      <c r="V18" s="7" t="n">
        <v>61.5</v>
      </c>
      <c r="W18" s="7" t="inlineStr">
        <is>
          <t>Controlled exception/hold</t>
        </is>
      </c>
      <c r="X18" s="7" t="n">
        <v>5</v>
      </c>
      <c r="Y18" s="7" t="inlineStr">
        <is>
          <t>Escalate to manager and legal owner; no rep commitment</t>
        </is>
      </c>
      <c r="Z18" s="7" t="inlineStr">
        <is>
          <t>Contract terms outside local authority</t>
        </is>
      </c>
    </row>
    <row r="19" ht="15" customHeight="1" s="5">
      <c r="A19" s="7" t="inlineStr">
        <is>
          <t>A-1018</t>
        </is>
      </c>
      <c r="B19" s="7" t="inlineStr">
        <is>
          <t>Pinyon Outdoor Media Buyers</t>
        </is>
      </c>
      <c r="C19" s="7" t="inlineStr">
        <is>
          <t>Priya Nair</t>
        </is>
      </c>
      <c r="D19" s="7" t="inlineStr">
        <is>
          <t>Agency</t>
        </is>
      </c>
      <c r="E19" s="7" t="inlineStr">
        <is>
          <t>Core</t>
        </is>
      </c>
      <c r="F19" s="7" t="inlineStr">
        <is>
          <t>Excluded - no action</t>
        </is>
      </c>
      <c r="G19" s="8" t="n">
        <v>46283</v>
      </c>
      <c r="H19" s="7" t="n">
        <v>135000</v>
      </c>
      <c r="I19" s="7" t="n">
        <v>124000</v>
      </c>
      <c r="J19" s="7" t="n">
        <v>118000</v>
      </c>
      <c r="K19" s="7" t="n">
        <v>-6000</v>
      </c>
      <c r="L19" s="7" t="n">
        <v>1</v>
      </c>
      <c r="M19" s="7" t="n">
        <v>2</v>
      </c>
      <c r="N19" s="7" t="n">
        <v>6</v>
      </c>
      <c r="O19" s="7" t="n">
        <v>0</v>
      </c>
      <c r="P19" s="7" t="n">
        <v>1</v>
      </c>
      <c r="Q19" s="7" t="inlineStr">
        <is>
          <t>Pending permission</t>
        </is>
      </c>
      <c r="R19" s="7" t="inlineStr">
        <is>
          <t>Agency Consolidation</t>
        </is>
      </c>
      <c r="S19" s="7" t="n"/>
      <c r="T19" s="7" t="n">
        <v>0</v>
      </c>
      <c r="U19" s="7" t="n">
        <v>25</v>
      </c>
      <c r="V19" s="7" t="n">
        <v>27.4</v>
      </c>
      <c r="W19" s="7" t="inlineStr">
        <is>
          <t>Controlled exception/hold</t>
        </is>
      </c>
      <c r="X19" s="7" t="n">
        <v>18</v>
      </c>
      <c r="Y19" s="7" t="inlineStr">
        <is>
          <t>Hold for September agency review</t>
        </is>
      </c>
      <c r="Z19" s="7" t="inlineStr">
        <is>
          <t>Customer requested September review</t>
        </is>
      </c>
    </row>
  </sheetData>
  <autoFilter ref="A1:Z19"/>
  <printOptions horizontalCentered="0" verticalCentered="0" headings="0" gridLines="0" gridLinesSet="1"/>
  <pageMargins left="0.25" right="0.25" top="0.35" bottom="0.35" header="0.511811023622047" footer="0.511811023622047"/>
  <pageSetup orientation="landscape" paperSize="1" scale="100" fitToHeight="0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D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3.36" customWidth="1" style="4" min="1" max="1"/>
    <col width="11" customWidth="1" style="4" min="2" max="3"/>
    <col width="13" customWidth="1" style="5" min="3" max="3"/>
    <col width="51.28" customWidth="1" style="4" min="4" max="4"/>
  </cols>
  <sheetData>
    <row r="1" ht="15" customHeight="1" s="5">
      <c r="A1" s="6" t="inlineStr">
        <is>
          <t>Check</t>
        </is>
      </c>
      <c r="B1" s="6" t="inlineStr">
        <is>
          <t>Value</t>
        </is>
      </c>
      <c r="C1" s="6" t="inlineStr">
        <is>
          <t>Status</t>
        </is>
      </c>
      <c r="D1" s="6" t="inlineStr">
        <is>
          <t>Note</t>
        </is>
      </c>
    </row>
    <row r="2" ht="15" customHeight="1" s="5">
      <c r="A2" s="7" t="inlineStr">
        <is>
          <t>CRM accounts</t>
        </is>
      </c>
      <c r="B2" s="7" t="n">
        <v>18</v>
      </c>
      <c r="C2" s="7" t="inlineStr">
        <is>
          <t>Pass</t>
        </is>
      </c>
      <c r="D2" s="7" t="inlineStr">
        <is>
          <t>All CRM accounts represented.</t>
        </is>
      </c>
    </row>
    <row r="3" ht="15" customHeight="1" s="5">
      <c r="A3" s="7" t="inlineStr">
        <is>
          <t>Approved executable accounts</t>
        </is>
      </c>
      <c r="B3" s="7" t="n">
        <v>12</v>
      </c>
      <c r="C3" s="7" t="inlineStr">
        <is>
          <t>Pass</t>
        </is>
      </c>
      <c r="D3" s="7" t="inlineStr">
        <is>
          <t>Matches approval scope.</t>
        </is>
      </c>
    </row>
    <row r="4" ht="15" customHeight="1" s="5">
      <c r="A4" s="7" t="inlineStr">
        <is>
          <t>Controlled exceptions</t>
        </is>
      </c>
      <c r="B4" s="7" t="n">
        <v>4</v>
      </c>
      <c r="C4" s="7" t="inlineStr">
        <is>
          <t>Pass</t>
        </is>
      </c>
      <c r="D4" s="7" t="inlineStr">
        <is>
          <t>Manager/contact/ad-ops constraints retained.</t>
        </is>
      </c>
    </row>
    <row r="5" ht="15" customHeight="1" s="5">
      <c r="A5" s="7" t="inlineStr">
        <is>
          <t>Excluded or hold records</t>
        </is>
      </c>
      <c r="B5" s="7" t="n">
        <v>2</v>
      </c>
      <c r="C5" s="7" t="inlineStr">
        <is>
          <t>Pass</t>
        </is>
      </c>
      <c r="D5" s="7" t="inlineStr">
        <is>
          <t>No customer-facing action planned.</t>
        </is>
      </c>
    </row>
  </sheetData>
  <autoFilter ref="A1:D5"/>
  <printOptions horizontalCentered="0" verticalCentered="0" headings="0" gridLines="0" gridLinesSet="1"/>
  <pageMargins left="0.25" right="0.25" top="0.35" bottom="0.35" header="0.511811023622047" footer="0.511811023622047"/>
  <pageSetup orientation="landscape" paperSize="1" scale="100" fitToHeight="0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Northstar Media Network Revenue Operations</dc:creator>
  <dc:subject xmlns:dc="http://purl.org/dc/elements/1.1/">Escalated advertiser account recovery</dc:subject>
  <dc:language xmlns:dc="http://purl.org/dc/elements/1.1/">en-US</dc:language>
  <dcterms:created xmlns:dcterms="http://purl.org/dc/terms/" xmlns:xsi="http://www.w3.org/2001/XMLSchema-instance" xsi:type="dcterms:W3CDTF">2026-07-17T03:07:38Z</dcterms:created>
  <dcterms:modified xmlns:dcterms="http://purl.org/dc/terms/" xmlns:xsi="http://www.w3.org/2001/XMLSchema-instance" xsi:type="dcterms:W3CDTF">2026-07-17T03:11:34Z</dcterms:modified>
  <cp:lastModifiedBy>Northstar Media Network Revenue Operations</cp:lastModifiedBy>
  <cp:category>Commerce operations</cp:category>
  <cp:revision>0</cp:revision>
  <cp:keywords>advertising sales account recovery renewal supervisor</cp:keywords>
</cp:coreProperties>
</file>